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69728f6c6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 mensal" sheetId="1" r:id="R6a65eb85a3a14015"/>
    <x:sheet xmlns:r="http://schemas.openxmlformats.org/officeDocument/2006/relationships" name="Aço" sheetId="2" r:id="R451b56566e4d4357"/>
    <x:sheet xmlns:r="http://schemas.openxmlformats.org/officeDocument/2006/relationships" name="Betão" sheetId="3" r:id="R6bc43815aa334528"/>
    <x:sheet xmlns:r="http://schemas.openxmlformats.org/officeDocument/2006/relationships" name="Cofragem" sheetId="4" r:id="R06770fa387874150"/>
    <x:sheet xmlns:r="http://schemas.openxmlformats.org/officeDocument/2006/relationships" name="Como preencher" sheetId="5" r:id="Rc8728e8b827c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#,##0.00 &quot;€&quot;"/>
    <x:numFmt numFmtId="202" formatCode="@"/>
    <x:numFmt numFmtId="203" formatCode="#,##0.000"/>
    <x:numFmt numFmtId="204" formatCode="0.0%"/>
    <x:numFmt numFmtId="205" formatCode="#,##0.00"/>
  </x:numFmts>
  <x:fonts count="5">
    <x:font>
      <x:sz val="11"/>
      <x:name val="Carlito"/>
    </x:font>
    <x:font>
      <x:sz val="10"/>
      <x:color rgb="FF243746"/>
      <x:name val="Arial"/>
    </x:font>
    <x:font>
      <x:b/>
      <x:sz val="16"/>
      <x:color rgb="FF203A55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A55"/>
      </x:patternFill>
    </x:fill>
  </x:fills>
  <x:borders count="2">
    <x:border/>
    <x:border>
      <x:bottom style="thin">
        <x:color rgb="FF476B8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910c5bd5d4636" /><Relationship Type="http://schemas.openxmlformats.org/officeDocument/2006/relationships/theme" Target="/xl/theme/theme1.xml" Id="Ra9c892707d9147e6" /><Relationship Type="http://schemas.openxmlformats.org/officeDocument/2006/relationships/sharedStrings" Target="/xl/sharedStrings.xml" Id="R81d75296efa74eff" /><Relationship Type="http://schemas.openxmlformats.org/officeDocument/2006/relationships/worksheet" Target="/xl/worksheets/sheet1.xml" Id="R6a65eb85a3a14015" /><Relationship Type="http://schemas.openxmlformats.org/officeDocument/2006/relationships/worksheet" Target="/xl/worksheets/sheet2.xml" Id="R451b56566e4d4357" /><Relationship Type="http://schemas.openxmlformats.org/officeDocument/2006/relationships/worksheet" Target="/xl/worksheets/sheet3.xml" Id="R6bc43815aa334528" /><Relationship Type="http://schemas.openxmlformats.org/officeDocument/2006/relationships/worksheet" Target="/xl/worksheets/sheet4.xml" Id="R06770fa387874150" /><Relationship Type="http://schemas.openxmlformats.org/officeDocument/2006/relationships/worksheet" Target="/xl/worksheets/sheet5.xml" Id="Rc8728e8b827c48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A55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3" t="str">
        <x:v>Auto de medição mensal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3" customHeight="1">
      <x:c r="A4" s="2" t="str">
        <x:v>Obra</x:v>
      </x:c>
      <x:c r="B4" s="5" t="str">
        <x:v>707 — Vila Moderna</x:v>
      </x:c>
      <x:c r="C4" s="5"/>
      <x:c r="D4" s="5"/>
      <x:c r="E4" s="2"/>
      <x:c r="F4" s="2" t="str">
        <x:v>Subempreiteiro</x:v>
      </x:c>
      <x:c r="G4" s="5"/>
      <x:c r="H4" s="5"/>
      <x:c r="I4" s="5"/>
      <x:c r="J4" s="2"/>
      <x:c r="K4" s="2" t="str">
        <x:v>Auto n.º</x:v>
      </x:c>
      <x:c r="L4" s="5"/>
      <x:c r="M4" s="5"/>
    </x:row>
    <x:row r="5" ht="23" customHeight="1">
      <x:c r="A5" s="2" t="str">
        <x:v>Início</x:v>
      </x:c>
      <x:c r="B5" s="6"/>
      <x:c r="C5" s="2" t="str">
        <x:v>Fim</x:v>
      </x:c>
      <x:c r="D5" s="6"/>
      <x:c r="E5" s="2"/>
      <x:c r="F5" s="2" t="str">
        <x:v>Contrato / pedido</x:v>
      </x:c>
      <x:c r="G5" s="5"/>
      <x:c r="H5" s="5"/>
      <x:c r="I5" s="5"/>
      <x:c r="J5" s="2"/>
      <x:c r="K5" s="2" t="str">
        <x:v>Data emissão</x:v>
      </x:c>
      <x:c r="L5" s="6"/>
      <x:c r="M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2" t="str">
        <x:v>Preencher amarelo. Usar um código único por artigo/material e preço. Anterior = acumulado aprovado antes deste período.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2" t="str">
        <x:v>Total mensal (€)</x:v>
      </x:c>
      <x:c r="B8" s="2"/>
      <x:c r="C8" s="7" t="str">
        <x:f>IF(COUNTA(A13:A42)=0,"",IF(COUNTIF(M13:M42,"Pendente: código")+COUNTIF(M13:M42,"Rever: código repetido")+COUNTIF(M13:M42,"Pendente: contrato / preço")+COUNTIF(M13:M42,"Rever: valor negativo")+COUNTIF(M13:M42,"Pendente: medição")+COUNTIF(M13:M42,"Rever: excede contrato")+H8&gt;0,"Pendente",SUM(L13:L42)))</x:f>
      </x:c>
      <x:c r="D8" s="2"/>
      <x:c r="E8" s="2"/>
      <x:c r="F8" s="2" t="str">
        <x:v>Linhas a completar</x:v>
      </x:c>
      <x:c r="G8" s="2"/>
      <x:c r="H8" s="2" t="n">
        <x:f>COUNTIF('Aço'!O8:O107,"Pendente: período")+COUNTIF('Aço'!O8:O107,"Pendente: data")+COUNTIF('Aço'!O8:O107,"Pendente: identificação")+COUNTIF('Aço'!O8:O107,"Pendente: artigo / material")+COUNTIF('Aço'!O8:O107,"Pendente: dimensões")+COUNTIF('Betão'!M8:M107,"Pendente: período")+COUNTIF('Betão'!M8:M107,"Pendente: data")+COUNTIF('Betão'!M8:M107,"Pendente: identificação")+COUNTIF('Betão'!M8:M107,"Pendente: artigo / material")+COUNTIF('Betão'!M8:M107,"Pendente: dimensões")+COUNTIF('Cofragem'!K8:K107,"Pendente: período")+COUNTIF('Cofragem'!K8:K107,"Pendente: data")+COUNTIF('Cofragem'!K8:K107,"Pendente: identificação")+COUNTIF('Cofragem'!K8:K107,"Pendente: artigo / material")+COUNTIF('Cofragem'!K8:K107,"Pendente: dimensões")</x:f>
        <x:v>0</x:v>
      </x:c>
      <x:c r="I8" s="2"/>
      <x:c r="J8" s="2" t="str">
        <x:v>Fora do período</x:v>
      </x:c>
      <x:c r="K8" s="2"/>
      <x:c r="L8" s="2" t="n">
        <x:f>COUNTIF('Aço'!O8:O107,"Fora do período")+COUNTIF('Betão'!M8:M107,"Fora do período")+COUNTIF(Cofragem!K8:K107,"Fora do período")</x:f>
        <x:v>0</x:v>
      </x:c>
      <x:c r="M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2" t="str">
        <x:v>O total corresponde aos trabalhos medidos, antes de IVA, retenções ou outros ajustes contratuais. Resolver as linhas pendentes antes de emitir.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42" customHeight="1">
      <x:c r="A12" s="11" t="str">
        <x:v>Código artigo</x:v>
      </x:c>
      <x:c r="B12" s="11" t="str">
        <x:v>Descrição / âmbito</x:v>
      </x:c>
      <x:c r="C12" s="11" t="str">
        <x:v>Material</x:v>
      </x:c>
      <x:c r="D12" s="11" t="str">
        <x:v>Un.</x:v>
      </x:c>
      <x:c r="E12" s="11" t="str">
        <x:v>Qtd. contrato</x:v>
      </x:c>
      <x:c r="F12" s="11" t="str">
        <x:v>Anterior aprovado</x:v>
      </x:c>
      <x:c r="G12" s="11" t="str">
        <x:v>Qtd. no período</x:v>
      </x:c>
      <x:c r="H12" s="11" t="str">
        <x:v>Acumulado</x:v>
      </x:c>
      <x:c r="I12" s="11" t="str">
        <x:v>Saldo contrato</x:v>
      </x:c>
      <x:c r="J12" s="11" t="str">
        <x:v>Execução %</x:v>
      </x:c>
      <x:c r="K12" s="11" t="str">
        <x:v>P. unitário €</x:v>
      </x:c>
      <x:c r="L12" s="11" t="str">
        <x:v>Valor período €</x:v>
      </x:c>
      <x:c r="M12" s="11" t="str">
        <x:v>Conferência</x:v>
      </x:c>
    </x:row>
    <x:row r="13" ht="23" customHeight="1">
      <x:c r="A13" s="12"/>
      <x:c r="B13" s="5"/>
      <x:c r="C13" s="5"/>
      <x:c r="D13" s="2" t="str">
        <x:f>IF(C13="","",IF(C13="Aço","kg",IF(C13="Betão","m³",IF(C13="Cofragem","m²","Rever"))))</x:f>
      </x:c>
      <x:c r="E13" s="13"/>
      <x:c r="F13" s="13"/>
      <x:c r="G13" s="14" t="str">
        <x:f>IF(A13="","",IF(OR($B$5="",$D$5="",$D$5&lt;$B$5),"Pendente",IF(C13="Aço",IF(COUNTIFS('Aço'!$B$8:$B$107,A13,'Aço'!$O$8:$O$107,"Pendente: período")+COUNTIFS('Aço'!$B$8:$B$107,A13,'Aço'!$O$8:$O$107,"Pendente: data")+COUNTIFS('Aço'!$B$8:$B$107,A13,'Aço'!$O$8:$O$107,"Pendente: identificação")+COUNTIFS('Aço'!$B$8:$B$107,A13,'Aço'!$O$8:$O$107,"Pendente: artigo / material")+COUNTIFS('Aço'!$B$8:$B$107,A13,'Aço'!$O$8:$O$107,"Pendente: dimensões")&gt;0,"Pendente",SUMIFS('Aço'!$N$8:$N$107,'Aço'!$B$8:$B$107,A13,'Aço'!$O$8:$O$107,"OK")),IF(C13="Betão",IF(COUNTIFS('Betão'!$B$8:$B$107,A13,'Betão'!$M$8:$M$107,"Pendente: período")+COUNTIFS('Betão'!$B$8:$B$107,A13,'Betão'!$M$8:$M$107,"Pendente: data")+COUNTIFS('Betão'!$B$8:$B$107,A13,'Betão'!$M$8:$M$107,"Pendente: identificação")+COUNTIFS('Betão'!$B$8:$B$107,A13,'Betão'!$M$8:$M$107,"Pendente: artigo / material")+COUNTIFS('Betão'!$B$8:$B$107,A13,'Betão'!$M$8:$M$107,"Pendente: dimensões")&gt;0,"Pendente",SUMIFS('Betão'!$L$8:$L$107,'Betão'!$B$8:$B$107,A13,'Betão'!$M$8:$M$107,"OK")),IF(C13="Cofragem",IF(COUNTIFS('Cofragem'!$B$8:$B$107,A13,'Cofragem'!$K$8:$K$107,"Pendente: período")+COUNTIFS('Cofragem'!$B$8:$B$107,A13,'Cofragem'!$K$8:$K$107,"Pendente: data")+COUNTIFS('Cofragem'!$B$8:$B$107,A13,'Cofragem'!$K$8:$K$107,"Pendente: identificação")+COUNTIFS('Cofragem'!$B$8:$B$107,A13,'Cofragem'!$K$8:$K$107,"Pendente: artigo / material")+COUNTIFS('Cofragem'!$B$8:$B$107,A13,'Cofragem'!$K$8:$K$107,"Pendente: dimensões")&gt;0,"Pendente",SUMIFS('Cofragem'!$J$8:$J$107,'Cofragem'!$B$8:$B$107,A13,'Cofragem'!$K$8:$K$107,"OK")),"Pendente")))))</x:f>
      </x:c>
      <x:c r="H13" s="14" t="str">
        <x:f>IF(A13="","",IF(OR(NOT(ISNUMBER(F13)),NOT(ISNUMBER(G13))),"Pendente",F13+G13))</x:f>
      </x:c>
      <x:c r="I13" s="14" t="str">
        <x:f>IF(A13="","",IF(OR(NOT(ISNUMBER(E13)),NOT(ISNUMBER(H13))),"Pendente",E13-H13))</x:f>
      </x:c>
      <x:c r="J13" s="15" t="str">
        <x:f>IF(A13="","",IF(OR(NOT(ISNUMBER(E13)),NOT(ISNUMBER(H13))),"Pendente",IF(E13=0,"n.a.",H13/E13)))</x:f>
      </x:c>
      <x:c r="K13" s="16"/>
      <x:c r="L13" s="17" t="str">
        <x:f>IF(A13="","",IF(OR(NOT(ISNUMBER(G13)),NOT(ISNUMBER(K13))),"Pendente",ROUND(G13*K13,2)))</x:f>
      </x:c>
      <x:c r="M13" s="2" t="str">
        <x:f>IF(COUNTA(A13:C13,E13:F13,K13)=0,"",IF(A13="","Pendente: código",IF(COUNTIF($A$13:$A$42,A13)&gt;1,"Rever: código repetido",IF(OR(B13="",C13="",NOT(ISNUMBER(E13)),NOT(ISNUMBER(F13)),NOT(ISNUMBER(K13))),"Pendente: contrato / preço",IF(OR(E13&lt;0,F13&lt;0,K13&lt;0),"Rever: valor negativo",IF(NOT(ISNUMBER(L13)),"Pendente: medição",IF(H13&gt;E13,"Rever: excede contrato","OK")))))))</x:f>
      </x:c>
    </x:row>
    <x:row r="14" ht="23" customHeight="1">
      <x:c r="A14" s="12"/>
      <x:c r="B14" s="5"/>
      <x:c r="C14" s="5"/>
      <x:c r="D14" s="2" t="str">
        <x:f>IF(C14="","",IF(C14="Aço","kg",IF(C14="Betão","m³",IF(C14="Cofragem","m²","Rever"))))</x:f>
      </x:c>
      <x:c r="E14" s="13"/>
      <x:c r="F14" s="13"/>
      <x:c r="G14" s="14" t="str">
        <x:f>IF(A14="","",IF(OR($B$5="",$D$5="",$D$5&lt;$B$5),"Pendente",IF(C14="Aço",IF(COUNTIFS('Aço'!$B$8:$B$107,A14,'Aço'!$O$8:$O$107,"Pendente: período")+COUNTIFS('Aço'!$B$8:$B$107,A14,'Aço'!$O$8:$O$107,"Pendente: data")+COUNTIFS('Aço'!$B$8:$B$107,A14,'Aço'!$O$8:$O$107,"Pendente: identificação")+COUNTIFS('Aço'!$B$8:$B$107,A14,'Aço'!$O$8:$O$107,"Pendente: artigo / material")+COUNTIFS('Aço'!$B$8:$B$107,A14,'Aço'!$O$8:$O$107,"Pendente: dimensões")&gt;0,"Pendente",SUMIFS('Aço'!$N$8:$N$107,'Aço'!$B$8:$B$107,A14,'Aço'!$O$8:$O$107,"OK")),IF(C14="Betão",IF(COUNTIFS('Betão'!$B$8:$B$107,A14,'Betão'!$M$8:$M$107,"Pendente: período")+COUNTIFS('Betão'!$B$8:$B$107,A14,'Betão'!$M$8:$M$107,"Pendente: data")+COUNTIFS('Betão'!$B$8:$B$107,A14,'Betão'!$M$8:$M$107,"Pendente: identificação")+COUNTIFS('Betão'!$B$8:$B$107,A14,'Betão'!$M$8:$M$107,"Pendente: artigo / material")+COUNTIFS('Betão'!$B$8:$B$107,A14,'Betão'!$M$8:$M$107,"Pendente: dimensões")&gt;0,"Pendente",SUMIFS('Betão'!$L$8:$L$107,'Betão'!$B$8:$B$107,A14,'Betão'!$M$8:$M$107,"OK")),IF(C14="Cofragem",IF(COUNTIFS('Cofragem'!$B$8:$B$107,A14,'Cofragem'!$K$8:$K$107,"Pendente: período")+COUNTIFS('Cofragem'!$B$8:$B$107,A14,'Cofragem'!$K$8:$K$107,"Pendente: data")+COUNTIFS('Cofragem'!$B$8:$B$107,A14,'Cofragem'!$K$8:$K$107,"Pendente: identificação")+COUNTIFS('Cofragem'!$B$8:$B$107,A14,'Cofragem'!$K$8:$K$107,"Pendente: artigo / material")+COUNTIFS('Cofragem'!$B$8:$B$107,A14,'Cofragem'!$K$8:$K$107,"Pendente: dimensões")&gt;0,"Pendente",SUMIFS('Cofragem'!$J$8:$J$107,'Cofragem'!$B$8:$B$107,A14,'Cofragem'!$K$8:$K$107,"OK")),"Pendente")))))</x:f>
      </x:c>
      <x:c r="H14" s="14" t="str">
        <x:f>IF(A14="","",IF(OR(NOT(ISNUMBER(F14)),NOT(ISNUMBER(G14))),"Pendente",F14+G14))</x:f>
      </x:c>
      <x:c r="I14" s="14" t="str">
        <x:f>IF(A14="","",IF(OR(NOT(ISNUMBER(E14)),NOT(ISNUMBER(H14))),"Pendente",E14-H14))</x:f>
      </x:c>
      <x:c r="J14" s="15" t="str">
        <x:f>IF(A14="","",IF(OR(NOT(ISNUMBER(E14)),NOT(ISNUMBER(H14))),"Pendente",IF(E14=0,"n.a.",H14/E14)))</x:f>
      </x:c>
      <x:c r="K14" s="16"/>
      <x:c r="L14" s="17" t="str">
        <x:f>IF(A14="","",IF(OR(NOT(ISNUMBER(G14)),NOT(ISNUMBER(K14))),"Pendente",ROUND(G14*K14,2)))</x:f>
      </x:c>
      <x:c r="M14" s="2" t="str">
        <x:f>IF(COUNTA(A14:C14,E14:F14,K14)=0,"",IF(A14="","Pendente: código",IF(COUNTIF($A$13:$A$42,A14)&gt;1,"Rever: código repetido",IF(OR(B14="",C14="",NOT(ISNUMBER(E14)),NOT(ISNUMBER(F14)),NOT(ISNUMBER(K14))),"Pendente: contrato / preço",IF(OR(E14&lt;0,F14&lt;0,K14&lt;0),"Rever: valor negativo",IF(NOT(ISNUMBER(L14)),"Pendente: medição",IF(H14&gt;E14,"Rever: excede contrato","OK")))))))</x:f>
      </x:c>
    </x:row>
    <x:row r="15" ht="23" customHeight="1">
      <x:c r="A15" s="12"/>
      <x:c r="B15" s="5"/>
      <x:c r="C15" s="5"/>
      <x:c r="D15" s="2" t="str">
        <x:f>IF(C15="","",IF(C15="Aço","kg",IF(C15="Betão","m³",IF(C15="Cofragem","m²","Rever"))))</x:f>
      </x:c>
      <x:c r="E15" s="13"/>
      <x:c r="F15" s="13"/>
      <x:c r="G15" s="14" t="str">
        <x:f>IF(A15="","",IF(OR($B$5="",$D$5="",$D$5&lt;$B$5),"Pendente",IF(C15="Aço",IF(COUNTIFS('Aço'!$B$8:$B$107,A15,'Aço'!$O$8:$O$107,"Pendente: período")+COUNTIFS('Aço'!$B$8:$B$107,A15,'Aço'!$O$8:$O$107,"Pendente: data")+COUNTIFS('Aço'!$B$8:$B$107,A15,'Aço'!$O$8:$O$107,"Pendente: identificação")+COUNTIFS('Aço'!$B$8:$B$107,A15,'Aço'!$O$8:$O$107,"Pendente: artigo / material")+COUNTIFS('Aço'!$B$8:$B$107,A15,'Aço'!$O$8:$O$107,"Pendente: dimensões")&gt;0,"Pendente",SUMIFS('Aço'!$N$8:$N$107,'Aço'!$B$8:$B$107,A15,'Aço'!$O$8:$O$107,"OK")),IF(C15="Betão",IF(COUNTIFS('Betão'!$B$8:$B$107,A15,'Betão'!$M$8:$M$107,"Pendente: período")+COUNTIFS('Betão'!$B$8:$B$107,A15,'Betão'!$M$8:$M$107,"Pendente: data")+COUNTIFS('Betão'!$B$8:$B$107,A15,'Betão'!$M$8:$M$107,"Pendente: identificação")+COUNTIFS('Betão'!$B$8:$B$107,A15,'Betão'!$M$8:$M$107,"Pendente: artigo / material")+COUNTIFS('Betão'!$B$8:$B$107,A15,'Betão'!$M$8:$M$107,"Pendente: dimensões")&gt;0,"Pendente",SUMIFS('Betão'!$L$8:$L$107,'Betão'!$B$8:$B$107,A15,'Betão'!$M$8:$M$107,"OK")),IF(C15="Cofragem",IF(COUNTIFS('Cofragem'!$B$8:$B$107,A15,'Cofragem'!$K$8:$K$107,"Pendente: período")+COUNTIFS('Cofragem'!$B$8:$B$107,A15,'Cofragem'!$K$8:$K$107,"Pendente: data")+COUNTIFS('Cofragem'!$B$8:$B$107,A15,'Cofragem'!$K$8:$K$107,"Pendente: identificação")+COUNTIFS('Cofragem'!$B$8:$B$107,A15,'Cofragem'!$K$8:$K$107,"Pendente: artigo / material")+COUNTIFS('Cofragem'!$B$8:$B$107,A15,'Cofragem'!$K$8:$K$107,"Pendente: dimensões")&gt;0,"Pendente",SUMIFS('Cofragem'!$J$8:$J$107,'Cofragem'!$B$8:$B$107,A15,'Cofragem'!$K$8:$K$107,"OK")),"Pendente")))))</x:f>
      </x:c>
      <x:c r="H15" s="14" t="str">
        <x:f>IF(A15="","",IF(OR(NOT(ISNUMBER(F15)),NOT(ISNUMBER(G15))),"Pendente",F15+G15))</x:f>
      </x:c>
      <x:c r="I15" s="14" t="str">
        <x:f>IF(A15="","",IF(OR(NOT(ISNUMBER(E15)),NOT(ISNUMBER(H15))),"Pendente",E15-H15))</x:f>
      </x:c>
      <x:c r="J15" s="15" t="str">
        <x:f>IF(A15="","",IF(OR(NOT(ISNUMBER(E15)),NOT(ISNUMBER(H15))),"Pendente",IF(E15=0,"n.a.",H15/E15)))</x:f>
      </x:c>
      <x:c r="K15" s="16"/>
      <x:c r="L15" s="17" t="str">
        <x:f>IF(A15="","",IF(OR(NOT(ISNUMBER(G15)),NOT(ISNUMBER(K15))),"Pendente",ROUND(G15*K15,2)))</x:f>
      </x:c>
      <x:c r="M15" s="2" t="str">
        <x:f>IF(COUNTA(A15:C15,E15:F15,K15)=0,"",IF(A15="","Pendente: código",IF(COUNTIF($A$13:$A$42,A15)&gt;1,"Rever: código repetido",IF(OR(B15="",C15="",NOT(ISNUMBER(E15)),NOT(ISNUMBER(F15)),NOT(ISNUMBER(K15))),"Pendente: contrato / preço",IF(OR(E15&lt;0,F15&lt;0,K15&lt;0),"Rever: valor negativo",IF(NOT(ISNUMBER(L15)),"Pendente: medição",IF(H15&gt;E15,"Rever: excede contrato","OK")))))))</x:f>
      </x:c>
    </x:row>
    <x:row r="16" ht="23" customHeight="1">
      <x:c r="A16" s="12"/>
      <x:c r="B16" s="5"/>
      <x:c r="C16" s="5"/>
      <x:c r="D16" s="2" t="str">
        <x:f>IF(C16="","",IF(C16="Aço","kg",IF(C16="Betão","m³",IF(C16="Cofragem","m²","Rever"))))</x:f>
      </x:c>
      <x:c r="E16" s="13"/>
      <x:c r="F16" s="13"/>
      <x:c r="G16" s="14" t="str">
        <x:f>IF(A16="","",IF(OR($B$5="",$D$5="",$D$5&lt;$B$5),"Pendente",IF(C16="Aço",IF(COUNTIFS('Aço'!$B$8:$B$107,A16,'Aço'!$O$8:$O$107,"Pendente: período")+COUNTIFS('Aço'!$B$8:$B$107,A16,'Aço'!$O$8:$O$107,"Pendente: data")+COUNTIFS('Aço'!$B$8:$B$107,A16,'Aço'!$O$8:$O$107,"Pendente: identificação")+COUNTIFS('Aço'!$B$8:$B$107,A16,'Aço'!$O$8:$O$107,"Pendente: artigo / material")+COUNTIFS('Aço'!$B$8:$B$107,A16,'Aço'!$O$8:$O$107,"Pendente: dimensões")&gt;0,"Pendente",SUMIFS('Aço'!$N$8:$N$107,'Aço'!$B$8:$B$107,A16,'Aço'!$O$8:$O$107,"OK")),IF(C16="Betão",IF(COUNTIFS('Betão'!$B$8:$B$107,A16,'Betão'!$M$8:$M$107,"Pendente: período")+COUNTIFS('Betão'!$B$8:$B$107,A16,'Betão'!$M$8:$M$107,"Pendente: data")+COUNTIFS('Betão'!$B$8:$B$107,A16,'Betão'!$M$8:$M$107,"Pendente: identificação")+COUNTIFS('Betão'!$B$8:$B$107,A16,'Betão'!$M$8:$M$107,"Pendente: artigo / material")+COUNTIFS('Betão'!$B$8:$B$107,A16,'Betão'!$M$8:$M$107,"Pendente: dimensões")&gt;0,"Pendente",SUMIFS('Betão'!$L$8:$L$107,'Betão'!$B$8:$B$107,A16,'Betão'!$M$8:$M$107,"OK")),IF(C16="Cofragem",IF(COUNTIFS('Cofragem'!$B$8:$B$107,A16,'Cofragem'!$K$8:$K$107,"Pendente: período")+COUNTIFS('Cofragem'!$B$8:$B$107,A16,'Cofragem'!$K$8:$K$107,"Pendente: data")+COUNTIFS('Cofragem'!$B$8:$B$107,A16,'Cofragem'!$K$8:$K$107,"Pendente: identificação")+COUNTIFS('Cofragem'!$B$8:$B$107,A16,'Cofragem'!$K$8:$K$107,"Pendente: artigo / material")+COUNTIFS('Cofragem'!$B$8:$B$107,A16,'Cofragem'!$K$8:$K$107,"Pendente: dimensões")&gt;0,"Pendente",SUMIFS('Cofragem'!$J$8:$J$107,'Cofragem'!$B$8:$B$107,A16,'Cofragem'!$K$8:$K$107,"OK")),"Pendente")))))</x:f>
      </x:c>
      <x:c r="H16" s="14" t="str">
        <x:f>IF(A16="","",IF(OR(NOT(ISNUMBER(F16)),NOT(ISNUMBER(G16))),"Pendente",F16+G16))</x:f>
      </x:c>
      <x:c r="I16" s="14" t="str">
        <x:f>IF(A16="","",IF(OR(NOT(ISNUMBER(E16)),NOT(ISNUMBER(H16))),"Pendente",E16-H16))</x:f>
      </x:c>
      <x:c r="J16" s="15" t="str">
        <x:f>IF(A16="","",IF(OR(NOT(ISNUMBER(E16)),NOT(ISNUMBER(H16))),"Pendente",IF(E16=0,"n.a.",H16/E16)))</x:f>
      </x:c>
      <x:c r="K16" s="16"/>
      <x:c r="L16" s="17" t="str">
        <x:f>IF(A16="","",IF(OR(NOT(ISNUMBER(G16)),NOT(ISNUMBER(K16))),"Pendente",ROUND(G16*K16,2)))</x:f>
      </x:c>
      <x:c r="M16" s="2" t="str">
        <x:f>IF(COUNTA(A16:C16,E16:F16,K16)=0,"",IF(A16="","Pendente: código",IF(COUNTIF($A$13:$A$42,A16)&gt;1,"Rever: código repetido",IF(OR(B16="",C16="",NOT(ISNUMBER(E16)),NOT(ISNUMBER(F16)),NOT(ISNUMBER(K16))),"Pendente: contrato / preço",IF(OR(E16&lt;0,F16&lt;0,K16&lt;0),"Rever: valor negativo",IF(NOT(ISNUMBER(L16)),"Pendente: medição",IF(H16&gt;E16,"Rever: excede contrato","OK")))))))</x:f>
      </x:c>
    </x:row>
    <x:row r="17" ht="23" customHeight="1">
      <x:c r="A17" s="12"/>
      <x:c r="B17" s="5"/>
      <x:c r="C17" s="5"/>
      <x:c r="D17" s="2" t="str">
        <x:f>IF(C17="","",IF(C17="Aço","kg",IF(C17="Betão","m³",IF(C17="Cofragem","m²","Rever"))))</x:f>
      </x:c>
      <x:c r="E17" s="13"/>
      <x:c r="F17" s="13"/>
      <x:c r="G17" s="14" t="str">
        <x:f>IF(A17="","",IF(OR($B$5="",$D$5="",$D$5&lt;$B$5),"Pendente",IF(C17="Aço",IF(COUNTIFS('Aço'!$B$8:$B$107,A17,'Aço'!$O$8:$O$107,"Pendente: período")+COUNTIFS('Aço'!$B$8:$B$107,A17,'Aço'!$O$8:$O$107,"Pendente: data")+COUNTIFS('Aço'!$B$8:$B$107,A17,'Aço'!$O$8:$O$107,"Pendente: identificação")+COUNTIFS('Aço'!$B$8:$B$107,A17,'Aço'!$O$8:$O$107,"Pendente: artigo / material")+COUNTIFS('Aço'!$B$8:$B$107,A17,'Aço'!$O$8:$O$107,"Pendente: dimensões")&gt;0,"Pendente",SUMIFS('Aço'!$N$8:$N$107,'Aço'!$B$8:$B$107,A17,'Aço'!$O$8:$O$107,"OK")),IF(C17="Betão",IF(COUNTIFS('Betão'!$B$8:$B$107,A17,'Betão'!$M$8:$M$107,"Pendente: período")+COUNTIFS('Betão'!$B$8:$B$107,A17,'Betão'!$M$8:$M$107,"Pendente: data")+COUNTIFS('Betão'!$B$8:$B$107,A17,'Betão'!$M$8:$M$107,"Pendente: identificação")+COUNTIFS('Betão'!$B$8:$B$107,A17,'Betão'!$M$8:$M$107,"Pendente: artigo / material")+COUNTIFS('Betão'!$B$8:$B$107,A17,'Betão'!$M$8:$M$107,"Pendente: dimensões")&gt;0,"Pendente",SUMIFS('Betão'!$L$8:$L$107,'Betão'!$B$8:$B$107,A17,'Betão'!$M$8:$M$107,"OK")),IF(C17="Cofragem",IF(COUNTIFS('Cofragem'!$B$8:$B$107,A17,'Cofragem'!$K$8:$K$107,"Pendente: período")+COUNTIFS('Cofragem'!$B$8:$B$107,A17,'Cofragem'!$K$8:$K$107,"Pendente: data")+COUNTIFS('Cofragem'!$B$8:$B$107,A17,'Cofragem'!$K$8:$K$107,"Pendente: identificação")+COUNTIFS('Cofragem'!$B$8:$B$107,A17,'Cofragem'!$K$8:$K$107,"Pendente: artigo / material")+COUNTIFS('Cofragem'!$B$8:$B$107,A17,'Cofragem'!$K$8:$K$107,"Pendente: dimensões")&gt;0,"Pendente",SUMIFS('Cofragem'!$J$8:$J$107,'Cofragem'!$B$8:$B$107,A17,'Cofragem'!$K$8:$K$107,"OK")),"Pendente")))))</x:f>
      </x:c>
      <x:c r="H17" s="14" t="str">
        <x:f>IF(A17="","",IF(OR(NOT(ISNUMBER(F17)),NOT(ISNUMBER(G17))),"Pendente",F17+G17))</x:f>
      </x:c>
      <x:c r="I17" s="14" t="str">
        <x:f>IF(A17="","",IF(OR(NOT(ISNUMBER(E17)),NOT(ISNUMBER(H17))),"Pendente",E17-H17))</x:f>
      </x:c>
      <x:c r="J17" s="15" t="str">
        <x:f>IF(A17="","",IF(OR(NOT(ISNUMBER(E17)),NOT(ISNUMBER(H17))),"Pendente",IF(E17=0,"n.a.",H17/E17)))</x:f>
      </x:c>
      <x:c r="K17" s="16"/>
      <x:c r="L17" s="17" t="str">
        <x:f>IF(A17="","",IF(OR(NOT(ISNUMBER(G17)),NOT(ISNUMBER(K17))),"Pendente",ROUND(G17*K17,2)))</x:f>
      </x:c>
      <x:c r="M17" s="2" t="str">
        <x:f>IF(COUNTA(A17:C17,E17:F17,K17)=0,"",IF(A17="","Pendente: código",IF(COUNTIF($A$13:$A$42,A17)&gt;1,"Rever: código repetido",IF(OR(B17="",C17="",NOT(ISNUMBER(E17)),NOT(ISNUMBER(F17)),NOT(ISNUMBER(K17))),"Pendente: contrato / preço",IF(OR(E17&lt;0,F17&lt;0,K17&lt;0),"Rever: valor negativo",IF(NOT(ISNUMBER(L17)),"Pendente: medição",IF(H17&gt;E17,"Rever: excede contrato","OK")))))))</x:f>
      </x:c>
    </x:row>
    <x:row r="18" ht="23" customHeight="1">
      <x:c r="A18" s="12"/>
      <x:c r="B18" s="5"/>
      <x:c r="C18" s="5"/>
      <x:c r="D18" s="2" t="str">
        <x:f>IF(C18="","",IF(C18="Aço","kg",IF(C18="Betão","m³",IF(C18="Cofragem","m²","Rever"))))</x:f>
      </x:c>
      <x:c r="E18" s="13"/>
      <x:c r="F18" s="13"/>
      <x:c r="G18" s="14" t="str">
        <x:f>IF(A18="","",IF(OR($B$5="",$D$5="",$D$5&lt;$B$5),"Pendente",IF(C18="Aço",IF(COUNTIFS('Aço'!$B$8:$B$107,A18,'Aço'!$O$8:$O$107,"Pendente: período")+COUNTIFS('Aço'!$B$8:$B$107,A18,'Aço'!$O$8:$O$107,"Pendente: data")+COUNTIFS('Aço'!$B$8:$B$107,A18,'Aço'!$O$8:$O$107,"Pendente: identificação")+COUNTIFS('Aço'!$B$8:$B$107,A18,'Aço'!$O$8:$O$107,"Pendente: artigo / material")+COUNTIFS('Aço'!$B$8:$B$107,A18,'Aço'!$O$8:$O$107,"Pendente: dimensões")&gt;0,"Pendente",SUMIFS('Aço'!$N$8:$N$107,'Aço'!$B$8:$B$107,A18,'Aço'!$O$8:$O$107,"OK")),IF(C18="Betão",IF(COUNTIFS('Betão'!$B$8:$B$107,A18,'Betão'!$M$8:$M$107,"Pendente: período")+COUNTIFS('Betão'!$B$8:$B$107,A18,'Betão'!$M$8:$M$107,"Pendente: data")+COUNTIFS('Betão'!$B$8:$B$107,A18,'Betão'!$M$8:$M$107,"Pendente: identificação")+COUNTIFS('Betão'!$B$8:$B$107,A18,'Betão'!$M$8:$M$107,"Pendente: artigo / material")+COUNTIFS('Betão'!$B$8:$B$107,A18,'Betão'!$M$8:$M$107,"Pendente: dimensões")&gt;0,"Pendente",SUMIFS('Betão'!$L$8:$L$107,'Betão'!$B$8:$B$107,A18,'Betão'!$M$8:$M$107,"OK")),IF(C18="Cofragem",IF(COUNTIFS('Cofragem'!$B$8:$B$107,A18,'Cofragem'!$K$8:$K$107,"Pendente: período")+COUNTIFS('Cofragem'!$B$8:$B$107,A18,'Cofragem'!$K$8:$K$107,"Pendente: data")+COUNTIFS('Cofragem'!$B$8:$B$107,A18,'Cofragem'!$K$8:$K$107,"Pendente: identificação")+COUNTIFS('Cofragem'!$B$8:$B$107,A18,'Cofragem'!$K$8:$K$107,"Pendente: artigo / material")+COUNTIFS('Cofragem'!$B$8:$B$107,A18,'Cofragem'!$K$8:$K$107,"Pendente: dimensões")&gt;0,"Pendente",SUMIFS('Cofragem'!$J$8:$J$107,'Cofragem'!$B$8:$B$107,A18,'Cofragem'!$K$8:$K$107,"OK")),"Pendente")))))</x:f>
      </x:c>
      <x:c r="H18" s="14" t="str">
        <x:f>IF(A18="","",IF(OR(NOT(ISNUMBER(F18)),NOT(ISNUMBER(G18))),"Pendente",F18+G18))</x:f>
      </x:c>
      <x:c r="I18" s="14" t="str">
        <x:f>IF(A18="","",IF(OR(NOT(ISNUMBER(E18)),NOT(ISNUMBER(H18))),"Pendente",E18-H18))</x:f>
      </x:c>
      <x:c r="J18" s="15" t="str">
        <x:f>IF(A18="","",IF(OR(NOT(ISNUMBER(E18)),NOT(ISNUMBER(H18))),"Pendente",IF(E18=0,"n.a.",H18/E18)))</x:f>
      </x:c>
      <x:c r="K18" s="16"/>
      <x:c r="L18" s="17" t="str">
        <x:f>IF(A18="","",IF(OR(NOT(ISNUMBER(G18)),NOT(ISNUMBER(K18))),"Pendente",ROUND(G18*K18,2)))</x:f>
      </x:c>
      <x:c r="M18" s="2" t="str">
        <x:f>IF(COUNTA(A18:C18,E18:F18,K18)=0,"",IF(A18="","Pendente: código",IF(COUNTIF($A$13:$A$42,A18)&gt;1,"Rever: código repetido",IF(OR(B18="",C18="",NOT(ISNUMBER(E18)),NOT(ISNUMBER(F18)),NOT(ISNUMBER(K18))),"Pendente: contrato / preço",IF(OR(E18&lt;0,F18&lt;0,K18&lt;0),"Rever: valor negativo",IF(NOT(ISNUMBER(L18)),"Pendente: medição",IF(H18&gt;E18,"Rever: excede contrato","OK")))))))</x:f>
      </x:c>
    </x:row>
    <x:row r="19" ht="23" customHeight="1">
      <x:c r="A19" s="12"/>
      <x:c r="B19" s="5"/>
      <x:c r="C19" s="5"/>
      <x:c r="D19" s="2" t="str">
        <x:f>IF(C19="","",IF(C19="Aço","kg",IF(C19="Betão","m³",IF(C19="Cofragem","m²","Rever"))))</x:f>
      </x:c>
      <x:c r="E19" s="13"/>
      <x:c r="F19" s="13"/>
      <x:c r="G19" s="14" t="str">
        <x:f>IF(A19="","",IF(OR($B$5="",$D$5="",$D$5&lt;$B$5),"Pendente",IF(C19="Aço",IF(COUNTIFS('Aço'!$B$8:$B$107,A19,'Aço'!$O$8:$O$107,"Pendente: período")+COUNTIFS('Aço'!$B$8:$B$107,A19,'Aço'!$O$8:$O$107,"Pendente: data")+COUNTIFS('Aço'!$B$8:$B$107,A19,'Aço'!$O$8:$O$107,"Pendente: identificação")+COUNTIFS('Aço'!$B$8:$B$107,A19,'Aço'!$O$8:$O$107,"Pendente: artigo / material")+COUNTIFS('Aço'!$B$8:$B$107,A19,'Aço'!$O$8:$O$107,"Pendente: dimensões")&gt;0,"Pendente",SUMIFS('Aço'!$N$8:$N$107,'Aço'!$B$8:$B$107,A19,'Aço'!$O$8:$O$107,"OK")),IF(C19="Betão",IF(COUNTIFS('Betão'!$B$8:$B$107,A19,'Betão'!$M$8:$M$107,"Pendente: período")+COUNTIFS('Betão'!$B$8:$B$107,A19,'Betão'!$M$8:$M$107,"Pendente: data")+COUNTIFS('Betão'!$B$8:$B$107,A19,'Betão'!$M$8:$M$107,"Pendente: identificação")+COUNTIFS('Betão'!$B$8:$B$107,A19,'Betão'!$M$8:$M$107,"Pendente: artigo / material")+COUNTIFS('Betão'!$B$8:$B$107,A19,'Betão'!$M$8:$M$107,"Pendente: dimensões")&gt;0,"Pendente",SUMIFS('Betão'!$L$8:$L$107,'Betão'!$B$8:$B$107,A19,'Betão'!$M$8:$M$107,"OK")),IF(C19="Cofragem",IF(COUNTIFS('Cofragem'!$B$8:$B$107,A19,'Cofragem'!$K$8:$K$107,"Pendente: período")+COUNTIFS('Cofragem'!$B$8:$B$107,A19,'Cofragem'!$K$8:$K$107,"Pendente: data")+COUNTIFS('Cofragem'!$B$8:$B$107,A19,'Cofragem'!$K$8:$K$107,"Pendente: identificação")+COUNTIFS('Cofragem'!$B$8:$B$107,A19,'Cofragem'!$K$8:$K$107,"Pendente: artigo / material")+COUNTIFS('Cofragem'!$B$8:$B$107,A19,'Cofragem'!$K$8:$K$107,"Pendente: dimensões")&gt;0,"Pendente",SUMIFS('Cofragem'!$J$8:$J$107,'Cofragem'!$B$8:$B$107,A19,'Cofragem'!$K$8:$K$107,"OK")),"Pendente")))))</x:f>
      </x:c>
      <x:c r="H19" s="14" t="str">
        <x:f>IF(A19="","",IF(OR(NOT(ISNUMBER(F19)),NOT(ISNUMBER(G19))),"Pendente",F19+G19))</x:f>
      </x:c>
      <x:c r="I19" s="14" t="str">
        <x:f>IF(A19="","",IF(OR(NOT(ISNUMBER(E19)),NOT(ISNUMBER(H19))),"Pendente",E19-H19))</x:f>
      </x:c>
      <x:c r="J19" s="15" t="str">
        <x:f>IF(A19="","",IF(OR(NOT(ISNUMBER(E19)),NOT(ISNUMBER(H19))),"Pendente",IF(E19=0,"n.a.",H19/E19)))</x:f>
      </x:c>
      <x:c r="K19" s="16"/>
      <x:c r="L19" s="17" t="str">
        <x:f>IF(A19="","",IF(OR(NOT(ISNUMBER(G19)),NOT(ISNUMBER(K19))),"Pendente",ROUND(G19*K19,2)))</x:f>
      </x:c>
      <x:c r="M19" s="2" t="str">
        <x:f>IF(COUNTA(A19:C19,E19:F19,K19)=0,"",IF(A19="","Pendente: código",IF(COUNTIF($A$13:$A$42,A19)&gt;1,"Rever: código repetido",IF(OR(B19="",C19="",NOT(ISNUMBER(E19)),NOT(ISNUMBER(F19)),NOT(ISNUMBER(K19))),"Pendente: contrato / preço",IF(OR(E19&lt;0,F19&lt;0,K19&lt;0),"Rever: valor negativo",IF(NOT(ISNUMBER(L19)),"Pendente: medição",IF(H19&gt;E19,"Rever: excede contrato","OK")))))))</x:f>
      </x:c>
    </x:row>
    <x:row r="20" ht="23" customHeight="1">
      <x:c r="A20" s="12"/>
      <x:c r="B20" s="5"/>
      <x:c r="C20" s="5"/>
      <x:c r="D20" s="2" t="str">
        <x:f>IF(C20="","",IF(C20="Aço","kg",IF(C20="Betão","m³",IF(C20="Cofragem","m²","Rever"))))</x:f>
      </x:c>
      <x:c r="E20" s="13"/>
      <x:c r="F20" s="13"/>
      <x:c r="G20" s="14" t="str">
        <x:f>IF(A20="","",IF(OR($B$5="",$D$5="",$D$5&lt;$B$5),"Pendente",IF(C20="Aço",IF(COUNTIFS('Aço'!$B$8:$B$107,A20,'Aço'!$O$8:$O$107,"Pendente: período")+COUNTIFS('Aço'!$B$8:$B$107,A20,'Aço'!$O$8:$O$107,"Pendente: data")+COUNTIFS('Aço'!$B$8:$B$107,A20,'Aço'!$O$8:$O$107,"Pendente: identificação")+COUNTIFS('Aço'!$B$8:$B$107,A20,'Aço'!$O$8:$O$107,"Pendente: artigo / material")+COUNTIFS('Aço'!$B$8:$B$107,A20,'Aço'!$O$8:$O$107,"Pendente: dimensões")&gt;0,"Pendente",SUMIFS('Aço'!$N$8:$N$107,'Aço'!$B$8:$B$107,A20,'Aço'!$O$8:$O$107,"OK")),IF(C20="Betão",IF(COUNTIFS('Betão'!$B$8:$B$107,A20,'Betão'!$M$8:$M$107,"Pendente: período")+COUNTIFS('Betão'!$B$8:$B$107,A20,'Betão'!$M$8:$M$107,"Pendente: data")+COUNTIFS('Betão'!$B$8:$B$107,A20,'Betão'!$M$8:$M$107,"Pendente: identificação")+COUNTIFS('Betão'!$B$8:$B$107,A20,'Betão'!$M$8:$M$107,"Pendente: artigo / material")+COUNTIFS('Betão'!$B$8:$B$107,A20,'Betão'!$M$8:$M$107,"Pendente: dimensões")&gt;0,"Pendente",SUMIFS('Betão'!$L$8:$L$107,'Betão'!$B$8:$B$107,A20,'Betão'!$M$8:$M$107,"OK")),IF(C20="Cofragem",IF(COUNTIFS('Cofragem'!$B$8:$B$107,A20,'Cofragem'!$K$8:$K$107,"Pendente: período")+COUNTIFS('Cofragem'!$B$8:$B$107,A20,'Cofragem'!$K$8:$K$107,"Pendente: data")+COUNTIFS('Cofragem'!$B$8:$B$107,A20,'Cofragem'!$K$8:$K$107,"Pendente: identificação")+COUNTIFS('Cofragem'!$B$8:$B$107,A20,'Cofragem'!$K$8:$K$107,"Pendente: artigo / material")+COUNTIFS('Cofragem'!$B$8:$B$107,A20,'Cofragem'!$K$8:$K$107,"Pendente: dimensões")&gt;0,"Pendente",SUMIFS('Cofragem'!$J$8:$J$107,'Cofragem'!$B$8:$B$107,A20,'Cofragem'!$K$8:$K$107,"OK")),"Pendente")))))</x:f>
      </x:c>
      <x:c r="H20" s="14" t="str">
        <x:f>IF(A20="","",IF(OR(NOT(ISNUMBER(F20)),NOT(ISNUMBER(G20))),"Pendente",F20+G20))</x:f>
      </x:c>
      <x:c r="I20" s="14" t="str">
        <x:f>IF(A20="","",IF(OR(NOT(ISNUMBER(E20)),NOT(ISNUMBER(H20))),"Pendente",E20-H20))</x:f>
      </x:c>
      <x:c r="J20" s="15" t="str">
        <x:f>IF(A20="","",IF(OR(NOT(ISNUMBER(E20)),NOT(ISNUMBER(H20))),"Pendente",IF(E20=0,"n.a.",H20/E20)))</x:f>
      </x:c>
      <x:c r="K20" s="16"/>
      <x:c r="L20" s="17" t="str">
        <x:f>IF(A20="","",IF(OR(NOT(ISNUMBER(G20)),NOT(ISNUMBER(K20))),"Pendente",ROUND(G20*K20,2)))</x:f>
      </x:c>
      <x:c r="M20" s="2" t="str">
        <x:f>IF(COUNTA(A20:C20,E20:F20,K20)=0,"",IF(A20="","Pendente: código",IF(COUNTIF($A$13:$A$42,A20)&gt;1,"Rever: código repetido",IF(OR(B20="",C20="",NOT(ISNUMBER(E20)),NOT(ISNUMBER(F20)),NOT(ISNUMBER(K20))),"Pendente: contrato / preço",IF(OR(E20&lt;0,F20&lt;0,K20&lt;0),"Rever: valor negativo",IF(NOT(ISNUMBER(L20)),"Pendente: medição",IF(H20&gt;E20,"Rever: excede contrato","OK")))))))</x:f>
      </x:c>
    </x:row>
    <x:row r="21" ht="23" customHeight="1">
      <x:c r="A21" s="12"/>
      <x:c r="B21" s="5"/>
      <x:c r="C21" s="5"/>
      <x:c r="D21" s="2" t="str">
        <x:f>IF(C21="","",IF(C21="Aço","kg",IF(C21="Betão","m³",IF(C21="Cofragem","m²","Rever"))))</x:f>
      </x:c>
      <x:c r="E21" s="13"/>
      <x:c r="F21" s="13"/>
      <x:c r="G21" s="14" t="str">
        <x:f>IF(A21="","",IF(OR($B$5="",$D$5="",$D$5&lt;$B$5),"Pendente",IF(C21="Aço",IF(COUNTIFS('Aço'!$B$8:$B$107,A21,'Aço'!$O$8:$O$107,"Pendente: período")+COUNTIFS('Aço'!$B$8:$B$107,A21,'Aço'!$O$8:$O$107,"Pendente: data")+COUNTIFS('Aço'!$B$8:$B$107,A21,'Aço'!$O$8:$O$107,"Pendente: identificação")+COUNTIFS('Aço'!$B$8:$B$107,A21,'Aço'!$O$8:$O$107,"Pendente: artigo / material")+COUNTIFS('Aço'!$B$8:$B$107,A21,'Aço'!$O$8:$O$107,"Pendente: dimensões")&gt;0,"Pendente",SUMIFS('Aço'!$N$8:$N$107,'Aço'!$B$8:$B$107,A21,'Aço'!$O$8:$O$107,"OK")),IF(C21="Betão",IF(COUNTIFS('Betão'!$B$8:$B$107,A21,'Betão'!$M$8:$M$107,"Pendente: período")+COUNTIFS('Betão'!$B$8:$B$107,A21,'Betão'!$M$8:$M$107,"Pendente: data")+COUNTIFS('Betão'!$B$8:$B$107,A21,'Betão'!$M$8:$M$107,"Pendente: identificação")+COUNTIFS('Betão'!$B$8:$B$107,A21,'Betão'!$M$8:$M$107,"Pendente: artigo / material")+COUNTIFS('Betão'!$B$8:$B$107,A21,'Betão'!$M$8:$M$107,"Pendente: dimensões")&gt;0,"Pendente",SUMIFS('Betão'!$L$8:$L$107,'Betão'!$B$8:$B$107,A21,'Betão'!$M$8:$M$107,"OK")),IF(C21="Cofragem",IF(COUNTIFS('Cofragem'!$B$8:$B$107,A21,'Cofragem'!$K$8:$K$107,"Pendente: período")+COUNTIFS('Cofragem'!$B$8:$B$107,A21,'Cofragem'!$K$8:$K$107,"Pendente: data")+COUNTIFS('Cofragem'!$B$8:$B$107,A21,'Cofragem'!$K$8:$K$107,"Pendente: identificação")+COUNTIFS('Cofragem'!$B$8:$B$107,A21,'Cofragem'!$K$8:$K$107,"Pendente: artigo / material")+COUNTIFS('Cofragem'!$B$8:$B$107,A21,'Cofragem'!$K$8:$K$107,"Pendente: dimensões")&gt;0,"Pendente",SUMIFS('Cofragem'!$J$8:$J$107,'Cofragem'!$B$8:$B$107,A21,'Cofragem'!$K$8:$K$107,"OK")),"Pendente")))))</x:f>
      </x:c>
      <x:c r="H21" s="14" t="str">
        <x:f>IF(A21="","",IF(OR(NOT(ISNUMBER(F21)),NOT(ISNUMBER(G21))),"Pendente",F21+G21))</x:f>
      </x:c>
      <x:c r="I21" s="14" t="str">
        <x:f>IF(A21="","",IF(OR(NOT(ISNUMBER(E21)),NOT(ISNUMBER(H21))),"Pendente",E21-H21))</x:f>
      </x:c>
      <x:c r="J21" s="15" t="str">
        <x:f>IF(A21="","",IF(OR(NOT(ISNUMBER(E21)),NOT(ISNUMBER(H21))),"Pendente",IF(E21=0,"n.a.",H21/E21)))</x:f>
      </x:c>
      <x:c r="K21" s="16"/>
      <x:c r="L21" s="17" t="str">
        <x:f>IF(A21="","",IF(OR(NOT(ISNUMBER(G21)),NOT(ISNUMBER(K21))),"Pendente",ROUND(G21*K21,2)))</x:f>
      </x:c>
      <x:c r="M21" s="2" t="str">
        <x:f>IF(COUNTA(A21:C21,E21:F21,K21)=0,"",IF(A21="","Pendente: código",IF(COUNTIF($A$13:$A$42,A21)&gt;1,"Rever: código repetido",IF(OR(B21="",C21="",NOT(ISNUMBER(E21)),NOT(ISNUMBER(F21)),NOT(ISNUMBER(K21))),"Pendente: contrato / preço",IF(OR(E21&lt;0,F21&lt;0,K21&lt;0),"Rever: valor negativo",IF(NOT(ISNUMBER(L21)),"Pendente: medição",IF(H21&gt;E21,"Rever: excede contrato","OK")))))))</x:f>
      </x:c>
    </x:row>
    <x:row r="22" ht="23" customHeight="1">
      <x:c r="A22" s="12"/>
      <x:c r="B22" s="5"/>
      <x:c r="C22" s="5"/>
      <x:c r="D22" s="2" t="str">
        <x:f>IF(C22="","",IF(C22="Aço","kg",IF(C22="Betão","m³",IF(C22="Cofragem","m²","Rever"))))</x:f>
      </x:c>
      <x:c r="E22" s="13"/>
      <x:c r="F22" s="13"/>
      <x:c r="G22" s="14" t="str">
        <x:f>IF(A22="","",IF(OR($B$5="",$D$5="",$D$5&lt;$B$5),"Pendente",IF(C22="Aço",IF(COUNTIFS('Aço'!$B$8:$B$107,A22,'Aço'!$O$8:$O$107,"Pendente: período")+COUNTIFS('Aço'!$B$8:$B$107,A22,'Aço'!$O$8:$O$107,"Pendente: data")+COUNTIFS('Aço'!$B$8:$B$107,A22,'Aço'!$O$8:$O$107,"Pendente: identificação")+COUNTIFS('Aço'!$B$8:$B$107,A22,'Aço'!$O$8:$O$107,"Pendente: artigo / material")+COUNTIFS('Aço'!$B$8:$B$107,A22,'Aço'!$O$8:$O$107,"Pendente: dimensões")&gt;0,"Pendente",SUMIFS('Aço'!$N$8:$N$107,'Aço'!$B$8:$B$107,A22,'Aço'!$O$8:$O$107,"OK")),IF(C22="Betão",IF(COUNTIFS('Betão'!$B$8:$B$107,A22,'Betão'!$M$8:$M$107,"Pendente: período")+COUNTIFS('Betão'!$B$8:$B$107,A22,'Betão'!$M$8:$M$107,"Pendente: data")+COUNTIFS('Betão'!$B$8:$B$107,A22,'Betão'!$M$8:$M$107,"Pendente: identificação")+COUNTIFS('Betão'!$B$8:$B$107,A22,'Betão'!$M$8:$M$107,"Pendente: artigo / material")+COUNTIFS('Betão'!$B$8:$B$107,A22,'Betão'!$M$8:$M$107,"Pendente: dimensões")&gt;0,"Pendente",SUMIFS('Betão'!$L$8:$L$107,'Betão'!$B$8:$B$107,A22,'Betão'!$M$8:$M$107,"OK")),IF(C22="Cofragem",IF(COUNTIFS('Cofragem'!$B$8:$B$107,A22,'Cofragem'!$K$8:$K$107,"Pendente: período")+COUNTIFS('Cofragem'!$B$8:$B$107,A22,'Cofragem'!$K$8:$K$107,"Pendente: data")+COUNTIFS('Cofragem'!$B$8:$B$107,A22,'Cofragem'!$K$8:$K$107,"Pendente: identificação")+COUNTIFS('Cofragem'!$B$8:$B$107,A22,'Cofragem'!$K$8:$K$107,"Pendente: artigo / material")+COUNTIFS('Cofragem'!$B$8:$B$107,A22,'Cofragem'!$K$8:$K$107,"Pendente: dimensões")&gt;0,"Pendente",SUMIFS('Cofragem'!$J$8:$J$107,'Cofragem'!$B$8:$B$107,A22,'Cofragem'!$K$8:$K$107,"OK")),"Pendente")))))</x:f>
      </x:c>
      <x:c r="H22" s="14" t="str">
        <x:f>IF(A22="","",IF(OR(NOT(ISNUMBER(F22)),NOT(ISNUMBER(G22))),"Pendente",F22+G22))</x:f>
      </x:c>
      <x:c r="I22" s="14" t="str">
        <x:f>IF(A22="","",IF(OR(NOT(ISNUMBER(E22)),NOT(ISNUMBER(H22))),"Pendente",E22-H22))</x:f>
      </x:c>
      <x:c r="J22" s="15" t="str">
        <x:f>IF(A22="","",IF(OR(NOT(ISNUMBER(E22)),NOT(ISNUMBER(H22))),"Pendente",IF(E22=0,"n.a.",H22/E22)))</x:f>
      </x:c>
      <x:c r="K22" s="16"/>
      <x:c r="L22" s="17" t="str">
        <x:f>IF(A22="","",IF(OR(NOT(ISNUMBER(G22)),NOT(ISNUMBER(K22))),"Pendente",ROUND(G22*K22,2)))</x:f>
      </x:c>
      <x:c r="M22" s="2" t="str">
        <x:f>IF(COUNTA(A22:C22,E22:F22,K22)=0,"",IF(A22="","Pendente: código",IF(COUNTIF($A$13:$A$42,A22)&gt;1,"Rever: código repetido",IF(OR(B22="",C22="",NOT(ISNUMBER(E22)),NOT(ISNUMBER(F22)),NOT(ISNUMBER(K22))),"Pendente: contrato / preço",IF(OR(E22&lt;0,F22&lt;0,K22&lt;0),"Rever: valor negativo",IF(NOT(ISNUMBER(L22)),"Pendente: medição",IF(H22&gt;E22,"Rever: excede contrato","OK")))))))</x:f>
      </x:c>
    </x:row>
    <x:row r="23" ht="23" customHeight="1">
      <x:c r="A23" s="12"/>
      <x:c r="B23" s="5"/>
      <x:c r="C23" s="5"/>
      <x:c r="D23" s="2" t="str">
        <x:f>IF(C23="","",IF(C23="Aço","kg",IF(C23="Betão","m³",IF(C23="Cofragem","m²","Rever"))))</x:f>
      </x:c>
      <x:c r="E23" s="13"/>
      <x:c r="F23" s="13"/>
      <x:c r="G23" s="14" t="str">
        <x:f>IF(A23="","",IF(OR($B$5="",$D$5="",$D$5&lt;$B$5),"Pendente",IF(C23="Aço",IF(COUNTIFS('Aço'!$B$8:$B$107,A23,'Aço'!$O$8:$O$107,"Pendente: período")+COUNTIFS('Aço'!$B$8:$B$107,A23,'Aço'!$O$8:$O$107,"Pendente: data")+COUNTIFS('Aço'!$B$8:$B$107,A23,'Aço'!$O$8:$O$107,"Pendente: identificação")+COUNTIFS('Aço'!$B$8:$B$107,A23,'Aço'!$O$8:$O$107,"Pendente: artigo / material")+COUNTIFS('Aço'!$B$8:$B$107,A23,'Aço'!$O$8:$O$107,"Pendente: dimensões")&gt;0,"Pendente",SUMIFS('Aço'!$N$8:$N$107,'Aço'!$B$8:$B$107,A23,'Aço'!$O$8:$O$107,"OK")),IF(C23="Betão",IF(COUNTIFS('Betão'!$B$8:$B$107,A23,'Betão'!$M$8:$M$107,"Pendente: período")+COUNTIFS('Betão'!$B$8:$B$107,A23,'Betão'!$M$8:$M$107,"Pendente: data")+COUNTIFS('Betão'!$B$8:$B$107,A23,'Betão'!$M$8:$M$107,"Pendente: identificação")+COUNTIFS('Betão'!$B$8:$B$107,A23,'Betão'!$M$8:$M$107,"Pendente: artigo / material")+COUNTIFS('Betão'!$B$8:$B$107,A23,'Betão'!$M$8:$M$107,"Pendente: dimensões")&gt;0,"Pendente",SUMIFS('Betão'!$L$8:$L$107,'Betão'!$B$8:$B$107,A23,'Betão'!$M$8:$M$107,"OK")),IF(C23="Cofragem",IF(COUNTIFS('Cofragem'!$B$8:$B$107,A23,'Cofragem'!$K$8:$K$107,"Pendente: período")+COUNTIFS('Cofragem'!$B$8:$B$107,A23,'Cofragem'!$K$8:$K$107,"Pendente: data")+COUNTIFS('Cofragem'!$B$8:$B$107,A23,'Cofragem'!$K$8:$K$107,"Pendente: identificação")+COUNTIFS('Cofragem'!$B$8:$B$107,A23,'Cofragem'!$K$8:$K$107,"Pendente: artigo / material")+COUNTIFS('Cofragem'!$B$8:$B$107,A23,'Cofragem'!$K$8:$K$107,"Pendente: dimensões")&gt;0,"Pendente",SUMIFS('Cofragem'!$J$8:$J$107,'Cofragem'!$B$8:$B$107,A23,'Cofragem'!$K$8:$K$107,"OK")),"Pendente")))))</x:f>
      </x:c>
      <x:c r="H23" s="14" t="str">
        <x:f>IF(A23="","",IF(OR(NOT(ISNUMBER(F23)),NOT(ISNUMBER(G23))),"Pendente",F23+G23))</x:f>
      </x:c>
      <x:c r="I23" s="14" t="str">
        <x:f>IF(A23="","",IF(OR(NOT(ISNUMBER(E23)),NOT(ISNUMBER(H23))),"Pendente",E23-H23))</x:f>
      </x:c>
      <x:c r="J23" s="15" t="str">
        <x:f>IF(A23="","",IF(OR(NOT(ISNUMBER(E23)),NOT(ISNUMBER(H23))),"Pendente",IF(E23=0,"n.a.",H23/E23)))</x:f>
      </x:c>
      <x:c r="K23" s="16"/>
      <x:c r="L23" s="17" t="str">
        <x:f>IF(A23="","",IF(OR(NOT(ISNUMBER(G23)),NOT(ISNUMBER(K23))),"Pendente",ROUND(G23*K23,2)))</x:f>
      </x:c>
      <x:c r="M23" s="2" t="str">
        <x:f>IF(COUNTA(A23:C23,E23:F23,K23)=0,"",IF(A23="","Pendente: código",IF(COUNTIF($A$13:$A$42,A23)&gt;1,"Rever: código repetido",IF(OR(B23="",C23="",NOT(ISNUMBER(E23)),NOT(ISNUMBER(F23)),NOT(ISNUMBER(K23))),"Pendente: contrato / preço",IF(OR(E23&lt;0,F23&lt;0,K23&lt;0),"Rever: valor negativo",IF(NOT(ISNUMBER(L23)),"Pendente: medição",IF(H23&gt;E23,"Rever: excede contrato","OK")))))))</x:f>
      </x:c>
    </x:row>
    <x:row r="24" ht="23" customHeight="1">
      <x:c r="A24" s="12"/>
      <x:c r="B24" s="5"/>
      <x:c r="C24" s="5"/>
      <x:c r="D24" s="2" t="str">
        <x:f>IF(C24="","",IF(C24="Aço","kg",IF(C24="Betão","m³",IF(C24="Cofragem","m²","Rever"))))</x:f>
      </x:c>
      <x:c r="E24" s="13"/>
      <x:c r="F24" s="13"/>
      <x:c r="G24" s="14" t="str">
        <x:f>IF(A24="","",IF(OR($B$5="",$D$5="",$D$5&lt;$B$5),"Pendente",IF(C24="Aço",IF(COUNTIFS('Aço'!$B$8:$B$107,A24,'Aço'!$O$8:$O$107,"Pendente: período")+COUNTIFS('Aço'!$B$8:$B$107,A24,'Aço'!$O$8:$O$107,"Pendente: data")+COUNTIFS('Aço'!$B$8:$B$107,A24,'Aço'!$O$8:$O$107,"Pendente: identificação")+COUNTIFS('Aço'!$B$8:$B$107,A24,'Aço'!$O$8:$O$107,"Pendente: artigo / material")+COUNTIFS('Aço'!$B$8:$B$107,A24,'Aço'!$O$8:$O$107,"Pendente: dimensões")&gt;0,"Pendente",SUMIFS('Aço'!$N$8:$N$107,'Aço'!$B$8:$B$107,A24,'Aço'!$O$8:$O$107,"OK")),IF(C24="Betão",IF(COUNTIFS('Betão'!$B$8:$B$107,A24,'Betão'!$M$8:$M$107,"Pendente: período")+COUNTIFS('Betão'!$B$8:$B$107,A24,'Betão'!$M$8:$M$107,"Pendente: data")+COUNTIFS('Betão'!$B$8:$B$107,A24,'Betão'!$M$8:$M$107,"Pendente: identificação")+COUNTIFS('Betão'!$B$8:$B$107,A24,'Betão'!$M$8:$M$107,"Pendente: artigo / material")+COUNTIFS('Betão'!$B$8:$B$107,A24,'Betão'!$M$8:$M$107,"Pendente: dimensões")&gt;0,"Pendente",SUMIFS('Betão'!$L$8:$L$107,'Betão'!$B$8:$B$107,A24,'Betão'!$M$8:$M$107,"OK")),IF(C24="Cofragem",IF(COUNTIFS('Cofragem'!$B$8:$B$107,A24,'Cofragem'!$K$8:$K$107,"Pendente: período")+COUNTIFS('Cofragem'!$B$8:$B$107,A24,'Cofragem'!$K$8:$K$107,"Pendente: data")+COUNTIFS('Cofragem'!$B$8:$B$107,A24,'Cofragem'!$K$8:$K$107,"Pendente: identificação")+COUNTIFS('Cofragem'!$B$8:$B$107,A24,'Cofragem'!$K$8:$K$107,"Pendente: artigo / material")+COUNTIFS('Cofragem'!$B$8:$B$107,A24,'Cofragem'!$K$8:$K$107,"Pendente: dimensões")&gt;0,"Pendente",SUMIFS('Cofragem'!$J$8:$J$107,'Cofragem'!$B$8:$B$107,A24,'Cofragem'!$K$8:$K$107,"OK")),"Pendente")))))</x:f>
      </x:c>
      <x:c r="H24" s="14" t="str">
        <x:f>IF(A24="","",IF(OR(NOT(ISNUMBER(F24)),NOT(ISNUMBER(G24))),"Pendente",F24+G24))</x:f>
      </x:c>
      <x:c r="I24" s="14" t="str">
        <x:f>IF(A24="","",IF(OR(NOT(ISNUMBER(E24)),NOT(ISNUMBER(H24))),"Pendente",E24-H24))</x:f>
      </x:c>
      <x:c r="J24" s="15" t="str">
        <x:f>IF(A24="","",IF(OR(NOT(ISNUMBER(E24)),NOT(ISNUMBER(H24))),"Pendente",IF(E24=0,"n.a.",H24/E24)))</x:f>
      </x:c>
      <x:c r="K24" s="16"/>
      <x:c r="L24" s="17" t="str">
        <x:f>IF(A24="","",IF(OR(NOT(ISNUMBER(G24)),NOT(ISNUMBER(K24))),"Pendente",ROUND(G24*K24,2)))</x:f>
      </x:c>
      <x:c r="M24" s="2" t="str">
        <x:f>IF(COUNTA(A24:C24,E24:F24,K24)=0,"",IF(A24="","Pendente: código",IF(COUNTIF($A$13:$A$42,A24)&gt;1,"Rever: código repetido",IF(OR(B24="",C24="",NOT(ISNUMBER(E24)),NOT(ISNUMBER(F24)),NOT(ISNUMBER(K24))),"Pendente: contrato / preço",IF(OR(E24&lt;0,F24&lt;0,K24&lt;0),"Rever: valor negativo",IF(NOT(ISNUMBER(L24)),"Pendente: medição",IF(H24&gt;E24,"Rever: excede contrato","OK")))))))</x:f>
      </x:c>
    </x:row>
    <x:row r="25" ht="23" customHeight="1">
      <x:c r="A25" s="12"/>
      <x:c r="B25" s="5"/>
      <x:c r="C25" s="5"/>
      <x:c r="D25" s="2" t="str">
        <x:f>IF(C25="","",IF(C25="Aço","kg",IF(C25="Betão","m³",IF(C25="Cofragem","m²","Rever"))))</x:f>
      </x:c>
      <x:c r="E25" s="13"/>
      <x:c r="F25" s="13"/>
      <x:c r="G25" s="14" t="str">
        <x:f>IF(A25="","",IF(OR($B$5="",$D$5="",$D$5&lt;$B$5),"Pendente",IF(C25="Aço",IF(COUNTIFS('Aço'!$B$8:$B$107,A25,'Aço'!$O$8:$O$107,"Pendente: período")+COUNTIFS('Aço'!$B$8:$B$107,A25,'Aço'!$O$8:$O$107,"Pendente: data")+COUNTIFS('Aço'!$B$8:$B$107,A25,'Aço'!$O$8:$O$107,"Pendente: identificação")+COUNTIFS('Aço'!$B$8:$B$107,A25,'Aço'!$O$8:$O$107,"Pendente: artigo / material")+COUNTIFS('Aço'!$B$8:$B$107,A25,'Aço'!$O$8:$O$107,"Pendente: dimensões")&gt;0,"Pendente",SUMIFS('Aço'!$N$8:$N$107,'Aço'!$B$8:$B$107,A25,'Aço'!$O$8:$O$107,"OK")),IF(C25="Betão",IF(COUNTIFS('Betão'!$B$8:$B$107,A25,'Betão'!$M$8:$M$107,"Pendente: período")+COUNTIFS('Betão'!$B$8:$B$107,A25,'Betão'!$M$8:$M$107,"Pendente: data")+COUNTIFS('Betão'!$B$8:$B$107,A25,'Betão'!$M$8:$M$107,"Pendente: identificação")+COUNTIFS('Betão'!$B$8:$B$107,A25,'Betão'!$M$8:$M$107,"Pendente: artigo / material")+COUNTIFS('Betão'!$B$8:$B$107,A25,'Betão'!$M$8:$M$107,"Pendente: dimensões")&gt;0,"Pendente",SUMIFS('Betão'!$L$8:$L$107,'Betão'!$B$8:$B$107,A25,'Betão'!$M$8:$M$107,"OK")),IF(C25="Cofragem",IF(COUNTIFS('Cofragem'!$B$8:$B$107,A25,'Cofragem'!$K$8:$K$107,"Pendente: período")+COUNTIFS('Cofragem'!$B$8:$B$107,A25,'Cofragem'!$K$8:$K$107,"Pendente: data")+COUNTIFS('Cofragem'!$B$8:$B$107,A25,'Cofragem'!$K$8:$K$107,"Pendente: identificação")+COUNTIFS('Cofragem'!$B$8:$B$107,A25,'Cofragem'!$K$8:$K$107,"Pendente: artigo / material")+COUNTIFS('Cofragem'!$B$8:$B$107,A25,'Cofragem'!$K$8:$K$107,"Pendente: dimensões")&gt;0,"Pendente",SUMIFS('Cofragem'!$J$8:$J$107,'Cofragem'!$B$8:$B$107,A25,'Cofragem'!$K$8:$K$107,"OK")),"Pendente")))))</x:f>
      </x:c>
      <x:c r="H25" s="14" t="str">
        <x:f>IF(A25="","",IF(OR(NOT(ISNUMBER(F25)),NOT(ISNUMBER(G25))),"Pendente",F25+G25))</x:f>
      </x:c>
      <x:c r="I25" s="14" t="str">
        <x:f>IF(A25="","",IF(OR(NOT(ISNUMBER(E25)),NOT(ISNUMBER(H25))),"Pendente",E25-H25))</x:f>
      </x:c>
      <x:c r="J25" s="15" t="str">
        <x:f>IF(A25="","",IF(OR(NOT(ISNUMBER(E25)),NOT(ISNUMBER(H25))),"Pendente",IF(E25=0,"n.a.",H25/E25)))</x:f>
      </x:c>
      <x:c r="K25" s="16"/>
      <x:c r="L25" s="17" t="str">
        <x:f>IF(A25="","",IF(OR(NOT(ISNUMBER(G25)),NOT(ISNUMBER(K25))),"Pendente",ROUND(G25*K25,2)))</x:f>
      </x:c>
      <x:c r="M25" s="2" t="str">
        <x:f>IF(COUNTA(A25:C25,E25:F25,K25)=0,"",IF(A25="","Pendente: código",IF(COUNTIF($A$13:$A$42,A25)&gt;1,"Rever: código repetido",IF(OR(B25="",C25="",NOT(ISNUMBER(E25)),NOT(ISNUMBER(F25)),NOT(ISNUMBER(K25))),"Pendente: contrato / preço",IF(OR(E25&lt;0,F25&lt;0,K25&lt;0),"Rever: valor negativo",IF(NOT(ISNUMBER(L25)),"Pendente: medição",IF(H25&gt;E25,"Rever: excede contrato","OK")))))))</x:f>
      </x:c>
    </x:row>
    <x:row r="26" ht="23" customHeight="1">
      <x:c r="A26" s="12"/>
      <x:c r="B26" s="5"/>
      <x:c r="C26" s="5"/>
      <x:c r="D26" s="2" t="str">
        <x:f>IF(C26="","",IF(C26="Aço","kg",IF(C26="Betão","m³",IF(C26="Cofragem","m²","Rever"))))</x:f>
      </x:c>
      <x:c r="E26" s="13"/>
      <x:c r="F26" s="13"/>
      <x:c r="G26" s="14" t="str">
        <x:f>IF(A26="","",IF(OR($B$5="",$D$5="",$D$5&lt;$B$5),"Pendente",IF(C26="Aço",IF(COUNTIFS('Aço'!$B$8:$B$107,A26,'Aço'!$O$8:$O$107,"Pendente: período")+COUNTIFS('Aço'!$B$8:$B$107,A26,'Aço'!$O$8:$O$107,"Pendente: data")+COUNTIFS('Aço'!$B$8:$B$107,A26,'Aço'!$O$8:$O$107,"Pendente: identificação")+COUNTIFS('Aço'!$B$8:$B$107,A26,'Aço'!$O$8:$O$107,"Pendente: artigo / material")+COUNTIFS('Aço'!$B$8:$B$107,A26,'Aço'!$O$8:$O$107,"Pendente: dimensões")&gt;0,"Pendente",SUMIFS('Aço'!$N$8:$N$107,'Aço'!$B$8:$B$107,A26,'Aço'!$O$8:$O$107,"OK")),IF(C26="Betão",IF(COUNTIFS('Betão'!$B$8:$B$107,A26,'Betão'!$M$8:$M$107,"Pendente: período")+COUNTIFS('Betão'!$B$8:$B$107,A26,'Betão'!$M$8:$M$107,"Pendente: data")+COUNTIFS('Betão'!$B$8:$B$107,A26,'Betão'!$M$8:$M$107,"Pendente: identificação")+COUNTIFS('Betão'!$B$8:$B$107,A26,'Betão'!$M$8:$M$107,"Pendente: artigo / material")+COUNTIFS('Betão'!$B$8:$B$107,A26,'Betão'!$M$8:$M$107,"Pendente: dimensões")&gt;0,"Pendente",SUMIFS('Betão'!$L$8:$L$107,'Betão'!$B$8:$B$107,A26,'Betão'!$M$8:$M$107,"OK")),IF(C26="Cofragem",IF(COUNTIFS('Cofragem'!$B$8:$B$107,A26,'Cofragem'!$K$8:$K$107,"Pendente: período")+COUNTIFS('Cofragem'!$B$8:$B$107,A26,'Cofragem'!$K$8:$K$107,"Pendente: data")+COUNTIFS('Cofragem'!$B$8:$B$107,A26,'Cofragem'!$K$8:$K$107,"Pendente: identificação")+COUNTIFS('Cofragem'!$B$8:$B$107,A26,'Cofragem'!$K$8:$K$107,"Pendente: artigo / material")+COUNTIFS('Cofragem'!$B$8:$B$107,A26,'Cofragem'!$K$8:$K$107,"Pendente: dimensões")&gt;0,"Pendente",SUMIFS('Cofragem'!$J$8:$J$107,'Cofragem'!$B$8:$B$107,A26,'Cofragem'!$K$8:$K$107,"OK")),"Pendente")))))</x:f>
      </x:c>
      <x:c r="H26" s="14" t="str">
        <x:f>IF(A26="","",IF(OR(NOT(ISNUMBER(F26)),NOT(ISNUMBER(G26))),"Pendente",F26+G26))</x:f>
      </x:c>
      <x:c r="I26" s="14" t="str">
        <x:f>IF(A26="","",IF(OR(NOT(ISNUMBER(E26)),NOT(ISNUMBER(H26))),"Pendente",E26-H26))</x:f>
      </x:c>
      <x:c r="J26" s="15" t="str">
        <x:f>IF(A26="","",IF(OR(NOT(ISNUMBER(E26)),NOT(ISNUMBER(H26))),"Pendente",IF(E26=0,"n.a.",H26/E26)))</x:f>
      </x:c>
      <x:c r="K26" s="16"/>
      <x:c r="L26" s="17" t="str">
        <x:f>IF(A26="","",IF(OR(NOT(ISNUMBER(G26)),NOT(ISNUMBER(K26))),"Pendente",ROUND(G26*K26,2)))</x:f>
      </x:c>
      <x:c r="M26" s="2" t="str">
        <x:f>IF(COUNTA(A26:C26,E26:F26,K26)=0,"",IF(A26="","Pendente: código",IF(COUNTIF($A$13:$A$42,A26)&gt;1,"Rever: código repetido",IF(OR(B26="",C26="",NOT(ISNUMBER(E26)),NOT(ISNUMBER(F26)),NOT(ISNUMBER(K26))),"Pendente: contrato / preço",IF(OR(E26&lt;0,F26&lt;0,K26&lt;0),"Rever: valor negativo",IF(NOT(ISNUMBER(L26)),"Pendente: medição",IF(H26&gt;E26,"Rever: excede contrato","OK")))))))</x:f>
      </x:c>
    </x:row>
    <x:row r="27" ht="23" customHeight="1">
      <x:c r="A27" s="12"/>
      <x:c r="B27" s="5"/>
      <x:c r="C27" s="5"/>
      <x:c r="D27" s="2" t="str">
        <x:f>IF(C27="","",IF(C27="Aço","kg",IF(C27="Betão","m³",IF(C27="Cofragem","m²","Rever"))))</x:f>
      </x:c>
      <x:c r="E27" s="13"/>
      <x:c r="F27" s="13"/>
      <x:c r="G27" s="14" t="str">
        <x:f>IF(A27="","",IF(OR($B$5="",$D$5="",$D$5&lt;$B$5),"Pendente",IF(C27="Aço",IF(COUNTIFS('Aço'!$B$8:$B$107,A27,'Aço'!$O$8:$O$107,"Pendente: período")+COUNTIFS('Aço'!$B$8:$B$107,A27,'Aço'!$O$8:$O$107,"Pendente: data")+COUNTIFS('Aço'!$B$8:$B$107,A27,'Aço'!$O$8:$O$107,"Pendente: identificação")+COUNTIFS('Aço'!$B$8:$B$107,A27,'Aço'!$O$8:$O$107,"Pendente: artigo / material")+COUNTIFS('Aço'!$B$8:$B$107,A27,'Aço'!$O$8:$O$107,"Pendente: dimensões")&gt;0,"Pendente",SUMIFS('Aço'!$N$8:$N$107,'Aço'!$B$8:$B$107,A27,'Aço'!$O$8:$O$107,"OK")),IF(C27="Betão",IF(COUNTIFS('Betão'!$B$8:$B$107,A27,'Betão'!$M$8:$M$107,"Pendente: período")+COUNTIFS('Betão'!$B$8:$B$107,A27,'Betão'!$M$8:$M$107,"Pendente: data")+COUNTIFS('Betão'!$B$8:$B$107,A27,'Betão'!$M$8:$M$107,"Pendente: identificação")+COUNTIFS('Betão'!$B$8:$B$107,A27,'Betão'!$M$8:$M$107,"Pendente: artigo / material")+COUNTIFS('Betão'!$B$8:$B$107,A27,'Betão'!$M$8:$M$107,"Pendente: dimensões")&gt;0,"Pendente",SUMIFS('Betão'!$L$8:$L$107,'Betão'!$B$8:$B$107,A27,'Betão'!$M$8:$M$107,"OK")),IF(C27="Cofragem",IF(COUNTIFS('Cofragem'!$B$8:$B$107,A27,'Cofragem'!$K$8:$K$107,"Pendente: período")+COUNTIFS('Cofragem'!$B$8:$B$107,A27,'Cofragem'!$K$8:$K$107,"Pendente: data")+COUNTIFS('Cofragem'!$B$8:$B$107,A27,'Cofragem'!$K$8:$K$107,"Pendente: identificação")+COUNTIFS('Cofragem'!$B$8:$B$107,A27,'Cofragem'!$K$8:$K$107,"Pendente: artigo / material")+COUNTIFS('Cofragem'!$B$8:$B$107,A27,'Cofragem'!$K$8:$K$107,"Pendente: dimensões")&gt;0,"Pendente",SUMIFS('Cofragem'!$J$8:$J$107,'Cofragem'!$B$8:$B$107,A27,'Cofragem'!$K$8:$K$107,"OK")),"Pendente")))))</x:f>
      </x:c>
      <x:c r="H27" s="14" t="str">
        <x:f>IF(A27="","",IF(OR(NOT(ISNUMBER(F27)),NOT(ISNUMBER(G27))),"Pendente",F27+G27))</x:f>
      </x:c>
      <x:c r="I27" s="14" t="str">
        <x:f>IF(A27="","",IF(OR(NOT(ISNUMBER(E27)),NOT(ISNUMBER(H27))),"Pendente",E27-H27))</x:f>
      </x:c>
      <x:c r="J27" s="15" t="str">
        <x:f>IF(A27="","",IF(OR(NOT(ISNUMBER(E27)),NOT(ISNUMBER(H27))),"Pendente",IF(E27=0,"n.a.",H27/E27)))</x:f>
      </x:c>
      <x:c r="K27" s="16"/>
      <x:c r="L27" s="17" t="str">
        <x:f>IF(A27="","",IF(OR(NOT(ISNUMBER(G27)),NOT(ISNUMBER(K27))),"Pendente",ROUND(G27*K27,2)))</x:f>
      </x:c>
      <x:c r="M27" s="2" t="str">
        <x:f>IF(COUNTA(A27:C27,E27:F27,K27)=0,"",IF(A27="","Pendente: código",IF(COUNTIF($A$13:$A$42,A27)&gt;1,"Rever: código repetido",IF(OR(B27="",C27="",NOT(ISNUMBER(E27)),NOT(ISNUMBER(F27)),NOT(ISNUMBER(K27))),"Pendente: contrato / preço",IF(OR(E27&lt;0,F27&lt;0,K27&lt;0),"Rever: valor negativo",IF(NOT(ISNUMBER(L27)),"Pendente: medição",IF(H27&gt;E27,"Rever: excede contrato","OK")))))))</x:f>
      </x:c>
    </x:row>
    <x:row r="28" ht="23" customHeight="1">
      <x:c r="A28" s="12"/>
      <x:c r="B28" s="5"/>
      <x:c r="C28" s="5"/>
      <x:c r="D28" s="2" t="str">
        <x:f>IF(C28="","",IF(C28="Aço","kg",IF(C28="Betão","m³",IF(C28="Cofragem","m²","Rever"))))</x:f>
      </x:c>
      <x:c r="E28" s="13"/>
      <x:c r="F28" s="13"/>
      <x:c r="G28" s="14" t="str">
        <x:f>IF(A28="","",IF(OR($B$5="",$D$5="",$D$5&lt;$B$5),"Pendente",IF(C28="Aço",IF(COUNTIFS('Aço'!$B$8:$B$107,A28,'Aço'!$O$8:$O$107,"Pendente: período")+COUNTIFS('Aço'!$B$8:$B$107,A28,'Aço'!$O$8:$O$107,"Pendente: data")+COUNTIFS('Aço'!$B$8:$B$107,A28,'Aço'!$O$8:$O$107,"Pendente: identificação")+COUNTIFS('Aço'!$B$8:$B$107,A28,'Aço'!$O$8:$O$107,"Pendente: artigo / material")+COUNTIFS('Aço'!$B$8:$B$107,A28,'Aço'!$O$8:$O$107,"Pendente: dimensões")&gt;0,"Pendente",SUMIFS('Aço'!$N$8:$N$107,'Aço'!$B$8:$B$107,A28,'Aço'!$O$8:$O$107,"OK")),IF(C28="Betão",IF(COUNTIFS('Betão'!$B$8:$B$107,A28,'Betão'!$M$8:$M$107,"Pendente: período")+COUNTIFS('Betão'!$B$8:$B$107,A28,'Betão'!$M$8:$M$107,"Pendente: data")+COUNTIFS('Betão'!$B$8:$B$107,A28,'Betão'!$M$8:$M$107,"Pendente: identificação")+COUNTIFS('Betão'!$B$8:$B$107,A28,'Betão'!$M$8:$M$107,"Pendente: artigo / material")+COUNTIFS('Betão'!$B$8:$B$107,A28,'Betão'!$M$8:$M$107,"Pendente: dimensões")&gt;0,"Pendente",SUMIFS('Betão'!$L$8:$L$107,'Betão'!$B$8:$B$107,A28,'Betão'!$M$8:$M$107,"OK")),IF(C28="Cofragem",IF(COUNTIFS('Cofragem'!$B$8:$B$107,A28,'Cofragem'!$K$8:$K$107,"Pendente: período")+COUNTIFS('Cofragem'!$B$8:$B$107,A28,'Cofragem'!$K$8:$K$107,"Pendente: data")+COUNTIFS('Cofragem'!$B$8:$B$107,A28,'Cofragem'!$K$8:$K$107,"Pendente: identificação")+COUNTIFS('Cofragem'!$B$8:$B$107,A28,'Cofragem'!$K$8:$K$107,"Pendente: artigo / material")+COUNTIFS('Cofragem'!$B$8:$B$107,A28,'Cofragem'!$K$8:$K$107,"Pendente: dimensões")&gt;0,"Pendente",SUMIFS('Cofragem'!$J$8:$J$107,'Cofragem'!$B$8:$B$107,A28,'Cofragem'!$K$8:$K$107,"OK")),"Pendente")))))</x:f>
      </x:c>
      <x:c r="H28" s="14" t="str">
        <x:f>IF(A28="","",IF(OR(NOT(ISNUMBER(F28)),NOT(ISNUMBER(G28))),"Pendente",F28+G28))</x:f>
      </x:c>
      <x:c r="I28" s="14" t="str">
        <x:f>IF(A28="","",IF(OR(NOT(ISNUMBER(E28)),NOT(ISNUMBER(H28))),"Pendente",E28-H28))</x:f>
      </x:c>
      <x:c r="J28" s="15" t="str">
        <x:f>IF(A28="","",IF(OR(NOT(ISNUMBER(E28)),NOT(ISNUMBER(H28))),"Pendente",IF(E28=0,"n.a.",H28/E28)))</x:f>
      </x:c>
      <x:c r="K28" s="16"/>
      <x:c r="L28" s="17" t="str">
        <x:f>IF(A28="","",IF(OR(NOT(ISNUMBER(G28)),NOT(ISNUMBER(K28))),"Pendente",ROUND(G28*K28,2)))</x:f>
      </x:c>
      <x:c r="M28" s="2" t="str">
        <x:f>IF(COUNTA(A28:C28,E28:F28,K28)=0,"",IF(A28="","Pendente: código",IF(COUNTIF($A$13:$A$42,A28)&gt;1,"Rever: código repetido",IF(OR(B28="",C28="",NOT(ISNUMBER(E28)),NOT(ISNUMBER(F28)),NOT(ISNUMBER(K28))),"Pendente: contrato / preço",IF(OR(E28&lt;0,F28&lt;0,K28&lt;0),"Rever: valor negativo",IF(NOT(ISNUMBER(L28)),"Pendente: medição",IF(H28&gt;E28,"Rever: excede contrato","OK")))))))</x:f>
      </x:c>
    </x:row>
    <x:row r="29" ht="23" customHeight="1">
      <x:c r="A29" s="12"/>
      <x:c r="B29" s="5"/>
      <x:c r="C29" s="5"/>
      <x:c r="D29" s="2" t="str">
        <x:f>IF(C29="","",IF(C29="Aço","kg",IF(C29="Betão","m³",IF(C29="Cofragem","m²","Rever"))))</x:f>
      </x:c>
      <x:c r="E29" s="13"/>
      <x:c r="F29" s="13"/>
      <x:c r="G29" s="14" t="str">
        <x:f>IF(A29="","",IF(OR($B$5="",$D$5="",$D$5&lt;$B$5),"Pendente",IF(C29="Aço",IF(COUNTIFS('Aço'!$B$8:$B$107,A29,'Aço'!$O$8:$O$107,"Pendente: período")+COUNTIFS('Aço'!$B$8:$B$107,A29,'Aço'!$O$8:$O$107,"Pendente: data")+COUNTIFS('Aço'!$B$8:$B$107,A29,'Aço'!$O$8:$O$107,"Pendente: identificação")+COUNTIFS('Aço'!$B$8:$B$107,A29,'Aço'!$O$8:$O$107,"Pendente: artigo / material")+COUNTIFS('Aço'!$B$8:$B$107,A29,'Aço'!$O$8:$O$107,"Pendente: dimensões")&gt;0,"Pendente",SUMIFS('Aço'!$N$8:$N$107,'Aço'!$B$8:$B$107,A29,'Aço'!$O$8:$O$107,"OK")),IF(C29="Betão",IF(COUNTIFS('Betão'!$B$8:$B$107,A29,'Betão'!$M$8:$M$107,"Pendente: período")+COUNTIFS('Betão'!$B$8:$B$107,A29,'Betão'!$M$8:$M$107,"Pendente: data")+COUNTIFS('Betão'!$B$8:$B$107,A29,'Betão'!$M$8:$M$107,"Pendente: identificação")+COUNTIFS('Betão'!$B$8:$B$107,A29,'Betão'!$M$8:$M$107,"Pendente: artigo / material")+COUNTIFS('Betão'!$B$8:$B$107,A29,'Betão'!$M$8:$M$107,"Pendente: dimensões")&gt;0,"Pendente",SUMIFS('Betão'!$L$8:$L$107,'Betão'!$B$8:$B$107,A29,'Betão'!$M$8:$M$107,"OK")),IF(C29="Cofragem",IF(COUNTIFS('Cofragem'!$B$8:$B$107,A29,'Cofragem'!$K$8:$K$107,"Pendente: período")+COUNTIFS('Cofragem'!$B$8:$B$107,A29,'Cofragem'!$K$8:$K$107,"Pendente: data")+COUNTIFS('Cofragem'!$B$8:$B$107,A29,'Cofragem'!$K$8:$K$107,"Pendente: identificação")+COUNTIFS('Cofragem'!$B$8:$B$107,A29,'Cofragem'!$K$8:$K$107,"Pendente: artigo / material")+COUNTIFS('Cofragem'!$B$8:$B$107,A29,'Cofragem'!$K$8:$K$107,"Pendente: dimensões")&gt;0,"Pendente",SUMIFS('Cofragem'!$J$8:$J$107,'Cofragem'!$B$8:$B$107,A29,'Cofragem'!$K$8:$K$107,"OK")),"Pendente")))))</x:f>
      </x:c>
      <x:c r="H29" s="14" t="str">
        <x:f>IF(A29="","",IF(OR(NOT(ISNUMBER(F29)),NOT(ISNUMBER(G29))),"Pendente",F29+G29))</x:f>
      </x:c>
      <x:c r="I29" s="14" t="str">
        <x:f>IF(A29="","",IF(OR(NOT(ISNUMBER(E29)),NOT(ISNUMBER(H29))),"Pendente",E29-H29))</x:f>
      </x:c>
      <x:c r="J29" s="15" t="str">
        <x:f>IF(A29="","",IF(OR(NOT(ISNUMBER(E29)),NOT(ISNUMBER(H29))),"Pendente",IF(E29=0,"n.a.",H29/E29)))</x:f>
      </x:c>
      <x:c r="K29" s="16"/>
      <x:c r="L29" s="17" t="str">
        <x:f>IF(A29="","",IF(OR(NOT(ISNUMBER(G29)),NOT(ISNUMBER(K29))),"Pendente",ROUND(G29*K29,2)))</x:f>
      </x:c>
      <x:c r="M29" s="2" t="str">
        <x:f>IF(COUNTA(A29:C29,E29:F29,K29)=0,"",IF(A29="","Pendente: código",IF(COUNTIF($A$13:$A$42,A29)&gt;1,"Rever: código repetido",IF(OR(B29="",C29="",NOT(ISNUMBER(E29)),NOT(ISNUMBER(F29)),NOT(ISNUMBER(K29))),"Pendente: contrato / preço",IF(OR(E29&lt;0,F29&lt;0,K29&lt;0),"Rever: valor negativo",IF(NOT(ISNUMBER(L29)),"Pendente: medição",IF(H29&gt;E29,"Rever: excede contrato","OK")))))))</x:f>
      </x:c>
    </x:row>
    <x:row r="30" ht="23" customHeight="1">
      <x:c r="A30" s="12"/>
      <x:c r="B30" s="5"/>
      <x:c r="C30" s="5"/>
      <x:c r="D30" s="2" t="str">
        <x:f>IF(C30="","",IF(C30="Aço","kg",IF(C30="Betão","m³",IF(C30="Cofragem","m²","Rever"))))</x:f>
      </x:c>
      <x:c r="E30" s="13"/>
      <x:c r="F30" s="13"/>
      <x:c r="G30" s="14" t="str">
        <x:f>IF(A30="","",IF(OR($B$5="",$D$5="",$D$5&lt;$B$5),"Pendente",IF(C30="Aço",IF(COUNTIFS('Aço'!$B$8:$B$107,A30,'Aço'!$O$8:$O$107,"Pendente: período")+COUNTIFS('Aço'!$B$8:$B$107,A30,'Aço'!$O$8:$O$107,"Pendente: data")+COUNTIFS('Aço'!$B$8:$B$107,A30,'Aço'!$O$8:$O$107,"Pendente: identificação")+COUNTIFS('Aço'!$B$8:$B$107,A30,'Aço'!$O$8:$O$107,"Pendente: artigo / material")+COUNTIFS('Aço'!$B$8:$B$107,A30,'Aço'!$O$8:$O$107,"Pendente: dimensões")&gt;0,"Pendente",SUMIFS('Aço'!$N$8:$N$107,'Aço'!$B$8:$B$107,A30,'Aço'!$O$8:$O$107,"OK")),IF(C30="Betão",IF(COUNTIFS('Betão'!$B$8:$B$107,A30,'Betão'!$M$8:$M$107,"Pendente: período")+COUNTIFS('Betão'!$B$8:$B$107,A30,'Betão'!$M$8:$M$107,"Pendente: data")+COUNTIFS('Betão'!$B$8:$B$107,A30,'Betão'!$M$8:$M$107,"Pendente: identificação")+COUNTIFS('Betão'!$B$8:$B$107,A30,'Betão'!$M$8:$M$107,"Pendente: artigo / material")+COUNTIFS('Betão'!$B$8:$B$107,A30,'Betão'!$M$8:$M$107,"Pendente: dimensões")&gt;0,"Pendente",SUMIFS('Betão'!$L$8:$L$107,'Betão'!$B$8:$B$107,A30,'Betão'!$M$8:$M$107,"OK")),IF(C30="Cofragem",IF(COUNTIFS('Cofragem'!$B$8:$B$107,A30,'Cofragem'!$K$8:$K$107,"Pendente: período")+COUNTIFS('Cofragem'!$B$8:$B$107,A30,'Cofragem'!$K$8:$K$107,"Pendente: data")+COUNTIFS('Cofragem'!$B$8:$B$107,A30,'Cofragem'!$K$8:$K$107,"Pendente: identificação")+COUNTIFS('Cofragem'!$B$8:$B$107,A30,'Cofragem'!$K$8:$K$107,"Pendente: artigo / material")+COUNTIFS('Cofragem'!$B$8:$B$107,A30,'Cofragem'!$K$8:$K$107,"Pendente: dimensões")&gt;0,"Pendente",SUMIFS('Cofragem'!$J$8:$J$107,'Cofragem'!$B$8:$B$107,A30,'Cofragem'!$K$8:$K$107,"OK")),"Pendente")))))</x:f>
      </x:c>
      <x:c r="H30" s="14" t="str">
        <x:f>IF(A30="","",IF(OR(NOT(ISNUMBER(F30)),NOT(ISNUMBER(G30))),"Pendente",F30+G30))</x:f>
      </x:c>
      <x:c r="I30" s="14" t="str">
        <x:f>IF(A30="","",IF(OR(NOT(ISNUMBER(E30)),NOT(ISNUMBER(H30))),"Pendente",E30-H30))</x:f>
      </x:c>
      <x:c r="J30" s="15" t="str">
        <x:f>IF(A30="","",IF(OR(NOT(ISNUMBER(E30)),NOT(ISNUMBER(H30))),"Pendente",IF(E30=0,"n.a.",H30/E30)))</x:f>
      </x:c>
      <x:c r="K30" s="16"/>
      <x:c r="L30" s="17" t="str">
        <x:f>IF(A30="","",IF(OR(NOT(ISNUMBER(G30)),NOT(ISNUMBER(K30))),"Pendente",ROUND(G30*K30,2)))</x:f>
      </x:c>
      <x:c r="M30" s="2" t="str">
        <x:f>IF(COUNTA(A30:C30,E30:F30,K30)=0,"",IF(A30="","Pendente: código",IF(COUNTIF($A$13:$A$42,A30)&gt;1,"Rever: código repetido",IF(OR(B30="",C30="",NOT(ISNUMBER(E30)),NOT(ISNUMBER(F30)),NOT(ISNUMBER(K30))),"Pendente: contrato / preço",IF(OR(E30&lt;0,F30&lt;0,K30&lt;0),"Rever: valor negativo",IF(NOT(ISNUMBER(L30)),"Pendente: medição",IF(H30&gt;E30,"Rever: excede contrato","OK")))))))</x:f>
      </x:c>
    </x:row>
    <x:row r="31" ht="23" customHeight="1">
      <x:c r="A31" s="12"/>
      <x:c r="B31" s="5"/>
      <x:c r="C31" s="5"/>
      <x:c r="D31" s="2" t="str">
        <x:f>IF(C31="","",IF(C31="Aço","kg",IF(C31="Betão","m³",IF(C31="Cofragem","m²","Rever"))))</x:f>
      </x:c>
      <x:c r="E31" s="13"/>
      <x:c r="F31" s="13"/>
      <x:c r="G31" s="14" t="str">
        <x:f>IF(A31="","",IF(OR($B$5="",$D$5="",$D$5&lt;$B$5),"Pendente",IF(C31="Aço",IF(COUNTIFS('Aço'!$B$8:$B$107,A31,'Aço'!$O$8:$O$107,"Pendente: período")+COUNTIFS('Aço'!$B$8:$B$107,A31,'Aço'!$O$8:$O$107,"Pendente: data")+COUNTIFS('Aço'!$B$8:$B$107,A31,'Aço'!$O$8:$O$107,"Pendente: identificação")+COUNTIFS('Aço'!$B$8:$B$107,A31,'Aço'!$O$8:$O$107,"Pendente: artigo / material")+COUNTIFS('Aço'!$B$8:$B$107,A31,'Aço'!$O$8:$O$107,"Pendente: dimensões")&gt;0,"Pendente",SUMIFS('Aço'!$N$8:$N$107,'Aço'!$B$8:$B$107,A31,'Aço'!$O$8:$O$107,"OK")),IF(C31="Betão",IF(COUNTIFS('Betão'!$B$8:$B$107,A31,'Betão'!$M$8:$M$107,"Pendente: período")+COUNTIFS('Betão'!$B$8:$B$107,A31,'Betão'!$M$8:$M$107,"Pendente: data")+COUNTIFS('Betão'!$B$8:$B$107,A31,'Betão'!$M$8:$M$107,"Pendente: identificação")+COUNTIFS('Betão'!$B$8:$B$107,A31,'Betão'!$M$8:$M$107,"Pendente: artigo / material")+COUNTIFS('Betão'!$B$8:$B$107,A31,'Betão'!$M$8:$M$107,"Pendente: dimensões")&gt;0,"Pendente",SUMIFS('Betão'!$L$8:$L$107,'Betão'!$B$8:$B$107,A31,'Betão'!$M$8:$M$107,"OK")),IF(C31="Cofragem",IF(COUNTIFS('Cofragem'!$B$8:$B$107,A31,'Cofragem'!$K$8:$K$107,"Pendente: período")+COUNTIFS('Cofragem'!$B$8:$B$107,A31,'Cofragem'!$K$8:$K$107,"Pendente: data")+COUNTIFS('Cofragem'!$B$8:$B$107,A31,'Cofragem'!$K$8:$K$107,"Pendente: identificação")+COUNTIFS('Cofragem'!$B$8:$B$107,A31,'Cofragem'!$K$8:$K$107,"Pendente: artigo / material")+COUNTIFS('Cofragem'!$B$8:$B$107,A31,'Cofragem'!$K$8:$K$107,"Pendente: dimensões")&gt;0,"Pendente",SUMIFS('Cofragem'!$J$8:$J$107,'Cofragem'!$B$8:$B$107,A31,'Cofragem'!$K$8:$K$107,"OK")),"Pendente")))))</x:f>
      </x:c>
      <x:c r="H31" s="14" t="str">
        <x:f>IF(A31="","",IF(OR(NOT(ISNUMBER(F31)),NOT(ISNUMBER(G31))),"Pendente",F31+G31))</x:f>
      </x:c>
      <x:c r="I31" s="14" t="str">
        <x:f>IF(A31="","",IF(OR(NOT(ISNUMBER(E31)),NOT(ISNUMBER(H31))),"Pendente",E31-H31))</x:f>
      </x:c>
      <x:c r="J31" s="15" t="str">
        <x:f>IF(A31="","",IF(OR(NOT(ISNUMBER(E31)),NOT(ISNUMBER(H31))),"Pendente",IF(E31=0,"n.a.",H31/E31)))</x:f>
      </x:c>
      <x:c r="K31" s="16"/>
      <x:c r="L31" s="17" t="str">
        <x:f>IF(A31="","",IF(OR(NOT(ISNUMBER(G31)),NOT(ISNUMBER(K31))),"Pendente",ROUND(G31*K31,2)))</x:f>
      </x:c>
      <x:c r="M31" s="2" t="str">
        <x:f>IF(COUNTA(A31:C31,E31:F31,K31)=0,"",IF(A31="","Pendente: código",IF(COUNTIF($A$13:$A$42,A31)&gt;1,"Rever: código repetido",IF(OR(B31="",C31="",NOT(ISNUMBER(E31)),NOT(ISNUMBER(F31)),NOT(ISNUMBER(K31))),"Pendente: contrato / preço",IF(OR(E31&lt;0,F31&lt;0,K31&lt;0),"Rever: valor negativo",IF(NOT(ISNUMBER(L31)),"Pendente: medição",IF(H31&gt;E31,"Rever: excede contrato","OK")))))))</x:f>
      </x:c>
    </x:row>
    <x:row r="32" ht="23" customHeight="1">
      <x:c r="A32" s="12"/>
      <x:c r="B32" s="5"/>
      <x:c r="C32" s="5"/>
      <x:c r="D32" s="2" t="str">
        <x:f>IF(C32="","",IF(C32="Aço","kg",IF(C32="Betão","m³",IF(C32="Cofragem","m²","Rever"))))</x:f>
      </x:c>
      <x:c r="E32" s="13"/>
      <x:c r="F32" s="13"/>
      <x:c r="G32" s="14" t="str">
        <x:f>IF(A32="","",IF(OR($B$5="",$D$5="",$D$5&lt;$B$5),"Pendente",IF(C32="Aço",IF(COUNTIFS('Aço'!$B$8:$B$107,A32,'Aço'!$O$8:$O$107,"Pendente: período")+COUNTIFS('Aço'!$B$8:$B$107,A32,'Aço'!$O$8:$O$107,"Pendente: data")+COUNTIFS('Aço'!$B$8:$B$107,A32,'Aço'!$O$8:$O$107,"Pendente: identificação")+COUNTIFS('Aço'!$B$8:$B$107,A32,'Aço'!$O$8:$O$107,"Pendente: artigo / material")+COUNTIFS('Aço'!$B$8:$B$107,A32,'Aço'!$O$8:$O$107,"Pendente: dimensões")&gt;0,"Pendente",SUMIFS('Aço'!$N$8:$N$107,'Aço'!$B$8:$B$107,A32,'Aço'!$O$8:$O$107,"OK")),IF(C32="Betão",IF(COUNTIFS('Betão'!$B$8:$B$107,A32,'Betão'!$M$8:$M$107,"Pendente: período")+COUNTIFS('Betão'!$B$8:$B$107,A32,'Betão'!$M$8:$M$107,"Pendente: data")+COUNTIFS('Betão'!$B$8:$B$107,A32,'Betão'!$M$8:$M$107,"Pendente: identificação")+COUNTIFS('Betão'!$B$8:$B$107,A32,'Betão'!$M$8:$M$107,"Pendente: artigo / material")+COUNTIFS('Betão'!$B$8:$B$107,A32,'Betão'!$M$8:$M$107,"Pendente: dimensões")&gt;0,"Pendente",SUMIFS('Betão'!$L$8:$L$107,'Betão'!$B$8:$B$107,A32,'Betão'!$M$8:$M$107,"OK")),IF(C32="Cofragem",IF(COUNTIFS('Cofragem'!$B$8:$B$107,A32,'Cofragem'!$K$8:$K$107,"Pendente: período")+COUNTIFS('Cofragem'!$B$8:$B$107,A32,'Cofragem'!$K$8:$K$107,"Pendente: data")+COUNTIFS('Cofragem'!$B$8:$B$107,A32,'Cofragem'!$K$8:$K$107,"Pendente: identificação")+COUNTIFS('Cofragem'!$B$8:$B$107,A32,'Cofragem'!$K$8:$K$107,"Pendente: artigo / material")+COUNTIFS('Cofragem'!$B$8:$B$107,A32,'Cofragem'!$K$8:$K$107,"Pendente: dimensões")&gt;0,"Pendente",SUMIFS('Cofragem'!$J$8:$J$107,'Cofragem'!$B$8:$B$107,A32,'Cofragem'!$K$8:$K$107,"OK")),"Pendente")))))</x:f>
      </x:c>
      <x:c r="H32" s="14" t="str">
        <x:f>IF(A32="","",IF(OR(NOT(ISNUMBER(F32)),NOT(ISNUMBER(G32))),"Pendente",F32+G32))</x:f>
      </x:c>
      <x:c r="I32" s="14" t="str">
        <x:f>IF(A32="","",IF(OR(NOT(ISNUMBER(E32)),NOT(ISNUMBER(H32))),"Pendente",E32-H32))</x:f>
      </x:c>
      <x:c r="J32" s="15" t="str">
        <x:f>IF(A32="","",IF(OR(NOT(ISNUMBER(E32)),NOT(ISNUMBER(H32))),"Pendente",IF(E32=0,"n.a.",H32/E32)))</x:f>
      </x:c>
      <x:c r="K32" s="16"/>
      <x:c r="L32" s="17" t="str">
        <x:f>IF(A32="","",IF(OR(NOT(ISNUMBER(G32)),NOT(ISNUMBER(K32))),"Pendente",ROUND(G32*K32,2)))</x:f>
      </x:c>
      <x:c r="M32" s="2" t="str">
        <x:f>IF(COUNTA(A32:C32,E32:F32,K32)=0,"",IF(A32="","Pendente: código",IF(COUNTIF($A$13:$A$42,A32)&gt;1,"Rever: código repetido",IF(OR(B32="",C32="",NOT(ISNUMBER(E32)),NOT(ISNUMBER(F32)),NOT(ISNUMBER(K32))),"Pendente: contrato / preço",IF(OR(E32&lt;0,F32&lt;0,K32&lt;0),"Rever: valor negativo",IF(NOT(ISNUMBER(L32)),"Pendente: medição",IF(H32&gt;E32,"Rever: excede contrato","OK")))))))</x:f>
      </x:c>
    </x:row>
    <x:row r="33" ht="23" customHeight="1">
      <x:c r="A33" s="12"/>
      <x:c r="B33" s="5"/>
      <x:c r="C33" s="5"/>
      <x:c r="D33" s="2" t="str">
        <x:f>IF(C33="","",IF(C33="Aço","kg",IF(C33="Betão","m³",IF(C33="Cofragem","m²","Rever"))))</x:f>
      </x:c>
      <x:c r="E33" s="13"/>
      <x:c r="F33" s="13"/>
      <x:c r="G33" s="14" t="str">
        <x:f>IF(A33="","",IF(OR($B$5="",$D$5="",$D$5&lt;$B$5),"Pendente",IF(C33="Aço",IF(COUNTIFS('Aço'!$B$8:$B$107,A33,'Aço'!$O$8:$O$107,"Pendente: período")+COUNTIFS('Aço'!$B$8:$B$107,A33,'Aço'!$O$8:$O$107,"Pendente: data")+COUNTIFS('Aço'!$B$8:$B$107,A33,'Aço'!$O$8:$O$107,"Pendente: identificação")+COUNTIFS('Aço'!$B$8:$B$107,A33,'Aço'!$O$8:$O$107,"Pendente: artigo / material")+COUNTIFS('Aço'!$B$8:$B$107,A33,'Aço'!$O$8:$O$107,"Pendente: dimensões")&gt;0,"Pendente",SUMIFS('Aço'!$N$8:$N$107,'Aço'!$B$8:$B$107,A33,'Aço'!$O$8:$O$107,"OK")),IF(C33="Betão",IF(COUNTIFS('Betão'!$B$8:$B$107,A33,'Betão'!$M$8:$M$107,"Pendente: período")+COUNTIFS('Betão'!$B$8:$B$107,A33,'Betão'!$M$8:$M$107,"Pendente: data")+COUNTIFS('Betão'!$B$8:$B$107,A33,'Betão'!$M$8:$M$107,"Pendente: identificação")+COUNTIFS('Betão'!$B$8:$B$107,A33,'Betão'!$M$8:$M$107,"Pendente: artigo / material")+COUNTIFS('Betão'!$B$8:$B$107,A33,'Betão'!$M$8:$M$107,"Pendente: dimensões")&gt;0,"Pendente",SUMIFS('Betão'!$L$8:$L$107,'Betão'!$B$8:$B$107,A33,'Betão'!$M$8:$M$107,"OK")),IF(C33="Cofragem",IF(COUNTIFS('Cofragem'!$B$8:$B$107,A33,'Cofragem'!$K$8:$K$107,"Pendente: período")+COUNTIFS('Cofragem'!$B$8:$B$107,A33,'Cofragem'!$K$8:$K$107,"Pendente: data")+COUNTIFS('Cofragem'!$B$8:$B$107,A33,'Cofragem'!$K$8:$K$107,"Pendente: identificação")+COUNTIFS('Cofragem'!$B$8:$B$107,A33,'Cofragem'!$K$8:$K$107,"Pendente: artigo / material")+COUNTIFS('Cofragem'!$B$8:$B$107,A33,'Cofragem'!$K$8:$K$107,"Pendente: dimensões")&gt;0,"Pendente",SUMIFS('Cofragem'!$J$8:$J$107,'Cofragem'!$B$8:$B$107,A33,'Cofragem'!$K$8:$K$107,"OK")),"Pendente")))))</x:f>
      </x:c>
      <x:c r="H33" s="14" t="str">
        <x:f>IF(A33="","",IF(OR(NOT(ISNUMBER(F33)),NOT(ISNUMBER(G33))),"Pendente",F33+G33))</x:f>
      </x:c>
      <x:c r="I33" s="14" t="str">
        <x:f>IF(A33="","",IF(OR(NOT(ISNUMBER(E33)),NOT(ISNUMBER(H33))),"Pendente",E33-H33))</x:f>
      </x:c>
      <x:c r="J33" s="15" t="str">
        <x:f>IF(A33="","",IF(OR(NOT(ISNUMBER(E33)),NOT(ISNUMBER(H33))),"Pendente",IF(E33=0,"n.a.",H33/E33)))</x:f>
      </x:c>
      <x:c r="K33" s="16"/>
      <x:c r="L33" s="17" t="str">
        <x:f>IF(A33="","",IF(OR(NOT(ISNUMBER(G33)),NOT(ISNUMBER(K33))),"Pendente",ROUND(G33*K33,2)))</x:f>
      </x:c>
      <x:c r="M33" s="2" t="str">
        <x:f>IF(COUNTA(A33:C33,E33:F33,K33)=0,"",IF(A33="","Pendente: código",IF(COUNTIF($A$13:$A$42,A33)&gt;1,"Rever: código repetido",IF(OR(B33="",C33="",NOT(ISNUMBER(E33)),NOT(ISNUMBER(F33)),NOT(ISNUMBER(K33))),"Pendente: contrato / preço",IF(OR(E33&lt;0,F33&lt;0,K33&lt;0),"Rever: valor negativo",IF(NOT(ISNUMBER(L33)),"Pendente: medição",IF(H33&gt;E33,"Rever: excede contrato","OK")))))))</x:f>
      </x:c>
    </x:row>
    <x:row r="34" ht="23" customHeight="1">
      <x:c r="A34" s="12"/>
      <x:c r="B34" s="5"/>
      <x:c r="C34" s="5"/>
      <x:c r="D34" s="2" t="str">
        <x:f>IF(C34="","",IF(C34="Aço","kg",IF(C34="Betão","m³",IF(C34="Cofragem","m²","Rever"))))</x:f>
      </x:c>
      <x:c r="E34" s="13"/>
      <x:c r="F34" s="13"/>
      <x:c r="G34" s="14" t="str">
        <x:f>IF(A34="","",IF(OR($B$5="",$D$5="",$D$5&lt;$B$5),"Pendente",IF(C34="Aço",IF(COUNTIFS('Aço'!$B$8:$B$107,A34,'Aço'!$O$8:$O$107,"Pendente: período")+COUNTIFS('Aço'!$B$8:$B$107,A34,'Aço'!$O$8:$O$107,"Pendente: data")+COUNTIFS('Aço'!$B$8:$B$107,A34,'Aço'!$O$8:$O$107,"Pendente: identificação")+COUNTIFS('Aço'!$B$8:$B$107,A34,'Aço'!$O$8:$O$107,"Pendente: artigo / material")+COUNTIFS('Aço'!$B$8:$B$107,A34,'Aço'!$O$8:$O$107,"Pendente: dimensões")&gt;0,"Pendente",SUMIFS('Aço'!$N$8:$N$107,'Aço'!$B$8:$B$107,A34,'Aço'!$O$8:$O$107,"OK")),IF(C34="Betão",IF(COUNTIFS('Betão'!$B$8:$B$107,A34,'Betão'!$M$8:$M$107,"Pendente: período")+COUNTIFS('Betão'!$B$8:$B$107,A34,'Betão'!$M$8:$M$107,"Pendente: data")+COUNTIFS('Betão'!$B$8:$B$107,A34,'Betão'!$M$8:$M$107,"Pendente: identificação")+COUNTIFS('Betão'!$B$8:$B$107,A34,'Betão'!$M$8:$M$107,"Pendente: artigo / material")+COUNTIFS('Betão'!$B$8:$B$107,A34,'Betão'!$M$8:$M$107,"Pendente: dimensões")&gt;0,"Pendente",SUMIFS('Betão'!$L$8:$L$107,'Betão'!$B$8:$B$107,A34,'Betão'!$M$8:$M$107,"OK")),IF(C34="Cofragem",IF(COUNTIFS('Cofragem'!$B$8:$B$107,A34,'Cofragem'!$K$8:$K$107,"Pendente: período")+COUNTIFS('Cofragem'!$B$8:$B$107,A34,'Cofragem'!$K$8:$K$107,"Pendente: data")+COUNTIFS('Cofragem'!$B$8:$B$107,A34,'Cofragem'!$K$8:$K$107,"Pendente: identificação")+COUNTIFS('Cofragem'!$B$8:$B$107,A34,'Cofragem'!$K$8:$K$107,"Pendente: artigo / material")+COUNTIFS('Cofragem'!$B$8:$B$107,A34,'Cofragem'!$K$8:$K$107,"Pendente: dimensões")&gt;0,"Pendente",SUMIFS('Cofragem'!$J$8:$J$107,'Cofragem'!$B$8:$B$107,A34,'Cofragem'!$K$8:$K$107,"OK")),"Pendente")))))</x:f>
      </x:c>
      <x:c r="H34" s="14" t="str">
        <x:f>IF(A34="","",IF(OR(NOT(ISNUMBER(F34)),NOT(ISNUMBER(G34))),"Pendente",F34+G34))</x:f>
      </x:c>
      <x:c r="I34" s="14" t="str">
        <x:f>IF(A34="","",IF(OR(NOT(ISNUMBER(E34)),NOT(ISNUMBER(H34))),"Pendente",E34-H34))</x:f>
      </x:c>
      <x:c r="J34" s="15" t="str">
        <x:f>IF(A34="","",IF(OR(NOT(ISNUMBER(E34)),NOT(ISNUMBER(H34))),"Pendente",IF(E34=0,"n.a.",H34/E34)))</x:f>
      </x:c>
      <x:c r="K34" s="16"/>
      <x:c r="L34" s="17" t="str">
        <x:f>IF(A34="","",IF(OR(NOT(ISNUMBER(G34)),NOT(ISNUMBER(K34))),"Pendente",ROUND(G34*K34,2)))</x:f>
      </x:c>
      <x:c r="M34" s="2" t="str">
        <x:f>IF(COUNTA(A34:C34,E34:F34,K34)=0,"",IF(A34="","Pendente: código",IF(COUNTIF($A$13:$A$42,A34)&gt;1,"Rever: código repetido",IF(OR(B34="",C34="",NOT(ISNUMBER(E34)),NOT(ISNUMBER(F34)),NOT(ISNUMBER(K34))),"Pendente: contrato / preço",IF(OR(E34&lt;0,F34&lt;0,K34&lt;0),"Rever: valor negativo",IF(NOT(ISNUMBER(L34)),"Pendente: medição",IF(H34&gt;E34,"Rever: excede contrato","OK")))))))</x:f>
      </x:c>
    </x:row>
    <x:row r="35" ht="23" customHeight="1">
      <x:c r="A35" s="12"/>
      <x:c r="B35" s="5"/>
      <x:c r="C35" s="5"/>
      <x:c r="D35" s="2" t="str">
        <x:f>IF(C35="","",IF(C35="Aço","kg",IF(C35="Betão","m³",IF(C35="Cofragem","m²","Rever"))))</x:f>
      </x:c>
      <x:c r="E35" s="13"/>
      <x:c r="F35" s="13"/>
      <x:c r="G35" s="14" t="str">
        <x:f>IF(A35="","",IF(OR($B$5="",$D$5="",$D$5&lt;$B$5),"Pendente",IF(C35="Aço",IF(COUNTIFS('Aço'!$B$8:$B$107,A35,'Aço'!$O$8:$O$107,"Pendente: período")+COUNTIFS('Aço'!$B$8:$B$107,A35,'Aço'!$O$8:$O$107,"Pendente: data")+COUNTIFS('Aço'!$B$8:$B$107,A35,'Aço'!$O$8:$O$107,"Pendente: identificação")+COUNTIFS('Aço'!$B$8:$B$107,A35,'Aço'!$O$8:$O$107,"Pendente: artigo / material")+COUNTIFS('Aço'!$B$8:$B$107,A35,'Aço'!$O$8:$O$107,"Pendente: dimensões")&gt;0,"Pendente",SUMIFS('Aço'!$N$8:$N$107,'Aço'!$B$8:$B$107,A35,'Aço'!$O$8:$O$107,"OK")),IF(C35="Betão",IF(COUNTIFS('Betão'!$B$8:$B$107,A35,'Betão'!$M$8:$M$107,"Pendente: período")+COUNTIFS('Betão'!$B$8:$B$107,A35,'Betão'!$M$8:$M$107,"Pendente: data")+COUNTIFS('Betão'!$B$8:$B$107,A35,'Betão'!$M$8:$M$107,"Pendente: identificação")+COUNTIFS('Betão'!$B$8:$B$107,A35,'Betão'!$M$8:$M$107,"Pendente: artigo / material")+COUNTIFS('Betão'!$B$8:$B$107,A35,'Betão'!$M$8:$M$107,"Pendente: dimensões")&gt;0,"Pendente",SUMIFS('Betão'!$L$8:$L$107,'Betão'!$B$8:$B$107,A35,'Betão'!$M$8:$M$107,"OK")),IF(C35="Cofragem",IF(COUNTIFS('Cofragem'!$B$8:$B$107,A35,'Cofragem'!$K$8:$K$107,"Pendente: período")+COUNTIFS('Cofragem'!$B$8:$B$107,A35,'Cofragem'!$K$8:$K$107,"Pendente: data")+COUNTIFS('Cofragem'!$B$8:$B$107,A35,'Cofragem'!$K$8:$K$107,"Pendente: identificação")+COUNTIFS('Cofragem'!$B$8:$B$107,A35,'Cofragem'!$K$8:$K$107,"Pendente: artigo / material")+COUNTIFS('Cofragem'!$B$8:$B$107,A35,'Cofragem'!$K$8:$K$107,"Pendente: dimensões")&gt;0,"Pendente",SUMIFS('Cofragem'!$J$8:$J$107,'Cofragem'!$B$8:$B$107,A35,'Cofragem'!$K$8:$K$107,"OK")),"Pendente")))))</x:f>
      </x:c>
      <x:c r="H35" s="14" t="str">
        <x:f>IF(A35="","",IF(OR(NOT(ISNUMBER(F35)),NOT(ISNUMBER(G35))),"Pendente",F35+G35))</x:f>
      </x:c>
      <x:c r="I35" s="14" t="str">
        <x:f>IF(A35="","",IF(OR(NOT(ISNUMBER(E35)),NOT(ISNUMBER(H35))),"Pendente",E35-H35))</x:f>
      </x:c>
      <x:c r="J35" s="15" t="str">
        <x:f>IF(A35="","",IF(OR(NOT(ISNUMBER(E35)),NOT(ISNUMBER(H35))),"Pendente",IF(E35=0,"n.a.",H35/E35)))</x:f>
      </x:c>
      <x:c r="K35" s="16"/>
      <x:c r="L35" s="17" t="str">
        <x:f>IF(A35="","",IF(OR(NOT(ISNUMBER(G35)),NOT(ISNUMBER(K35))),"Pendente",ROUND(G35*K35,2)))</x:f>
      </x:c>
      <x:c r="M35" s="2" t="str">
        <x:f>IF(COUNTA(A35:C35,E35:F35,K35)=0,"",IF(A35="","Pendente: código",IF(COUNTIF($A$13:$A$42,A35)&gt;1,"Rever: código repetido",IF(OR(B35="",C35="",NOT(ISNUMBER(E35)),NOT(ISNUMBER(F35)),NOT(ISNUMBER(K35))),"Pendente: contrato / preço",IF(OR(E35&lt;0,F35&lt;0,K35&lt;0),"Rever: valor negativo",IF(NOT(ISNUMBER(L35)),"Pendente: medição",IF(H35&gt;E35,"Rever: excede contrato","OK")))))))</x:f>
      </x:c>
    </x:row>
    <x:row r="36" ht="23" customHeight="1">
      <x:c r="A36" s="12"/>
      <x:c r="B36" s="5"/>
      <x:c r="C36" s="5"/>
      <x:c r="D36" s="2" t="str">
        <x:f>IF(C36="","",IF(C36="Aço","kg",IF(C36="Betão","m³",IF(C36="Cofragem","m²","Rever"))))</x:f>
      </x:c>
      <x:c r="E36" s="13"/>
      <x:c r="F36" s="13"/>
      <x:c r="G36" s="14" t="str">
        <x:f>IF(A36="","",IF(OR($B$5="",$D$5="",$D$5&lt;$B$5),"Pendente",IF(C36="Aço",IF(COUNTIFS('Aço'!$B$8:$B$107,A36,'Aço'!$O$8:$O$107,"Pendente: período")+COUNTIFS('Aço'!$B$8:$B$107,A36,'Aço'!$O$8:$O$107,"Pendente: data")+COUNTIFS('Aço'!$B$8:$B$107,A36,'Aço'!$O$8:$O$107,"Pendente: identificação")+COUNTIFS('Aço'!$B$8:$B$107,A36,'Aço'!$O$8:$O$107,"Pendente: artigo / material")+COUNTIFS('Aço'!$B$8:$B$107,A36,'Aço'!$O$8:$O$107,"Pendente: dimensões")&gt;0,"Pendente",SUMIFS('Aço'!$N$8:$N$107,'Aço'!$B$8:$B$107,A36,'Aço'!$O$8:$O$107,"OK")),IF(C36="Betão",IF(COUNTIFS('Betão'!$B$8:$B$107,A36,'Betão'!$M$8:$M$107,"Pendente: período")+COUNTIFS('Betão'!$B$8:$B$107,A36,'Betão'!$M$8:$M$107,"Pendente: data")+COUNTIFS('Betão'!$B$8:$B$107,A36,'Betão'!$M$8:$M$107,"Pendente: identificação")+COUNTIFS('Betão'!$B$8:$B$107,A36,'Betão'!$M$8:$M$107,"Pendente: artigo / material")+COUNTIFS('Betão'!$B$8:$B$107,A36,'Betão'!$M$8:$M$107,"Pendente: dimensões")&gt;0,"Pendente",SUMIFS('Betão'!$L$8:$L$107,'Betão'!$B$8:$B$107,A36,'Betão'!$M$8:$M$107,"OK")),IF(C36="Cofragem",IF(COUNTIFS('Cofragem'!$B$8:$B$107,A36,'Cofragem'!$K$8:$K$107,"Pendente: período")+COUNTIFS('Cofragem'!$B$8:$B$107,A36,'Cofragem'!$K$8:$K$107,"Pendente: data")+COUNTIFS('Cofragem'!$B$8:$B$107,A36,'Cofragem'!$K$8:$K$107,"Pendente: identificação")+COUNTIFS('Cofragem'!$B$8:$B$107,A36,'Cofragem'!$K$8:$K$107,"Pendente: artigo / material")+COUNTIFS('Cofragem'!$B$8:$B$107,A36,'Cofragem'!$K$8:$K$107,"Pendente: dimensões")&gt;0,"Pendente",SUMIFS('Cofragem'!$J$8:$J$107,'Cofragem'!$B$8:$B$107,A36,'Cofragem'!$K$8:$K$107,"OK")),"Pendente")))))</x:f>
      </x:c>
      <x:c r="H36" s="14" t="str">
        <x:f>IF(A36="","",IF(OR(NOT(ISNUMBER(F36)),NOT(ISNUMBER(G36))),"Pendente",F36+G36))</x:f>
      </x:c>
      <x:c r="I36" s="14" t="str">
        <x:f>IF(A36="","",IF(OR(NOT(ISNUMBER(E36)),NOT(ISNUMBER(H36))),"Pendente",E36-H36))</x:f>
      </x:c>
      <x:c r="J36" s="15" t="str">
        <x:f>IF(A36="","",IF(OR(NOT(ISNUMBER(E36)),NOT(ISNUMBER(H36))),"Pendente",IF(E36=0,"n.a.",H36/E36)))</x:f>
      </x:c>
      <x:c r="K36" s="16"/>
      <x:c r="L36" s="17" t="str">
        <x:f>IF(A36="","",IF(OR(NOT(ISNUMBER(G36)),NOT(ISNUMBER(K36))),"Pendente",ROUND(G36*K36,2)))</x:f>
      </x:c>
      <x:c r="M36" s="2" t="str">
        <x:f>IF(COUNTA(A36:C36,E36:F36,K36)=0,"",IF(A36="","Pendente: código",IF(COUNTIF($A$13:$A$42,A36)&gt;1,"Rever: código repetido",IF(OR(B36="",C36="",NOT(ISNUMBER(E36)),NOT(ISNUMBER(F36)),NOT(ISNUMBER(K36))),"Pendente: contrato / preço",IF(OR(E36&lt;0,F36&lt;0,K36&lt;0),"Rever: valor negativo",IF(NOT(ISNUMBER(L36)),"Pendente: medição",IF(H36&gt;E36,"Rever: excede contrato","OK")))))))</x:f>
      </x:c>
    </x:row>
    <x:row r="37" ht="23" customHeight="1">
      <x:c r="A37" s="12"/>
      <x:c r="B37" s="5"/>
      <x:c r="C37" s="5"/>
      <x:c r="D37" s="2" t="str">
        <x:f>IF(C37="","",IF(C37="Aço","kg",IF(C37="Betão","m³",IF(C37="Cofragem","m²","Rever"))))</x:f>
      </x:c>
      <x:c r="E37" s="13"/>
      <x:c r="F37" s="13"/>
      <x:c r="G37" s="14" t="str">
        <x:f>IF(A37="","",IF(OR($B$5="",$D$5="",$D$5&lt;$B$5),"Pendente",IF(C37="Aço",IF(COUNTIFS('Aço'!$B$8:$B$107,A37,'Aço'!$O$8:$O$107,"Pendente: período")+COUNTIFS('Aço'!$B$8:$B$107,A37,'Aço'!$O$8:$O$107,"Pendente: data")+COUNTIFS('Aço'!$B$8:$B$107,A37,'Aço'!$O$8:$O$107,"Pendente: identificação")+COUNTIFS('Aço'!$B$8:$B$107,A37,'Aço'!$O$8:$O$107,"Pendente: artigo / material")+COUNTIFS('Aço'!$B$8:$B$107,A37,'Aço'!$O$8:$O$107,"Pendente: dimensões")&gt;0,"Pendente",SUMIFS('Aço'!$N$8:$N$107,'Aço'!$B$8:$B$107,A37,'Aço'!$O$8:$O$107,"OK")),IF(C37="Betão",IF(COUNTIFS('Betão'!$B$8:$B$107,A37,'Betão'!$M$8:$M$107,"Pendente: período")+COUNTIFS('Betão'!$B$8:$B$107,A37,'Betão'!$M$8:$M$107,"Pendente: data")+COUNTIFS('Betão'!$B$8:$B$107,A37,'Betão'!$M$8:$M$107,"Pendente: identificação")+COUNTIFS('Betão'!$B$8:$B$107,A37,'Betão'!$M$8:$M$107,"Pendente: artigo / material")+COUNTIFS('Betão'!$B$8:$B$107,A37,'Betão'!$M$8:$M$107,"Pendente: dimensões")&gt;0,"Pendente",SUMIFS('Betão'!$L$8:$L$107,'Betão'!$B$8:$B$107,A37,'Betão'!$M$8:$M$107,"OK")),IF(C37="Cofragem",IF(COUNTIFS('Cofragem'!$B$8:$B$107,A37,'Cofragem'!$K$8:$K$107,"Pendente: período")+COUNTIFS('Cofragem'!$B$8:$B$107,A37,'Cofragem'!$K$8:$K$107,"Pendente: data")+COUNTIFS('Cofragem'!$B$8:$B$107,A37,'Cofragem'!$K$8:$K$107,"Pendente: identificação")+COUNTIFS('Cofragem'!$B$8:$B$107,A37,'Cofragem'!$K$8:$K$107,"Pendente: artigo / material")+COUNTIFS('Cofragem'!$B$8:$B$107,A37,'Cofragem'!$K$8:$K$107,"Pendente: dimensões")&gt;0,"Pendente",SUMIFS('Cofragem'!$J$8:$J$107,'Cofragem'!$B$8:$B$107,A37,'Cofragem'!$K$8:$K$107,"OK")),"Pendente")))))</x:f>
      </x:c>
      <x:c r="H37" s="14" t="str">
        <x:f>IF(A37="","",IF(OR(NOT(ISNUMBER(F37)),NOT(ISNUMBER(G37))),"Pendente",F37+G37))</x:f>
      </x:c>
      <x:c r="I37" s="14" t="str">
        <x:f>IF(A37="","",IF(OR(NOT(ISNUMBER(E37)),NOT(ISNUMBER(H37))),"Pendente",E37-H37))</x:f>
      </x:c>
      <x:c r="J37" s="15" t="str">
        <x:f>IF(A37="","",IF(OR(NOT(ISNUMBER(E37)),NOT(ISNUMBER(H37))),"Pendente",IF(E37=0,"n.a.",H37/E37)))</x:f>
      </x:c>
      <x:c r="K37" s="16"/>
      <x:c r="L37" s="17" t="str">
        <x:f>IF(A37="","",IF(OR(NOT(ISNUMBER(G37)),NOT(ISNUMBER(K37))),"Pendente",ROUND(G37*K37,2)))</x:f>
      </x:c>
      <x:c r="M37" s="2" t="str">
        <x:f>IF(COUNTA(A37:C37,E37:F37,K37)=0,"",IF(A37="","Pendente: código",IF(COUNTIF($A$13:$A$42,A37)&gt;1,"Rever: código repetido",IF(OR(B37="",C37="",NOT(ISNUMBER(E37)),NOT(ISNUMBER(F37)),NOT(ISNUMBER(K37))),"Pendente: contrato / preço",IF(OR(E37&lt;0,F37&lt;0,K37&lt;0),"Rever: valor negativo",IF(NOT(ISNUMBER(L37)),"Pendente: medição",IF(H37&gt;E37,"Rever: excede contrato","OK")))))))</x:f>
      </x:c>
    </x:row>
    <x:row r="38" ht="23" customHeight="1">
      <x:c r="A38" s="12"/>
      <x:c r="B38" s="5"/>
      <x:c r="C38" s="5"/>
      <x:c r="D38" s="2" t="str">
        <x:f>IF(C38="","",IF(C38="Aço","kg",IF(C38="Betão","m³",IF(C38="Cofragem","m²","Rever"))))</x:f>
      </x:c>
      <x:c r="E38" s="13"/>
      <x:c r="F38" s="13"/>
      <x:c r="G38" s="14" t="str">
        <x:f>IF(A38="","",IF(OR($B$5="",$D$5="",$D$5&lt;$B$5),"Pendente",IF(C38="Aço",IF(COUNTIFS('Aço'!$B$8:$B$107,A38,'Aço'!$O$8:$O$107,"Pendente: período")+COUNTIFS('Aço'!$B$8:$B$107,A38,'Aço'!$O$8:$O$107,"Pendente: data")+COUNTIFS('Aço'!$B$8:$B$107,A38,'Aço'!$O$8:$O$107,"Pendente: identificação")+COUNTIFS('Aço'!$B$8:$B$107,A38,'Aço'!$O$8:$O$107,"Pendente: artigo / material")+COUNTIFS('Aço'!$B$8:$B$107,A38,'Aço'!$O$8:$O$107,"Pendente: dimensões")&gt;0,"Pendente",SUMIFS('Aço'!$N$8:$N$107,'Aço'!$B$8:$B$107,A38,'Aço'!$O$8:$O$107,"OK")),IF(C38="Betão",IF(COUNTIFS('Betão'!$B$8:$B$107,A38,'Betão'!$M$8:$M$107,"Pendente: período")+COUNTIFS('Betão'!$B$8:$B$107,A38,'Betão'!$M$8:$M$107,"Pendente: data")+COUNTIFS('Betão'!$B$8:$B$107,A38,'Betão'!$M$8:$M$107,"Pendente: identificação")+COUNTIFS('Betão'!$B$8:$B$107,A38,'Betão'!$M$8:$M$107,"Pendente: artigo / material")+COUNTIFS('Betão'!$B$8:$B$107,A38,'Betão'!$M$8:$M$107,"Pendente: dimensões")&gt;0,"Pendente",SUMIFS('Betão'!$L$8:$L$107,'Betão'!$B$8:$B$107,A38,'Betão'!$M$8:$M$107,"OK")),IF(C38="Cofragem",IF(COUNTIFS('Cofragem'!$B$8:$B$107,A38,'Cofragem'!$K$8:$K$107,"Pendente: período")+COUNTIFS('Cofragem'!$B$8:$B$107,A38,'Cofragem'!$K$8:$K$107,"Pendente: data")+COUNTIFS('Cofragem'!$B$8:$B$107,A38,'Cofragem'!$K$8:$K$107,"Pendente: identificação")+COUNTIFS('Cofragem'!$B$8:$B$107,A38,'Cofragem'!$K$8:$K$107,"Pendente: artigo / material")+COUNTIFS('Cofragem'!$B$8:$B$107,A38,'Cofragem'!$K$8:$K$107,"Pendente: dimensões")&gt;0,"Pendente",SUMIFS('Cofragem'!$J$8:$J$107,'Cofragem'!$B$8:$B$107,A38,'Cofragem'!$K$8:$K$107,"OK")),"Pendente")))))</x:f>
      </x:c>
      <x:c r="H38" s="14" t="str">
        <x:f>IF(A38="","",IF(OR(NOT(ISNUMBER(F38)),NOT(ISNUMBER(G38))),"Pendente",F38+G38))</x:f>
      </x:c>
      <x:c r="I38" s="14" t="str">
        <x:f>IF(A38="","",IF(OR(NOT(ISNUMBER(E38)),NOT(ISNUMBER(H38))),"Pendente",E38-H38))</x:f>
      </x:c>
      <x:c r="J38" s="15" t="str">
        <x:f>IF(A38="","",IF(OR(NOT(ISNUMBER(E38)),NOT(ISNUMBER(H38))),"Pendente",IF(E38=0,"n.a.",H38/E38)))</x:f>
      </x:c>
      <x:c r="K38" s="16"/>
      <x:c r="L38" s="17" t="str">
        <x:f>IF(A38="","",IF(OR(NOT(ISNUMBER(G38)),NOT(ISNUMBER(K38))),"Pendente",ROUND(G38*K38,2)))</x:f>
      </x:c>
      <x:c r="M38" s="2" t="str">
        <x:f>IF(COUNTA(A38:C38,E38:F38,K38)=0,"",IF(A38="","Pendente: código",IF(COUNTIF($A$13:$A$42,A38)&gt;1,"Rever: código repetido",IF(OR(B38="",C38="",NOT(ISNUMBER(E38)),NOT(ISNUMBER(F38)),NOT(ISNUMBER(K38))),"Pendente: contrato / preço",IF(OR(E38&lt;0,F38&lt;0,K38&lt;0),"Rever: valor negativo",IF(NOT(ISNUMBER(L38)),"Pendente: medição",IF(H38&gt;E38,"Rever: excede contrato","OK")))))))</x:f>
      </x:c>
    </x:row>
    <x:row r="39" ht="23" customHeight="1">
      <x:c r="A39" s="12"/>
      <x:c r="B39" s="5"/>
      <x:c r="C39" s="5"/>
      <x:c r="D39" s="2" t="str">
        <x:f>IF(C39="","",IF(C39="Aço","kg",IF(C39="Betão","m³",IF(C39="Cofragem","m²","Rever"))))</x:f>
      </x:c>
      <x:c r="E39" s="13"/>
      <x:c r="F39" s="13"/>
      <x:c r="G39" s="14" t="str">
        <x:f>IF(A39="","",IF(OR($B$5="",$D$5="",$D$5&lt;$B$5),"Pendente",IF(C39="Aço",IF(COUNTIFS('Aço'!$B$8:$B$107,A39,'Aço'!$O$8:$O$107,"Pendente: período")+COUNTIFS('Aço'!$B$8:$B$107,A39,'Aço'!$O$8:$O$107,"Pendente: data")+COUNTIFS('Aço'!$B$8:$B$107,A39,'Aço'!$O$8:$O$107,"Pendente: identificação")+COUNTIFS('Aço'!$B$8:$B$107,A39,'Aço'!$O$8:$O$107,"Pendente: artigo / material")+COUNTIFS('Aço'!$B$8:$B$107,A39,'Aço'!$O$8:$O$107,"Pendente: dimensões")&gt;0,"Pendente",SUMIFS('Aço'!$N$8:$N$107,'Aço'!$B$8:$B$107,A39,'Aço'!$O$8:$O$107,"OK")),IF(C39="Betão",IF(COUNTIFS('Betão'!$B$8:$B$107,A39,'Betão'!$M$8:$M$107,"Pendente: período")+COUNTIFS('Betão'!$B$8:$B$107,A39,'Betão'!$M$8:$M$107,"Pendente: data")+COUNTIFS('Betão'!$B$8:$B$107,A39,'Betão'!$M$8:$M$107,"Pendente: identificação")+COUNTIFS('Betão'!$B$8:$B$107,A39,'Betão'!$M$8:$M$107,"Pendente: artigo / material")+COUNTIFS('Betão'!$B$8:$B$107,A39,'Betão'!$M$8:$M$107,"Pendente: dimensões")&gt;0,"Pendente",SUMIFS('Betão'!$L$8:$L$107,'Betão'!$B$8:$B$107,A39,'Betão'!$M$8:$M$107,"OK")),IF(C39="Cofragem",IF(COUNTIFS('Cofragem'!$B$8:$B$107,A39,'Cofragem'!$K$8:$K$107,"Pendente: período")+COUNTIFS('Cofragem'!$B$8:$B$107,A39,'Cofragem'!$K$8:$K$107,"Pendente: data")+COUNTIFS('Cofragem'!$B$8:$B$107,A39,'Cofragem'!$K$8:$K$107,"Pendente: identificação")+COUNTIFS('Cofragem'!$B$8:$B$107,A39,'Cofragem'!$K$8:$K$107,"Pendente: artigo / material")+COUNTIFS('Cofragem'!$B$8:$B$107,A39,'Cofragem'!$K$8:$K$107,"Pendente: dimensões")&gt;0,"Pendente",SUMIFS('Cofragem'!$J$8:$J$107,'Cofragem'!$B$8:$B$107,A39,'Cofragem'!$K$8:$K$107,"OK")),"Pendente")))))</x:f>
      </x:c>
      <x:c r="H39" s="14" t="str">
        <x:f>IF(A39="","",IF(OR(NOT(ISNUMBER(F39)),NOT(ISNUMBER(G39))),"Pendente",F39+G39))</x:f>
      </x:c>
      <x:c r="I39" s="14" t="str">
        <x:f>IF(A39="","",IF(OR(NOT(ISNUMBER(E39)),NOT(ISNUMBER(H39))),"Pendente",E39-H39))</x:f>
      </x:c>
      <x:c r="J39" s="15" t="str">
        <x:f>IF(A39="","",IF(OR(NOT(ISNUMBER(E39)),NOT(ISNUMBER(H39))),"Pendente",IF(E39=0,"n.a.",H39/E39)))</x:f>
      </x:c>
      <x:c r="K39" s="16"/>
      <x:c r="L39" s="17" t="str">
        <x:f>IF(A39="","",IF(OR(NOT(ISNUMBER(G39)),NOT(ISNUMBER(K39))),"Pendente",ROUND(G39*K39,2)))</x:f>
      </x:c>
      <x:c r="M39" s="2" t="str">
        <x:f>IF(COUNTA(A39:C39,E39:F39,K39)=0,"",IF(A39="","Pendente: código",IF(COUNTIF($A$13:$A$42,A39)&gt;1,"Rever: código repetido",IF(OR(B39="",C39="",NOT(ISNUMBER(E39)),NOT(ISNUMBER(F39)),NOT(ISNUMBER(K39))),"Pendente: contrato / preço",IF(OR(E39&lt;0,F39&lt;0,K39&lt;0),"Rever: valor negativo",IF(NOT(ISNUMBER(L39)),"Pendente: medição",IF(H39&gt;E39,"Rever: excede contrato","OK")))))))</x:f>
      </x:c>
    </x:row>
    <x:row r="40" ht="23" customHeight="1">
      <x:c r="A40" s="12"/>
      <x:c r="B40" s="5"/>
      <x:c r="C40" s="5"/>
      <x:c r="D40" s="2" t="str">
        <x:f>IF(C40="","",IF(C40="Aço","kg",IF(C40="Betão","m³",IF(C40="Cofragem","m²","Rever"))))</x:f>
      </x:c>
      <x:c r="E40" s="13"/>
      <x:c r="F40" s="13"/>
      <x:c r="G40" s="14" t="str">
        <x:f>IF(A40="","",IF(OR($B$5="",$D$5="",$D$5&lt;$B$5),"Pendente",IF(C40="Aço",IF(COUNTIFS('Aço'!$B$8:$B$107,A40,'Aço'!$O$8:$O$107,"Pendente: período")+COUNTIFS('Aço'!$B$8:$B$107,A40,'Aço'!$O$8:$O$107,"Pendente: data")+COUNTIFS('Aço'!$B$8:$B$107,A40,'Aço'!$O$8:$O$107,"Pendente: identificação")+COUNTIFS('Aço'!$B$8:$B$107,A40,'Aço'!$O$8:$O$107,"Pendente: artigo / material")+COUNTIFS('Aço'!$B$8:$B$107,A40,'Aço'!$O$8:$O$107,"Pendente: dimensões")&gt;0,"Pendente",SUMIFS('Aço'!$N$8:$N$107,'Aço'!$B$8:$B$107,A40,'Aço'!$O$8:$O$107,"OK")),IF(C40="Betão",IF(COUNTIFS('Betão'!$B$8:$B$107,A40,'Betão'!$M$8:$M$107,"Pendente: período")+COUNTIFS('Betão'!$B$8:$B$107,A40,'Betão'!$M$8:$M$107,"Pendente: data")+COUNTIFS('Betão'!$B$8:$B$107,A40,'Betão'!$M$8:$M$107,"Pendente: identificação")+COUNTIFS('Betão'!$B$8:$B$107,A40,'Betão'!$M$8:$M$107,"Pendente: artigo / material")+COUNTIFS('Betão'!$B$8:$B$107,A40,'Betão'!$M$8:$M$107,"Pendente: dimensões")&gt;0,"Pendente",SUMIFS('Betão'!$L$8:$L$107,'Betão'!$B$8:$B$107,A40,'Betão'!$M$8:$M$107,"OK")),IF(C40="Cofragem",IF(COUNTIFS('Cofragem'!$B$8:$B$107,A40,'Cofragem'!$K$8:$K$107,"Pendente: período")+COUNTIFS('Cofragem'!$B$8:$B$107,A40,'Cofragem'!$K$8:$K$107,"Pendente: data")+COUNTIFS('Cofragem'!$B$8:$B$107,A40,'Cofragem'!$K$8:$K$107,"Pendente: identificação")+COUNTIFS('Cofragem'!$B$8:$B$107,A40,'Cofragem'!$K$8:$K$107,"Pendente: artigo / material")+COUNTIFS('Cofragem'!$B$8:$B$107,A40,'Cofragem'!$K$8:$K$107,"Pendente: dimensões")&gt;0,"Pendente",SUMIFS('Cofragem'!$J$8:$J$107,'Cofragem'!$B$8:$B$107,A40,'Cofragem'!$K$8:$K$107,"OK")),"Pendente")))))</x:f>
      </x:c>
      <x:c r="H40" s="14" t="str">
        <x:f>IF(A40="","",IF(OR(NOT(ISNUMBER(F40)),NOT(ISNUMBER(G40))),"Pendente",F40+G40))</x:f>
      </x:c>
      <x:c r="I40" s="14" t="str">
        <x:f>IF(A40="","",IF(OR(NOT(ISNUMBER(E40)),NOT(ISNUMBER(H40))),"Pendente",E40-H40))</x:f>
      </x:c>
      <x:c r="J40" s="15" t="str">
        <x:f>IF(A40="","",IF(OR(NOT(ISNUMBER(E40)),NOT(ISNUMBER(H40))),"Pendente",IF(E40=0,"n.a.",H40/E40)))</x:f>
      </x:c>
      <x:c r="K40" s="16"/>
      <x:c r="L40" s="17" t="str">
        <x:f>IF(A40="","",IF(OR(NOT(ISNUMBER(G40)),NOT(ISNUMBER(K40))),"Pendente",ROUND(G40*K40,2)))</x:f>
      </x:c>
      <x:c r="M40" s="2" t="str">
        <x:f>IF(COUNTA(A40:C40,E40:F40,K40)=0,"",IF(A40="","Pendente: código",IF(COUNTIF($A$13:$A$42,A40)&gt;1,"Rever: código repetido",IF(OR(B40="",C40="",NOT(ISNUMBER(E40)),NOT(ISNUMBER(F40)),NOT(ISNUMBER(K40))),"Pendente: contrato / preço",IF(OR(E40&lt;0,F40&lt;0,K40&lt;0),"Rever: valor negativo",IF(NOT(ISNUMBER(L40)),"Pendente: medição",IF(H40&gt;E40,"Rever: excede contrato","OK")))))))</x:f>
      </x:c>
    </x:row>
    <x:row r="41" ht="23" customHeight="1">
      <x:c r="A41" s="12"/>
      <x:c r="B41" s="5"/>
      <x:c r="C41" s="5"/>
      <x:c r="D41" s="2" t="str">
        <x:f>IF(C41="","",IF(C41="Aço","kg",IF(C41="Betão","m³",IF(C41="Cofragem","m²","Rever"))))</x:f>
      </x:c>
      <x:c r="E41" s="13"/>
      <x:c r="F41" s="13"/>
      <x:c r="G41" s="14" t="str">
        <x:f>IF(A41="","",IF(OR($B$5="",$D$5="",$D$5&lt;$B$5),"Pendente",IF(C41="Aço",IF(COUNTIFS('Aço'!$B$8:$B$107,A41,'Aço'!$O$8:$O$107,"Pendente: período")+COUNTIFS('Aço'!$B$8:$B$107,A41,'Aço'!$O$8:$O$107,"Pendente: data")+COUNTIFS('Aço'!$B$8:$B$107,A41,'Aço'!$O$8:$O$107,"Pendente: identificação")+COUNTIFS('Aço'!$B$8:$B$107,A41,'Aço'!$O$8:$O$107,"Pendente: artigo / material")+COUNTIFS('Aço'!$B$8:$B$107,A41,'Aço'!$O$8:$O$107,"Pendente: dimensões")&gt;0,"Pendente",SUMIFS('Aço'!$N$8:$N$107,'Aço'!$B$8:$B$107,A41,'Aço'!$O$8:$O$107,"OK")),IF(C41="Betão",IF(COUNTIFS('Betão'!$B$8:$B$107,A41,'Betão'!$M$8:$M$107,"Pendente: período")+COUNTIFS('Betão'!$B$8:$B$107,A41,'Betão'!$M$8:$M$107,"Pendente: data")+COUNTIFS('Betão'!$B$8:$B$107,A41,'Betão'!$M$8:$M$107,"Pendente: identificação")+COUNTIFS('Betão'!$B$8:$B$107,A41,'Betão'!$M$8:$M$107,"Pendente: artigo / material")+COUNTIFS('Betão'!$B$8:$B$107,A41,'Betão'!$M$8:$M$107,"Pendente: dimensões")&gt;0,"Pendente",SUMIFS('Betão'!$L$8:$L$107,'Betão'!$B$8:$B$107,A41,'Betão'!$M$8:$M$107,"OK")),IF(C41="Cofragem",IF(COUNTIFS('Cofragem'!$B$8:$B$107,A41,'Cofragem'!$K$8:$K$107,"Pendente: período")+COUNTIFS('Cofragem'!$B$8:$B$107,A41,'Cofragem'!$K$8:$K$107,"Pendente: data")+COUNTIFS('Cofragem'!$B$8:$B$107,A41,'Cofragem'!$K$8:$K$107,"Pendente: identificação")+COUNTIFS('Cofragem'!$B$8:$B$107,A41,'Cofragem'!$K$8:$K$107,"Pendente: artigo / material")+COUNTIFS('Cofragem'!$B$8:$B$107,A41,'Cofragem'!$K$8:$K$107,"Pendente: dimensões")&gt;0,"Pendente",SUMIFS('Cofragem'!$J$8:$J$107,'Cofragem'!$B$8:$B$107,A41,'Cofragem'!$K$8:$K$107,"OK")),"Pendente")))))</x:f>
      </x:c>
      <x:c r="H41" s="14" t="str">
        <x:f>IF(A41="","",IF(OR(NOT(ISNUMBER(F41)),NOT(ISNUMBER(G41))),"Pendente",F41+G41))</x:f>
      </x:c>
      <x:c r="I41" s="14" t="str">
        <x:f>IF(A41="","",IF(OR(NOT(ISNUMBER(E41)),NOT(ISNUMBER(H41))),"Pendente",E41-H41))</x:f>
      </x:c>
      <x:c r="J41" s="15" t="str">
        <x:f>IF(A41="","",IF(OR(NOT(ISNUMBER(E41)),NOT(ISNUMBER(H41))),"Pendente",IF(E41=0,"n.a.",H41/E41)))</x:f>
      </x:c>
      <x:c r="K41" s="16"/>
      <x:c r="L41" s="17" t="str">
        <x:f>IF(A41="","",IF(OR(NOT(ISNUMBER(G41)),NOT(ISNUMBER(K41))),"Pendente",ROUND(G41*K41,2)))</x:f>
      </x:c>
      <x:c r="M41" s="2" t="str">
        <x:f>IF(COUNTA(A41:C41,E41:F41,K41)=0,"",IF(A41="","Pendente: código",IF(COUNTIF($A$13:$A$42,A41)&gt;1,"Rever: código repetido",IF(OR(B41="",C41="",NOT(ISNUMBER(E41)),NOT(ISNUMBER(F41)),NOT(ISNUMBER(K41))),"Pendente: contrato / preço",IF(OR(E41&lt;0,F41&lt;0,K41&lt;0),"Rever: valor negativo",IF(NOT(ISNUMBER(L41)),"Pendente: medição",IF(H41&gt;E41,"Rever: excede contrato","OK")))))))</x:f>
      </x:c>
    </x:row>
    <x:row r="42" ht="23" customHeight="1">
      <x:c r="A42" s="12"/>
      <x:c r="B42" s="5"/>
      <x:c r="C42" s="5"/>
      <x:c r="D42" s="2" t="str">
        <x:f>IF(C42="","",IF(C42="Aço","kg",IF(C42="Betão","m³",IF(C42="Cofragem","m²","Rever"))))</x:f>
      </x:c>
      <x:c r="E42" s="13"/>
      <x:c r="F42" s="13"/>
      <x:c r="G42" s="14" t="str">
        <x:f>IF(A42="","",IF(OR($B$5="",$D$5="",$D$5&lt;$B$5),"Pendente",IF(C42="Aço",IF(COUNTIFS('Aço'!$B$8:$B$107,A42,'Aço'!$O$8:$O$107,"Pendente: período")+COUNTIFS('Aço'!$B$8:$B$107,A42,'Aço'!$O$8:$O$107,"Pendente: data")+COUNTIFS('Aço'!$B$8:$B$107,A42,'Aço'!$O$8:$O$107,"Pendente: identificação")+COUNTIFS('Aço'!$B$8:$B$107,A42,'Aço'!$O$8:$O$107,"Pendente: artigo / material")+COUNTIFS('Aço'!$B$8:$B$107,A42,'Aço'!$O$8:$O$107,"Pendente: dimensões")&gt;0,"Pendente",SUMIFS('Aço'!$N$8:$N$107,'Aço'!$B$8:$B$107,A42,'Aço'!$O$8:$O$107,"OK")),IF(C42="Betão",IF(COUNTIFS('Betão'!$B$8:$B$107,A42,'Betão'!$M$8:$M$107,"Pendente: período")+COUNTIFS('Betão'!$B$8:$B$107,A42,'Betão'!$M$8:$M$107,"Pendente: data")+COUNTIFS('Betão'!$B$8:$B$107,A42,'Betão'!$M$8:$M$107,"Pendente: identificação")+COUNTIFS('Betão'!$B$8:$B$107,A42,'Betão'!$M$8:$M$107,"Pendente: artigo / material")+COUNTIFS('Betão'!$B$8:$B$107,A42,'Betão'!$M$8:$M$107,"Pendente: dimensões")&gt;0,"Pendente",SUMIFS('Betão'!$L$8:$L$107,'Betão'!$B$8:$B$107,A42,'Betão'!$M$8:$M$107,"OK")),IF(C42="Cofragem",IF(COUNTIFS('Cofragem'!$B$8:$B$107,A42,'Cofragem'!$K$8:$K$107,"Pendente: período")+COUNTIFS('Cofragem'!$B$8:$B$107,A42,'Cofragem'!$K$8:$K$107,"Pendente: data")+COUNTIFS('Cofragem'!$B$8:$B$107,A42,'Cofragem'!$K$8:$K$107,"Pendente: identificação")+COUNTIFS('Cofragem'!$B$8:$B$107,A42,'Cofragem'!$K$8:$K$107,"Pendente: artigo / material")+COUNTIFS('Cofragem'!$B$8:$B$107,A42,'Cofragem'!$K$8:$K$107,"Pendente: dimensões")&gt;0,"Pendente",SUMIFS('Cofragem'!$J$8:$J$107,'Cofragem'!$B$8:$B$107,A42,'Cofragem'!$K$8:$K$107,"OK")),"Pendente")))))</x:f>
      </x:c>
      <x:c r="H42" s="14" t="str">
        <x:f>IF(A42="","",IF(OR(NOT(ISNUMBER(F42)),NOT(ISNUMBER(G42))),"Pendente",F42+G42))</x:f>
      </x:c>
      <x:c r="I42" s="14" t="str">
        <x:f>IF(A42="","",IF(OR(NOT(ISNUMBER(E42)),NOT(ISNUMBER(H42))),"Pendente",E42-H42))</x:f>
      </x:c>
      <x:c r="J42" s="15" t="str">
        <x:f>IF(A42="","",IF(OR(NOT(ISNUMBER(E42)),NOT(ISNUMBER(H42))),"Pendente",IF(E42=0,"n.a.",H42/E42)))</x:f>
      </x:c>
      <x:c r="K42" s="16"/>
      <x:c r="L42" s="17" t="str">
        <x:f>IF(A42="","",IF(OR(NOT(ISNUMBER(G42)),NOT(ISNUMBER(K42))),"Pendente",ROUND(G42*K42,2)))</x:f>
      </x:c>
      <x:c r="M42" s="2" t="str">
        <x:f>IF(COUNTA(A42:C42,E42:F42,K42)=0,"",IF(A42="","Pendente: código",IF(COUNTIF($A$13:$A$42,A42)&gt;1,"Rever: código repetido",IF(OR(B42="",C42="",NOT(ISNUMBER(E42)),NOT(ISNUMBER(F42)),NOT(ISNUMBER(K42))),"Pendente: contrato / preço",IF(OR(E42&lt;0,F42&lt;0,K42&lt;0),"Rever: valor negativo",IF(NOT(ISNUMBER(L42)),"Pendente: medição",IF(H42&gt;E42,"Rever: excede contrato","OK")))))))</x:f>
      </x:c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3" customHeight="1">
      <x:c r="A45" s="2" t="str">
        <x:v>Preparado por</x:v>
      </x:c>
      <x:c r="B45" s="5"/>
      <x:c r="C45" s="5"/>
      <x:c r="D45" s="5"/>
      <x:c r="E45" s="2"/>
      <x:c r="F45" s="2" t="str">
        <x:v>Conferido por</x:v>
      </x:c>
      <x:c r="G45" s="5"/>
      <x:c r="H45" s="5"/>
      <x:c r="I45" s="5"/>
      <x:c r="J45" s="2"/>
      <x:c r="K45" s="2" t="str">
        <x:v>Aprovado por</x:v>
      </x:c>
      <x:c r="L45" s="5"/>
      <x:c r="M45" s="5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</x:sheetData>
  <x:conditionalFormatting sqref="G13:M42">
    <x:cfRule type="containsText" dxfId="0" priority="1" operator="containsText" text="Pendente"/>
    <x:cfRule type="containsText" dxfId="1" priority="2" operator="containsText" text="Rever"/>
  </x:conditionalFormatting>
  <x:dataValidations count="1">
    <x:dataValidation type="list" sqref="C13:C42">
      <x:formula1>"Aço,Betão,Cofragem"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25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3" customHeight="1">
      <x:c r="A2" s="3" t="str">
        <x:v>Memória de cálculo — aço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3" customHeight="1">
      <x:c r="A4" s="2" t="str">
        <x:v>Início</x:v>
      </x:c>
      <x:c r="B4" s="18" t="str">
        <x:f>IF('Auto mensal'!B5="","",'Auto mensal'!B5)</x:f>
      </x:c>
      <x:c r="C4" s="2" t="str">
        <x:v>Fim</x:v>
      </x:c>
      <x:c r="D4" s="18" t="str">
        <x:f>IF('Auto mensal'!D5="","",'Auto mensal'!D5)</x:f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 t="str">
        <x:v>Comprimentos em m. J e K são acréscimos por varão (vazio = 0). Usar os comprimentos de corte aprovados; não duplicar transpasses.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2" customHeight="1">
      <x:c r="A7" s="11" t="str">
        <x:v>Data execução</x:v>
      </x:c>
      <x:c r="B7" s="11" t="str">
        <x:v>Código artigo</x:v>
      </x:c>
      <x:c r="C7" s="11" t="str">
        <x:v>Elemento / troço</x:v>
      </x:c>
      <x:c r="D7" s="11" t="str">
        <x:v>Piso / zona</x:v>
      </x:c>
      <x:c r="E7" s="11" t="str">
        <x:v>Desenho / evidência</x:v>
      </x:c>
      <x:c r="F7" s="11" t="str">
        <x:v>Tipo armadura</x:v>
      </x:c>
      <x:c r="G7" s="11" t="str">
        <x:v>Ø mm</x:v>
      </x:c>
      <x:c r="H7" s="11" t="str">
        <x:v>N.º varões</x:v>
      </x:c>
      <x:c r="I7" s="11" t="str">
        <x:v>Trecho reto m</x:v>
      </x:c>
      <x:c r="J7" s="11" t="str">
        <x:v>Dobras / ganchos m</x:v>
      </x:c>
      <x:c r="K7" s="11" t="str">
        <x:v>Transpasses m</x:v>
      </x:c>
      <x:c r="L7" s="11" t="str">
        <x:v>Corte unitário m</x:v>
      </x:c>
      <x:c r="M7" s="11" t="str">
        <x:v>Peso linear kg/m</x:v>
      </x:c>
      <x:c r="N7" s="11" t="str">
        <x:v>Aço aplicado kg</x:v>
      </x:c>
      <x:c r="O7" s="11" t="str">
        <x:v>Conferência</x:v>
      </x:c>
      <x:c r="P7" s="11" t="str">
        <x:v>Observações</x:v>
      </x:c>
    </x:row>
    <x:row r="8" ht="23" customHeight="1">
      <x:c r="A8" s="6"/>
      <x:c r="B8" s="12"/>
      <x:c r="C8" s="5"/>
      <x:c r="D8" s="5"/>
      <x:c r="E8" s="5"/>
      <x:c r="F8" s="13"/>
      <x:c r="G8" s="13"/>
      <x:c r="H8" s="13"/>
      <x:c r="I8" s="13"/>
      <x:c r="J8" s="13"/>
      <x:c r="K8" s="13"/>
      <x:c r="L8" s="14" t="str">
        <x:f>IF(O8="OK",SUM(I8:K8),"")</x:f>
      </x:c>
      <x:c r="M8" s="14" t="str">
        <x:f>IF(O8="OK",0.006165375*G8^2,"")</x:f>
      </x:c>
      <x:c r="N8" s="14" t="str">
        <x:f>IF(O8="OK",H8*L8*M8,"")</x:f>
      </x:c>
      <x:c r="O8" s="2" t="str">
        <x:f>IF(COUNTA(A8:K8,P8)=0,"",IF(OR('Auto mensal'!$B$5="",'Auto mensal'!$D$5="",'Auto mensal'!$D$5&lt;'Auto mensal'!$B$5),"Pendente: período",IF(OR(A8="",NOT(ISNUMBER(A8))),"Pendente: data",IF(OR(A8&lt;'Auto mensal'!$B$5,A8&gt;'Auto mensal'!$D$5),"Fora do período",IF(OR(B8="",C8="",D8="",E8=""),"Pendente: identificação",IF(COUNTIFS('Auto mensal'!$A$13:$A$42,B8,'Auto mensal'!$C$13:$C$42,"Aço")&lt;&gt;1,"Pendente: artigo / material",IF(AND(F8&lt;&gt;"",ISNUMBER(G8),G8&gt;0,ISNUMBER(H8),H8&gt;0,H8=INT(H8),ISNUMBER(I8),I8&gt;0,OR(J8="",AND(ISNUMBER(J8),J8&gt;=0)),OR(K8="",AND(ISNUMBER(K8),K8&gt;=0))),"OK","Pendente: dimensões")))))))</x:f>
      </x:c>
      <x:c r="P8" s="5"/>
    </x:row>
    <x:row r="9" ht="23" customHeight="1">
      <x:c r="A9" s="6"/>
      <x:c r="B9" s="12"/>
      <x:c r="C9" s="5"/>
      <x:c r="D9" s="5"/>
      <x:c r="E9" s="5"/>
      <x:c r="F9" s="13"/>
      <x:c r="G9" s="13"/>
      <x:c r="H9" s="13"/>
      <x:c r="I9" s="13"/>
      <x:c r="J9" s="13"/>
      <x:c r="K9" s="13"/>
      <x:c r="L9" s="14" t="str">
        <x:f>IF(O9="OK",SUM(I9:K9),"")</x:f>
      </x:c>
      <x:c r="M9" s="14" t="str">
        <x:f>IF(O9="OK",0.006165375*G9^2,"")</x:f>
      </x:c>
      <x:c r="N9" s="14" t="str">
        <x:f>IF(O9="OK",H9*L9*M9,"")</x:f>
      </x:c>
      <x:c r="O9" s="2" t="str">
        <x:f>IF(COUNTA(A9:K9,P9)=0,"",IF(OR('Auto mensal'!$B$5="",'Auto mensal'!$D$5="",'Auto mensal'!$D$5&lt;'Auto mensal'!$B$5),"Pendente: período",IF(OR(A9="",NOT(ISNUMBER(A9))),"Pendente: data",IF(OR(A9&lt;'Auto mensal'!$B$5,A9&gt;'Auto mensal'!$D$5),"Fora do período",IF(OR(B9="",C9="",D9="",E9=""),"Pendente: identificação",IF(COUNTIFS('Auto mensal'!$A$13:$A$42,B9,'Auto mensal'!$C$13:$C$42,"Aço")&lt;&gt;1,"Pendente: artigo / material",IF(AND(F9&lt;&gt;"",ISNUMBER(G9),G9&gt;0,ISNUMBER(H9),H9&gt;0,H9=INT(H9),ISNUMBER(I9),I9&gt;0,OR(J9="",AND(ISNUMBER(J9),J9&gt;=0)),OR(K9="",AND(ISNUMBER(K9),K9&gt;=0))),"OK","Pendente: dimensões")))))))</x:f>
      </x:c>
      <x:c r="P9" s="5"/>
    </x:row>
    <x:row r="10" ht="23" customHeight="1">
      <x:c r="A10" s="6"/>
      <x:c r="B10" s="12"/>
      <x:c r="C10" s="5"/>
      <x:c r="D10" s="5"/>
      <x:c r="E10" s="5"/>
      <x:c r="F10" s="13"/>
      <x:c r="G10" s="13"/>
      <x:c r="H10" s="13"/>
      <x:c r="I10" s="13"/>
      <x:c r="J10" s="13"/>
      <x:c r="K10" s="13"/>
      <x:c r="L10" s="14" t="str">
        <x:f>IF(O10="OK",SUM(I10:K10),"")</x:f>
      </x:c>
      <x:c r="M10" s="14" t="str">
        <x:f>IF(O10="OK",0.006165375*G10^2,"")</x:f>
      </x:c>
      <x:c r="N10" s="14" t="str">
        <x:f>IF(O10="OK",H10*L10*M10,"")</x:f>
      </x:c>
      <x:c r="O10" s="2" t="str">
        <x:f>IF(COUNTA(A10:K10,P10)=0,"",IF(OR('Auto mensal'!$B$5="",'Auto mensal'!$D$5="",'Auto mensal'!$D$5&lt;'Auto mensal'!$B$5),"Pendente: período",IF(OR(A10="",NOT(ISNUMBER(A10))),"Pendente: data",IF(OR(A10&lt;'Auto mensal'!$B$5,A10&gt;'Auto mensal'!$D$5),"Fora do período",IF(OR(B10="",C10="",D10="",E10=""),"Pendente: identificação",IF(COUNTIFS('Auto mensal'!$A$13:$A$42,B10,'Auto mensal'!$C$13:$C$42,"Aço")&lt;&gt;1,"Pendente: artigo / material",IF(AND(F10&lt;&gt;"",ISNUMBER(G10),G10&gt;0,ISNUMBER(H10),H10&gt;0,H10=INT(H10),ISNUMBER(I10),I10&gt;0,OR(J10="",AND(ISNUMBER(J10),J10&gt;=0)),OR(K10="",AND(ISNUMBER(K10),K10&gt;=0))),"OK","Pendente: dimensões")))))))</x:f>
      </x:c>
      <x:c r="P10" s="5"/>
    </x:row>
    <x:row r="11" ht="23" customHeight="1">
      <x:c r="A11" s="6"/>
      <x:c r="B11" s="12"/>
      <x:c r="C11" s="5"/>
      <x:c r="D11" s="5"/>
      <x:c r="E11" s="5"/>
      <x:c r="F11" s="13"/>
      <x:c r="G11" s="13"/>
      <x:c r="H11" s="13"/>
      <x:c r="I11" s="13"/>
      <x:c r="J11" s="13"/>
      <x:c r="K11" s="13"/>
      <x:c r="L11" s="14" t="str">
        <x:f>IF(O11="OK",SUM(I11:K11),"")</x:f>
      </x:c>
      <x:c r="M11" s="14" t="str">
        <x:f>IF(O11="OK",0.006165375*G11^2,"")</x:f>
      </x:c>
      <x:c r="N11" s="14" t="str">
        <x:f>IF(O11="OK",H11*L11*M11,"")</x:f>
      </x:c>
      <x:c r="O11" s="2" t="str">
        <x:f>IF(COUNTA(A11:K11,P11)=0,"",IF(OR('Auto mensal'!$B$5="",'Auto mensal'!$D$5="",'Auto mensal'!$D$5&lt;'Auto mensal'!$B$5),"Pendente: período",IF(OR(A11="",NOT(ISNUMBER(A11))),"Pendente: data",IF(OR(A11&lt;'Auto mensal'!$B$5,A11&gt;'Auto mensal'!$D$5),"Fora do período",IF(OR(B11="",C11="",D11="",E11=""),"Pendente: identificação",IF(COUNTIFS('Auto mensal'!$A$13:$A$42,B11,'Auto mensal'!$C$13:$C$42,"Aço")&lt;&gt;1,"Pendente: artigo / material",IF(AND(F11&lt;&gt;"",ISNUMBER(G11),G11&gt;0,ISNUMBER(H11),H11&gt;0,H11=INT(H11),ISNUMBER(I11),I11&gt;0,OR(J11="",AND(ISNUMBER(J11),J11&gt;=0)),OR(K11="",AND(ISNUMBER(K11),K11&gt;=0))),"OK","Pendente: dimensões")))))))</x:f>
      </x:c>
      <x:c r="P11" s="5"/>
    </x:row>
    <x:row r="12" ht="23" customHeight="1">
      <x:c r="A12" s="6"/>
      <x:c r="B12" s="12"/>
      <x:c r="C12" s="5"/>
      <x:c r="D12" s="5"/>
      <x:c r="E12" s="5"/>
      <x:c r="F12" s="13"/>
      <x:c r="G12" s="13"/>
      <x:c r="H12" s="13"/>
      <x:c r="I12" s="13"/>
      <x:c r="J12" s="13"/>
      <x:c r="K12" s="13"/>
      <x:c r="L12" s="14" t="str">
        <x:f>IF(O12="OK",SUM(I12:K12),"")</x:f>
      </x:c>
      <x:c r="M12" s="14" t="str">
        <x:f>IF(O12="OK",0.006165375*G12^2,"")</x:f>
      </x:c>
      <x:c r="N12" s="14" t="str">
        <x:f>IF(O12="OK",H12*L12*M12,"")</x:f>
      </x:c>
      <x:c r="O12" s="2" t="str">
        <x:f>IF(COUNTA(A12:K12,P12)=0,"",IF(OR('Auto mensal'!$B$5="",'Auto mensal'!$D$5="",'Auto mensal'!$D$5&lt;'Auto mensal'!$B$5),"Pendente: período",IF(OR(A12="",NOT(ISNUMBER(A12))),"Pendente: data",IF(OR(A12&lt;'Auto mensal'!$B$5,A12&gt;'Auto mensal'!$D$5),"Fora do período",IF(OR(B12="",C12="",D12="",E12=""),"Pendente: identificação",IF(COUNTIFS('Auto mensal'!$A$13:$A$42,B12,'Auto mensal'!$C$13:$C$42,"Aço")&lt;&gt;1,"Pendente: artigo / material",IF(AND(F12&lt;&gt;"",ISNUMBER(G12),G12&gt;0,ISNUMBER(H12),H12&gt;0,H12=INT(H12),ISNUMBER(I12),I12&gt;0,OR(J12="",AND(ISNUMBER(J12),J12&gt;=0)),OR(K12="",AND(ISNUMBER(K12),K12&gt;=0))),"OK","Pendente: dimensões")))))))</x:f>
      </x:c>
      <x:c r="P12" s="5"/>
    </x:row>
    <x:row r="13" ht="23" customHeight="1">
      <x:c r="A13" s="6"/>
      <x:c r="B13" s="12"/>
      <x:c r="C13" s="5"/>
      <x:c r="D13" s="5"/>
      <x:c r="E13" s="5"/>
      <x:c r="F13" s="13"/>
      <x:c r="G13" s="13"/>
      <x:c r="H13" s="13"/>
      <x:c r="I13" s="13"/>
      <x:c r="J13" s="13"/>
      <x:c r="K13" s="13"/>
      <x:c r="L13" s="14" t="str">
        <x:f>IF(O13="OK",SUM(I13:K13),"")</x:f>
      </x:c>
      <x:c r="M13" s="14" t="str">
        <x:f>IF(O13="OK",0.006165375*G13^2,"")</x:f>
      </x:c>
      <x:c r="N13" s="14" t="str">
        <x:f>IF(O13="OK",H13*L13*M13,"")</x:f>
      </x:c>
      <x:c r="O13" s="2" t="str">
        <x:f>IF(COUNTA(A13:K13,P13)=0,"",IF(OR('Auto mensal'!$B$5="",'Auto mensal'!$D$5="",'Auto mensal'!$D$5&lt;'Auto mensal'!$B$5),"Pendente: período",IF(OR(A13="",NOT(ISNUMBER(A13))),"Pendente: data",IF(OR(A13&lt;'Auto mensal'!$B$5,A13&gt;'Auto mensal'!$D$5),"Fora do período",IF(OR(B13="",C13="",D13="",E13=""),"Pendente: identificação",IF(COUNTIFS('Auto mensal'!$A$13:$A$42,B13,'Auto mensal'!$C$13:$C$42,"Aço")&lt;&gt;1,"Pendente: artigo / material",IF(AND(F13&lt;&gt;"",ISNUMBER(G13),G13&gt;0,ISNUMBER(H13),H13&gt;0,H13=INT(H13),ISNUMBER(I13),I13&gt;0,OR(J13="",AND(ISNUMBER(J13),J13&gt;=0)),OR(K13="",AND(ISNUMBER(K13),K13&gt;=0))),"OK","Pendente: dimensões")))))))</x:f>
      </x:c>
      <x:c r="P13" s="5"/>
    </x:row>
    <x:row r="14" ht="23" customHeight="1">
      <x:c r="A14" s="6"/>
      <x:c r="B14" s="12"/>
      <x:c r="C14" s="5"/>
      <x:c r="D14" s="5"/>
      <x:c r="E14" s="5"/>
      <x:c r="F14" s="13"/>
      <x:c r="G14" s="13"/>
      <x:c r="H14" s="13"/>
      <x:c r="I14" s="13"/>
      <x:c r="J14" s="13"/>
      <x:c r="K14" s="13"/>
      <x:c r="L14" s="14" t="str">
        <x:f>IF(O14="OK",SUM(I14:K14),"")</x:f>
      </x:c>
      <x:c r="M14" s="14" t="str">
        <x:f>IF(O14="OK",0.006165375*G14^2,"")</x:f>
      </x:c>
      <x:c r="N14" s="14" t="str">
        <x:f>IF(O14="OK",H14*L14*M14,"")</x:f>
      </x:c>
      <x:c r="O14" s="2" t="str">
        <x:f>IF(COUNTA(A14:K14,P14)=0,"",IF(OR('Auto mensal'!$B$5="",'Auto mensal'!$D$5="",'Auto mensal'!$D$5&lt;'Auto mensal'!$B$5),"Pendente: período",IF(OR(A14="",NOT(ISNUMBER(A14))),"Pendente: data",IF(OR(A14&lt;'Auto mensal'!$B$5,A14&gt;'Auto mensal'!$D$5),"Fora do período",IF(OR(B14="",C14="",D14="",E14=""),"Pendente: identificação",IF(COUNTIFS('Auto mensal'!$A$13:$A$42,B14,'Auto mensal'!$C$13:$C$42,"Aço")&lt;&gt;1,"Pendente: artigo / material",IF(AND(F14&lt;&gt;"",ISNUMBER(G14),G14&gt;0,ISNUMBER(H14),H14&gt;0,H14=INT(H14),ISNUMBER(I14),I14&gt;0,OR(J14="",AND(ISNUMBER(J14),J14&gt;=0)),OR(K14="",AND(ISNUMBER(K14),K14&gt;=0))),"OK","Pendente: dimensões")))))))</x:f>
      </x:c>
      <x:c r="P14" s="5"/>
    </x:row>
    <x:row r="15" ht="23" customHeight="1">
      <x:c r="A15" s="6"/>
      <x:c r="B15" s="12"/>
      <x:c r="C15" s="5"/>
      <x:c r="D15" s="5"/>
      <x:c r="E15" s="5"/>
      <x:c r="F15" s="13"/>
      <x:c r="G15" s="13"/>
      <x:c r="H15" s="13"/>
      <x:c r="I15" s="13"/>
      <x:c r="J15" s="13"/>
      <x:c r="K15" s="13"/>
      <x:c r="L15" s="14" t="str">
        <x:f>IF(O15="OK",SUM(I15:K15),"")</x:f>
      </x:c>
      <x:c r="M15" s="14" t="str">
        <x:f>IF(O15="OK",0.006165375*G15^2,"")</x:f>
      </x:c>
      <x:c r="N15" s="14" t="str">
        <x:f>IF(O15="OK",H15*L15*M15,"")</x:f>
      </x:c>
      <x:c r="O15" s="2" t="str">
        <x:f>IF(COUNTA(A15:K15,P15)=0,"",IF(OR('Auto mensal'!$B$5="",'Auto mensal'!$D$5="",'Auto mensal'!$D$5&lt;'Auto mensal'!$B$5),"Pendente: período",IF(OR(A15="",NOT(ISNUMBER(A15))),"Pendente: data",IF(OR(A15&lt;'Auto mensal'!$B$5,A15&gt;'Auto mensal'!$D$5),"Fora do período",IF(OR(B15="",C15="",D15="",E15=""),"Pendente: identificação",IF(COUNTIFS('Auto mensal'!$A$13:$A$42,B15,'Auto mensal'!$C$13:$C$42,"Aço")&lt;&gt;1,"Pendente: artigo / material",IF(AND(F15&lt;&gt;"",ISNUMBER(G15),G15&gt;0,ISNUMBER(H15),H15&gt;0,H15=INT(H15),ISNUMBER(I15),I15&gt;0,OR(J15="",AND(ISNUMBER(J15),J15&gt;=0)),OR(K15="",AND(ISNUMBER(K15),K15&gt;=0))),"OK","Pendente: dimensões")))))))</x:f>
      </x:c>
      <x:c r="P15" s="5"/>
    </x:row>
    <x:row r="16" ht="23" customHeight="1">
      <x:c r="A16" s="6"/>
      <x:c r="B16" s="12"/>
      <x:c r="C16" s="5"/>
      <x:c r="D16" s="5"/>
      <x:c r="E16" s="5"/>
      <x:c r="F16" s="13"/>
      <x:c r="G16" s="13"/>
      <x:c r="H16" s="13"/>
      <x:c r="I16" s="13"/>
      <x:c r="J16" s="13"/>
      <x:c r="K16" s="13"/>
      <x:c r="L16" s="14" t="str">
        <x:f>IF(O16="OK",SUM(I16:K16),"")</x:f>
      </x:c>
      <x:c r="M16" s="14" t="str">
        <x:f>IF(O16="OK",0.006165375*G16^2,"")</x:f>
      </x:c>
      <x:c r="N16" s="14" t="str">
        <x:f>IF(O16="OK",H16*L16*M16,"")</x:f>
      </x:c>
      <x:c r="O16" s="2" t="str">
        <x:f>IF(COUNTA(A16:K16,P16)=0,"",IF(OR('Auto mensal'!$B$5="",'Auto mensal'!$D$5="",'Auto mensal'!$D$5&lt;'Auto mensal'!$B$5),"Pendente: período",IF(OR(A16="",NOT(ISNUMBER(A16))),"Pendente: data",IF(OR(A16&lt;'Auto mensal'!$B$5,A16&gt;'Auto mensal'!$D$5),"Fora do período",IF(OR(B16="",C16="",D16="",E16=""),"Pendente: identificação",IF(COUNTIFS('Auto mensal'!$A$13:$A$42,B16,'Auto mensal'!$C$13:$C$42,"Aço")&lt;&gt;1,"Pendente: artigo / material",IF(AND(F16&lt;&gt;"",ISNUMBER(G16),G16&gt;0,ISNUMBER(H16),H16&gt;0,H16=INT(H16),ISNUMBER(I16),I16&gt;0,OR(J16="",AND(ISNUMBER(J16),J16&gt;=0)),OR(K16="",AND(ISNUMBER(K16),K16&gt;=0))),"OK","Pendente: dimensões")))))))</x:f>
      </x:c>
      <x:c r="P16" s="5"/>
    </x:row>
    <x:row r="17" ht="23" customHeight="1">
      <x:c r="A17" s="6"/>
      <x:c r="B17" s="12"/>
      <x:c r="C17" s="5"/>
      <x:c r="D17" s="5"/>
      <x:c r="E17" s="5"/>
      <x:c r="F17" s="13"/>
      <x:c r="G17" s="13"/>
      <x:c r="H17" s="13"/>
      <x:c r="I17" s="13"/>
      <x:c r="J17" s="13"/>
      <x:c r="K17" s="13"/>
      <x:c r="L17" s="14" t="str">
        <x:f>IF(O17="OK",SUM(I17:K17),"")</x:f>
      </x:c>
      <x:c r="M17" s="14" t="str">
        <x:f>IF(O17="OK",0.006165375*G17^2,"")</x:f>
      </x:c>
      <x:c r="N17" s="14" t="str">
        <x:f>IF(O17="OK",H17*L17*M17,"")</x:f>
      </x:c>
      <x:c r="O17" s="2" t="str">
        <x:f>IF(COUNTA(A17:K17,P17)=0,"",IF(OR('Auto mensal'!$B$5="",'Auto mensal'!$D$5="",'Auto mensal'!$D$5&lt;'Auto mensal'!$B$5),"Pendente: período",IF(OR(A17="",NOT(ISNUMBER(A17))),"Pendente: data",IF(OR(A17&lt;'Auto mensal'!$B$5,A17&gt;'Auto mensal'!$D$5),"Fora do período",IF(OR(B17="",C17="",D17="",E17=""),"Pendente: identificação",IF(COUNTIFS('Auto mensal'!$A$13:$A$42,B17,'Auto mensal'!$C$13:$C$42,"Aço")&lt;&gt;1,"Pendente: artigo / material",IF(AND(F17&lt;&gt;"",ISNUMBER(G17),G17&gt;0,ISNUMBER(H17),H17&gt;0,H17=INT(H17),ISNUMBER(I17),I17&gt;0,OR(J17="",AND(ISNUMBER(J17),J17&gt;=0)),OR(K17="",AND(ISNUMBER(K17),K17&gt;=0))),"OK","Pendente: dimensões")))))))</x:f>
      </x:c>
      <x:c r="P17" s="5"/>
    </x:row>
    <x:row r="18" ht="23" customHeight="1">
      <x:c r="A18" s="6"/>
      <x:c r="B18" s="12"/>
      <x:c r="C18" s="5"/>
      <x:c r="D18" s="5"/>
      <x:c r="E18" s="5"/>
      <x:c r="F18" s="13"/>
      <x:c r="G18" s="13"/>
      <x:c r="H18" s="13"/>
      <x:c r="I18" s="13"/>
      <x:c r="J18" s="13"/>
      <x:c r="K18" s="13"/>
      <x:c r="L18" s="14" t="str">
        <x:f>IF(O18="OK",SUM(I18:K18),"")</x:f>
      </x:c>
      <x:c r="M18" s="14" t="str">
        <x:f>IF(O18="OK",0.006165375*G18^2,"")</x:f>
      </x:c>
      <x:c r="N18" s="14" t="str">
        <x:f>IF(O18="OK",H18*L18*M18,"")</x:f>
      </x:c>
      <x:c r="O18" s="2" t="str">
        <x:f>IF(COUNTA(A18:K18,P18)=0,"",IF(OR('Auto mensal'!$B$5="",'Auto mensal'!$D$5="",'Auto mensal'!$D$5&lt;'Auto mensal'!$B$5),"Pendente: período",IF(OR(A18="",NOT(ISNUMBER(A18))),"Pendente: data",IF(OR(A18&lt;'Auto mensal'!$B$5,A18&gt;'Auto mensal'!$D$5),"Fora do período",IF(OR(B18="",C18="",D18="",E18=""),"Pendente: identificação",IF(COUNTIFS('Auto mensal'!$A$13:$A$42,B18,'Auto mensal'!$C$13:$C$42,"Aço")&lt;&gt;1,"Pendente: artigo / material",IF(AND(F18&lt;&gt;"",ISNUMBER(G18),G18&gt;0,ISNUMBER(H18),H18&gt;0,H18=INT(H18),ISNUMBER(I18),I18&gt;0,OR(J18="",AND(ISNUMBER(J18),J18&gt;=0)),OR(K18="",AND(ISNUMBER(K18),K18&gt;=0))),"OK","Pendente: dimensões")))))))</x:f>
      </x:c>
      <x:c r="P18" s="5"/>
    </x:row>
    <x:row r="19" ht="23" customHeight="1">
      <x:c r="A19" s="6"/>
      <x:c r="B19" s="12"/>
      <x:c r="C19" s="5"/>
      <x:c r="D19" s="5"/>
      <x:c r="E19" s="5"/>
      <x:c r="F19" s="13"/>
      <x:c r="G19" s="13"/>
      <x:c r="H19" s="13"/>
      <x:c r="I19" s="13"/>
      <x:c r="J19" s="13"/>
      <x:c r="K19" s="13"/>
      <x:c r="L19" s="14" t="str">
        <x:f>IF(O19="OK",SUM(I19:K19),"")</x:f>
      </x:c>
      <x:c r="M19" s="14" t="str">
        <x:f>IF(O19="OK",0.006165375*G19^2,"")</x:f>
      </x:c>
      <x:c r="N19" s="14" t="str">
        <x:f>IF(O19="OK",H19*L19*M19,"")</x:f>
      </x:c>
      <x:c r="O19" s="2" t="str">
        <x:f>IF(COUNTA(A19:K19,P19)=0,"",IF(OR('Auto mensal'!$B$5="",'Auto mensal'!$D$5="",'Auto mensal'!$D$5&lt;'Auto mensal'!$B$5),"Pendente: período",IF(OR(A19="",NOT(ISNUMBER(A19))),"Pendente: data",IF(OR(A19&lt;'Auto mensal'!$B$5,A19&gt;'Auto mensal'!$D$5),"Fora do período",IF(OR(B19="",C19="",D19="",E19=""),"Pendente: identificação",IF(COUNTIFS('Auto mensal'!$A$13:$A$42,B19,'Auto mensal'!$C$13:$C$42,"Aço")&lt;&gt;1,"Pendente: artigo / material",IF(AND(F19&lt;&gt;"",ISNUMBER(G19),G19&gt;0,ISNUMBER(H19),H19&gt;0,H19=INT(H19),ISNUMBER(I19),I19&gt;0,OR(J19="",AND(ISNUMBER(J19),J19&gt;=0)),OR(K19="",AND(ISNUMBER(K19),K19&gt;=0))),"OK","Pendente: dimensões")))))))</x:f>
      </x:c>
      <x:c r="P19" s="5"/>
    </x:row>
    <x:row r="20" ht="23" customHeight="1">
      <x:c r="A20" s="6"/>
      <x:c r="B20" s="12"/>
      <x:c r="C20" s="5"/>
      <x:c r="D20" s="5"/>
      <x:c r="E20" s="5"/>
      <x:c r="F20" s="13"/>
      <x:c r="G20" s="13"/>
      <x:c r="H20" s="13"/>
      <x:c r="I20" s="13"/>
      <x:c r="J20" s="13"/>
      <x:c r="K20" s="13"/>
      <x:c r="L20" s="14" t="str">
        <x:f>IF(O20="OK",SUM(I20:K20),"")</x:f>
      </x:c>
      <x:c r="M20" s="14" t="str">
        <x:f>IF(O20="OK",0.006165375*G20^2,"")</x:f>
      </x:c>
      <x:c r="N20" s="14" t="str">
        <x:f>IF(O20="OK",H20*L20*M20,"")</x:f>
      </x:c>
      <x:c r="O20" s="2" t="str">
        <x:f>IF(COUNTA(A20:K20,P20)=0,"",IF(OR('Auto mensal'!$B$5="",'Auto mensal'!$D$5="",'Auto mensal'!$D$5&lt;'Auto mensal'!$B$5),"Pendente: período",IF(OR(A20="",NOT(ISNUMBER(A20))),"Pendente: data",IF(OR(A20&lt;'Auto mensal'!$B$5,A20&gt;'Auto mensal'!$D$5),"Fora do período",IF(OR(B20="",C20="",D20="",E20=""),"Pendente: identificação",IF(COUNTIFS('Auto mensal'!$A$13:$A$42,B20,'Auto mensal'!$C$13:$C$42,"Aço")&lt;&gt;1,"Pendente: artigo / material",IF(AND(F20&lt;&gt;"",ISNUMBER(G20),G20&gt;0,ISNUMBER(H20),H20&gt;0,H20=INT(H20),ISNUMBER(I20),I20&gt;0,OR(J20="",AND(ISNUMBER(J20),J20&gt;=0)),OR(K20="",AND(ISNUMBER(K20),K20&gt;=0))),"OK","Pendente: dimensões")))))))</x:f>
      </x:c>
      <x:c r="P20" s="5"/>
    </x:row>
    <x:row r="21" ht="23" customHeight="1">
      <x:c r="A21" s="6"/>
      <x:c r="B21" s="12"/>
      <x:c r="C21" s="5"/>
      <x:c r="D21" s="5"/>
      <x:c r="E21" s="5"/>
      <x:c r="F21" s="13"/>
      <x:c r="G21" s="13"/>
      <x:c r="H21" s="13"/>
      <x:c r="I21" s="13"/>
      <x:c r="J21" s="13"/>
      <x:c r="K21" s="13"/>
      <x:c r="L21" s="14" t="str">
        <x:f>IF(O21="OK",SUM(I21:K21),"")</x:f>
      </x:c>
      <x:c r="M21" s="14" t="str">
        <x:f>IF(O21="OK",0.006165375*G21^2,"")</x:f>
      </x:c>
      <x:c r="N21" s="14" t="str">
        <x:f>IF(O21="OK",H21*L21*M21,"")</x:f>
      </x:c>
      <x:c r="O21" s="2" t="str">
        <x:f>IF(COUNTA(A21:K21,P21)=0,"",IF(OR('Auto mensal'!$B$5="",'Auto mensal'!$D$5="",'Auto mensal'!$D$5&lt;'Auto mensal'!$B$5),"Pendente: período",IF(OR(A21="",NOT(ISNUMBER(A21))),"Pendente: data",IF(OR(A21&lt;'Auto mensal'!$B$5,A21&gt;'Auto mensal'!$D$5),"Fora do período",IF(OR(B21="",C21="",D21="",E21=""),"Pendente: identificação",IF(COUNTIFS('Auto mensal'!$A$13:$A$42,B21,'Auto mensal'!$C$13:$C$42,"Aço")&lt;&gt;1,"Pendente: artigo / material",IF(AND(F21&lt;&gt;"",ISNUMBER(G21),G21&gt;0,ISNUMBER(H21),H21&gt;0,H21=INT(H21),ISNUMBER(I21),I21&gt;0,OR(J21="",AND(ISNUMBER(J21),J21&gt;=0)),OR(K21="",AND(ISNUMBER(K21),K21&gt;=0))),"OK","Pendente: dimensões")))))))</x:f>
      </x:c>
      <x:c r="P21" s="5"/>
    </x:row>
    <x:row r="22" ht="23" customHeight="1">
      <x:c r="A22" s="6"/>
      <x:c r="B22" s="12"/>
      <x:c r="C22" s="5"/>
      <x:c r="D22" s="5"/>
      <x:c r="E22" s="5"/>
      <x:c r="F22" s="13"/>
      <x:c r="G22" s="13"/>
      <x:c r="H22" s="13"/>
      <x:c r="I22" s="13"/>
      <x:c r="J22" s="13"/>
      <x:c r="K22" s="13"/>
      <x:c r="L22" s="14" t="str">
        <x:f>IF(O22="OK",SUM(I22:K22),"")</x:f>
      </x:c>
      <x:c r="M22" s="14" t="str">
        <x:f>IF(O22="OK",0.006165375*G22^2,"")</x:f>
      </x:c>
      <x:c r="N22" s="14" t="str">
        <x:f>IF(O22="OK",H22*L22*M22,"")</x:f>
      </x:c>
      <x:c r="O22" s="2" t="str">
        <x:f>IF(COUNTA(A22:K22,P22)=0,"",IF(OR('Auto mensal'!$B$5="",'Auto mensal'!$D$5="",'Auto mensal'!$D$5&lt;'Auto mensal'!$B$5),"Pendente: período",IF(OR(A22="",NOT(ISNUMBER(A22))),"Pendente: data",IF(OR(A22&lt;'Auto mensal'!$B$5,A22&gt;'Auto mensal'!$D$5),"Fora do período",IF(OR(B22="",C22="",D22="",E22=""),"Pendente: identificação",IF(COUNTIFS('Auto mensal'!$A$13:$A$42,B22,'Auto mensal'!$C$13:$C$42,"Aço")&lt;&gt;1,"Pendente: artigo / material",IF(AND(F22&lt;&gt;"",ISNUMBER(G22),G22&gt;0,ISNUMBER(H22),H22&gt;0,H22=INT(H22),ISNUMBER(I22),I22&gt;0,OR(J22="",AND(ISNUMBER(J22),J22&gt;=0)),OR(K22="",AND(ISNUMBER(K22),K22&gt;=0))),"OK","Pendente: dimensões")))))))</x:f>
      </x:c>
      <x:c r="P22" s="5"/>
    </x:row>
    <x:row r="23" ht="23" customHeight="1">
      <x:c r="A23" s="6"/>
      <x:c r="B23" s="12"/>
      <x:c r="C23" s="5"/>
      <x:c r="D23" s="5"/>
      <x:c r="E23" s="5"/>
      <x:c r="F23" s="13"/>
      <x:c r="G23" s="13"/>
      <x:c r="H23" s="13"/>
      <x:c r="I23" s="13"/>
      <x:c r="J23" s="13"/>
      <x:c r="K23" s="13"/>
      <x:c r="L23" s="14" t="str">
        <x:f>IF(O23="OK",SUM(I23:K23),"")</x:f>
      </x:c>
      <x:c r="M23" s="14" t="str">
        <x:f>IF(O23="OK",0.006165375*G23^2,"")</x:f>
      </x:c>
      <x:c r="N23" s="14" t="str">
        <x:f>IF(O23="OK",H23*L23*M23,"")</x:f>
      </x:c>
      <x:c r="O23" s="2" t="str">
        <x:f>IF(COUNTA(A23:K23,P23)=0,"",IF(OR('Auto mensal'!$B$5="",'Auto mensal'!$D$5="",'Auto mensal'!$D$5&lt;'Auto mensal'!$B$5),"Pendente: período",IF(OR(A23="",NOT(ISNUMBER(A23))),"Pendente: data",IF(OR(A23&lt;'Auto mensal'!$B$5,A23&gt;'Auto mensal'!$D$5),"Fora do período",IF(OR(B23="",C23="",D23="",E23=""),"Pendente: identificação",IF(COUNTIFS('Auto mensal'!$A$13:$A$42,B23,'Auto mensal'!$C$13:$C$42,"Aço")&lt;&gt;1,"Pendente: artigo / material",IF(AND(F23&lt;&gt;"",ISNUMBER(G23),G23&gt;0,ISNUMBER(H23),H23&gt;0,H23=INT(H23),ISNUMBER(I23),I23&gt;0,OR(J23="",AND(ISNUMBER(J23),J23&gt;=0)),OR(K23="",AND(ISNUMBER(K23),K23&gt;=0))),"OK","Pendente: dimensões")))))))</x:f>
      </x:c>
      <x:c r="P23" s="5"/>
    </x:row>
    <x:row r="24" ht="23" customHeight="1">
      <x:c r="A24" s="6"/>
      <x:c r="B24" s="12"/>
      <x:c r="C24" s="5"/>
      <x:c r="D24" s="5"/>
      <x:c r="E24" s="5"/>
      <x:c r="F24" s="13"/>
      <x:c r="G24" s="13"/>
      <x:c r="H24" s="13"/>
      <x:c r="I24" s="13"/>
      <x:c r="J24" s="13"/>
      <x:c r="K24" s="13"/>
      <x:c r="L24" s="14" t="str">
        <x:f>IF(O24="OK",SUM(I24:K24),"")</x:f>
      </x:c>
      <x:c r="M24" s="14" t="str">
        <x:f>IF(O24="OK",0.006165375*G24^2,"")</x:f>
      </x:c>
      <x:c r="N24" s="14" t="str">
        <x:f>IF(O24="OK",H24*L24*M24,"")</x:f>
      </x:c>
      <x:c r="O24" s="2" t="str">
        <x:f>IF(COUNTA(A24:K24,P24)=0,"",IF(OR('Auto mensal'!$B$5="",'Auto mensal'!$D$5="",'Auto mensal'!$D$5&lt;'Auto mensal'!$B$5),"Pendente: período",IF(OR(A24="",NOT(ISNUMBER(A24))),"Pendente: data",IF(OR(A24&lt;'Auto mensal'!$B$5,A24&gt;'Auto mensal'!$D$5),"Fora do período",IF(OR(B24="",C24="",D24="",E24=""),"Pendente: identificação",IF(COUNTIFS('Auto mensal'!$A$13:$A$42,B24,'Auto mensal'!$C$13:$C$42,"Aço")&lt;&gt;1,"Pendente: artigo / material",IF(AND(F24&lt;&gt;"",ISNUMBER(G24),G24&gt;0,ISNUMBER(H24),H24&gt;0,H24=INT(H24),ISNUMBER(I24),I24&gt;0,OR(J24="",AND(ISNUMBER(J24),J24&gt;=0)),OR(K24="",AND(ISNUMBER(K24),K24&gt;=0))),"OK","Pendente: dimensões")))))))</x:f>
      </x:c>
      <x:c r="P24" s="5"/>
    </x:row>
    <x:row r="25" ht="23" customHeight="1">
      <x:c r="A25" s="6"/>
      <x:c r="B25" s="12"/>
      <x:c r="C25" s="5"/>
      <x:c r="D25" s="5"/>
      <x:c r="E25" s="5"/>
      <x:c r="F25" s="13"/>
      <x:c r="G25" s="13"/>
      <x:c r="H25" s="13"/>
      <x:c r="I25" s="13"/>
      <x:c r="J25" s="13"/>
      <x:c r="K25" s="13"/>
      <x:c r="L25" s="14" t="str">
        <x:f>IF(O25="OK",SUM(I25:K25),"")</x:f>
      </x:c>
      <x:c r="M25" s="14" t="str">
        <x:f>IF(O25="OK",0.006165375*G25^2,"")</x:f>
      </x:c>
      <x:c r="N25" s="14" t="str">
        <x:f>IF(O25="OK",H25*L25*M25,"")</x:f>
      </x:c>
      <x:c r="O25" s="2" t="str">
        <x:f>IF(COUNTA(A25:K25,P25)=0,"",IF(OR('Auto mensal'!$B$5="",'Auto mensal'!$D$5="",'Auto mensal'!$D$5&lt;'Auto mensal'!$B$5),"Pendente: período",IF(OR(A25="",NOT(ISNUMBER(A25))),"Pendente: data",IF(OR(A25&lt;'Auto mensal'!$B$5,A25&gt;'Auto mensal'!$D$5),"Fora do período",IF(OR(B25="",C25="",D25="",E25=""),"Pendente: identificação",IF(COUNTIFS('Auto mensal'!$A$13:$A$42,B25,'Auto mensal'!$C$13:$C$42,"Aço")&lt;&gt;1,"Pendente: artigo / material",IF(AND(F25&lt;&gt;"",ISNUMBER(G25),G25&gt;0,ISNUMBER(H25),H25&gt;0,H25=INT(H25),ISNUMBER(I25),I25&gt;0,OR(J25="",AND(ISNUMBER(J25),J25&gt;=0)),OR(K25="",AND(ISNUMBER(K25),K25&gt;=0))),"OK","Pendente: dimensões")))))))</x:f>
      </x:c>
      <x:c r="P25" s="5"/>
    </x:row>
    <x:row r="26" ht="23" customHeight="1">
      <x:c r="A26" s="6"/>
      <x:c r="B26" s="12"/>
      <x:c r="C26" s="5"/>
      <x:c r="D26" s="5"/>
      <x:c r="E26" s="5"/>
      <x:c r="F26" s="13"/>
      <x:c r="G26" s="13"/>
      <x:c r="H26" s="13"/>
      <x:c r="I26" s="13"/>
      <x:c r="J26" s="13"/>
      <x:c r="K26" s="13"/>
      <x:c r="L26" s="14" t="str">
        <x:f>IF(O26="OK",SUM(I26:K26),"")</x:f>
      </x:c>
      <x:c r="M26" s="14" t="str">
        <x:f>IF(O26="OK",0.006165375*G26^2,"")</x:f>
      </x:c>
      <x:c r="N26" s="14" t="str">
        <x:f>IF(O26="OK",H26*L26*M26,"")</x:f>
      </x:c>
      <x:c r="O26" s="2" t="str">
        <x:f>IF(COUNTA(A26:K26,P26)=0,"",IF(OR('Auto mensal'!$B$5="",'Auto mensal'!$D$5="",'Auto mensal'!$D$5&lt;'Auto mensal'!$B$5),"Pendente: período",IF(OR(A26="",NOT(ISNUMBER(A26))),"Pendente: data",IF(OR(A26&lt;'Auto mensal'!$B$5,A26&gt;'Auto mensal'!$D$5),"Fora do período",IF(OR(B26="",C26="",D26="",E26=""),"Pendente: identificação",IF(COUNTIFS('Auto mensal'!$A$13:$A$42,B26,'Auto mensal'!$C$13:$C$42,"Aço")&lt;&gt;1,"Pendente: artigo / material",IF(AND(F26&lt;&gt;"",ISNUMBER(G26),G26&gt;0,ISNUMBER(H26),H26&gt;0,H26=INT(H26),ISNUMBER(I26),I26&gt;0,OR(J26="",AND(ISNUMBER(J26),J26&gt;=0)),OR(K26="",AND(ISNUMBER(K26),K26&gt;=0))),"OK","Pendente: dimensões")))))))</x:f>
      </x:c>
      <x:c r="P26" s="5"/>
    </x:row>
    <x:row r="27" ht="23" customHeight="1">
      <x:c r="A27" s="6"/>
      <x:c r="B27" s="12"/>
      <x:c r="C27" s="5"/>
      <x:c r="D27" s="5"/>
      <x:c r="E27" s="5"/>
      <x:c r="F27" s="13"/>
      <x:c r="G27" s="13"/>
      <x:c r="H27" s="13"/>
      <x:c r="I27" s="13"/>
      <x:c r="J27" s="13"/>
      <x:c r="K27" s="13"/>
      <x:c r="L27" s="14" t="str">
        <x:f>IF(O27="OK",SUM(I27:K27),"")</x:f>
      </x:c>
      <x:c r="M27" s="14" t="str">
        <x:f>IF(O27="OK",0.006165375*G27^2,"")</x:f>
      </x:c>
      <x:c r="N27" s="14" t="str">
        <x:f>IF(O27="OK",H27*L27*M27,"")</x:f>
      </x:c>
      <x:c r="O27" s="2" t="str">
        <x:f>IF(COUNTA(A27:K27,P27)=0,"",IF(OR('Auto mensal'!$B$5="",'Auto mensal'!$D$5="",'Auto mensal'!$D$5&lt;'Auto mensal'!$B$5),"Pendente: período",IF(OR(A27="",NOT(ISNUMBER(A27))),"Pendente: data",IF(OR(A27&lt;'Auto mensal'!$B$5,A27&gt;'Auto mensal'!$D$5),"Fora do período",IF(OR(B27="",C27="",D27="",E27=""),"Pendente: identificação",IF(COUNTIFS('Auto mensal'!$A$13:$A$42,B27,'Auto mensal'!$C$13:$C$42,"Aço")&lt;&gt;1,"Pendente: artigo / material",IF(AND(F27&lt;&gt;"",ISNUMBER(G27),G27&gt;0,ISNUMBER(H27),H27&gt;0,H27=INT(H27),ISNUMBER(I27),I27&gt;0,OR(J27="",AND(ISNUMBER(J27),J27&gt;=0)),OR(K27="",AND(ISNUMBER(K27),K27&gt;=0))),"OK","Pendente: dimensões")))))))</x:f>
      </x:c>
      <x:c r="P27" s="5"/>
    </x:row>
    <x:row r="28" ht="23" customHeight="1">
      <x:c r="A28" s="6"/>
      <x:c r="B28" s="12"/>
      <x:c r="C28" s="5"/>
      <x:c r="D28" s="5"/>
      <x:c r="E28" s="5"/>
      <x:c r="F28" s="13"/>
      <x:c r="G28" s="13"/>
      <x:c r="H28" s="13"/>
      <x:c r="I28" s="13"/>
      <x:c r="J28" s="13"/>
      <x:c r="K28" s="13"/>
      <x:c r="L28" s="14" t="str">
        <x:f>IF(O28="OK",SUM(I28:K28),"")</x:f>
      </x:c>
      <x:c r="M28" s="14" t="str">
        <x:f>IF(O28="OK",0.006165375*G28^2,"")</x:f>
      </x:c>
      <x:c r="N28" s="14" t="str">
        <x:f>IF(O28="OK",H28*L28*M28,"")</x:f>
      </x:c>
      <x:c r="O28" s="2" t="str">
        <x:f>IF(COUNTA(A28:K28,P28)=0,"",IF(OR('Auto mensal'!$B$5="",'Auto mensal'!$D$5="",'Auto mensal'!$D$5&lt;'Auto mensal'!$B$5),"Pendente: período",IF(OR(A28="",NOT(ISNUMBER(A28))),"Pendente: data",IF(OR(A28&lt;'Auto mensal'!$B$5,A28&gt;'Auto mensal'!$D$5),"Fora do período",IF(OR(B28="",C28="",D28="",E28=""),"Pendente: identificação",IF(COUNTIFS('Auto mensal'!$A$13:$A$42,B28,'Auto mensal'!$C$13:$C$42,"Aço")&lt;&gt;1,"Pendente: artigo / material",IF(AND(F28&lt;&gt;"",ISNUMBER(G28),G28&gt;0,ISNUMBER(H28),H28&gt;0,H28=INT(H28),ISNUMBER(I28),I28&gt;0,OR(J28="",AND(ISNUMBER(J28),J28&gt;=0)),OR(K28="",AND(ISNUMBER(K28),K28&gt;=0))),"OK","Pendente: dimensões")))))))</x:f>
      </x:c>
      <x:c r="P28" s="5"/>
    </x:row>
    <x:row r="29" ht="23" customHeight="1">
      <x:c r="A29" s="6"/>
      <x:c r="B29" s="12"/>
      <x:c r="C29" s="5"/>
      <x:c r="D29" s="5"/>
      <x:c r="E29" s="5"/>
      <x:c r="F29" s="13"/>
      <x:c r="G29" s="13"/>
      <x:c r="H29" s="13"/>
      <x:c r="I29" s="13"/>
      <x:c r="J29" s="13"/>
      <x:c r="K29" s="13"/>
      <x:c r="L29" s="14" t="str">
        <x:f>IF(O29="OK",SUM(I29:K29),"")</x:f>
      </x:c>
      <x:c r="M29" s="14" t="str">
        <x:f>IF(O29="OK",0.006165375*G29^2,"")</x:f>
      </x:c>
      <x:c r="N29" s="14" t="str">
        <x:f>IF(O29="OK",H29*L29*M29,"")</x:f>
      </x:c>
      <x:c r="O29" s="2" t="str">
        <x:f>IF(COUNTA(A29:K29,P29)=0,"",IF(OR('Auto mensal'!$B$5="",'Auto mensal'!$D$5="",'Auto mensal'!$D$5&lt;'Auto mensal'!$B$5),"Pendente: período",IF(OR(A29="",NOT(ISNUMBER(A29))),"Pendente: data",IF(OR(A29&lt;'Auto mensal'!$B$5,A29&gt;'Auto mensal'!$D$5),"Fora do período",IF(OR(B29="",C29="",D29="",E29=""),"Pendente: identificação",IF(COUNTIFS('Auto mensal'!$A$13:$A$42,B29,'Auto mensal'!$C$13:$C$42,"Aço")&lt;&gt;1,"Pendente: artigo / material",IF(AND(F29&lt;&gt;"",ISNUMBER(G29),G29&gt;0,ISNUMBER(H29),H29&gt;0,H29=INT(H29),ISNUMBER(I29),I29&gt;0,OR(J29="",AND(ISNUMBER(J29),J29&gt;=0)),OR(K29="",AND(ISNUMBER(K29),K29&gt;=0))),"OK","Pendente: dimensões")))))))</x:f>
      </x:c>
      <x:c r="P29" s="5"/>
    </x:row>
    <x:row r="30" ht="23" customHeight="1">
      <x:c r="A30" s="6"/>
      <x:c r="B30" s="12"/>
      <x:c r="C30" s="5"/>
      <x:c r="D30" s="5"/>
      <x:c r="E30" s="5"/>
      <x:c r="F30" s="13"/>
      <x:c r="G30" s="13"/>
      <x:c r="H30" s="13"/>
      <x:c r="I30" s="13"/>
      <x:c r="J30" s="13"/>
      <x:c r="K30" s="13"/>
      <x:c r="L30" s="14" t="str">
        <x:f>IF(O30="OK",SUM(I30:K30),"")</x:f>
      </x:c>
      <x:c r="M30" s="14" t="str">
        <x:f>IF(O30="OK",0.006165375*G30^2,"")</x:f>
      </x:c>
      <x:c r="N30" s="14" t="str">
        <x:f>IF(O30="OK",H30*L30*M30,"")</x:f>
      </x:c>
      <x:c r="O30" s="2" t="str">
        <x:f>IF(COUNTA(A30:K30,P30)=0,"",IF(OR('Auto mensal'!$B$5="",'Auto mensal'!$D$5="",'Auto mensal'!$D$5&lt;'Auto mensal'!$B$5),"Pendente: período",IF(OR(A30="",NOT(ISNUMBER(A30))),"Pendente: data",IF(OR(A30&lt;'Auto mensal'!$B$5,A30&gt;'Auto mensal'!$D$5),"Fora do período",IF(OR(B30="",C30="",D30="",E30=""),"Pendente: identificação",IF(COUNTIFS('Auto mensal'!$A$13:$A$42,B30,'Auto mensal'!$C$13:$C$42,"Aço")&lt;&gt;1,"Pendente: artigo / material",IF(AND(F30&lt;&gt;"",ISNUMBER(G30),G30&gt;0,ISNUMBER(H30),H30&gt;0,H30=INT(H30),ISNUMBER(I30),I30&gt;0,OR(J30="",AND(ISNUMBER(J30),J30&gt;=0)),OR(K30="",AND(ISNUMBER(K30),K30&gt;=0))),"OK","Pendente: dimensões")))))))</x:f>
      </x:c>
      <x:c r="P30" s="5"/>
    </x:row>
    <x:row r="31" ht="23" customHeight="1">
      <x:c r="A31" s="6"/>
      <x:c r="B31" s="12"/>
      <x:c r="C31" s="5"/>
      <x:c r="D31" s="5"/>
      <x:c r="E31" s="5"/>
      <x:c r="F31" s="13"/>
      <x:c r="G31" s="13"/>
      <x:c r="H31" s="13"/>
      <x:c r="I31" s="13"/>
      <x:c r="J31" s="13"/>
      <x:c r="K31" s="13"/>
      <x:c r="L31" s="14" t="str">
        <x:f>IF(O31="OK",SUM(I31:K31),"")</x:f>
      </x:c>
      <x:c r="M31" s="14" t="str">
        <x:f>IF(O31="OK",0.006165375*G31^2,"")</x:f>
      </x:c>
      <x:c r="N31" s="14" t="str">
        <x:f>IF(O31="OK",H31*L31*M31,"")</x:f>
      </x:c>
      <x:c r="O31" s="2" t="str">
        <x:f>IF(COUNTA(A31:K31,P31)=0,"",IF(OR('Auto mensal'!$B$5="",'Auto mensal'!$D$5="",'Auto mensal'!$D$5&lt;'Auto mensal'!$B$5),"Pendente: período",IF(OR(A31="",NOT(ISNUMBER(A31))),"Pendente: data",IF(OR(A31&lt;'Auto mensal'!$B$5,A31&gt;'Auto mensal'!$D$5),"Fora do período",IF(OR(B31="",C31="",D31="",E31=""),"Pendente: identificação",IF(COUNTIFS('Auto mensal'!$A$13:$A$42,B31,'Auto mensal'!$C$13:$C$42,"Aço")&lt;&gt;1,"Pendente: artigo / material",IF(AND(F31&lt;&gt;"",ISNUMBER(G31),G31&gt;0,ISNUMBER(H31),H31&gt;0,H31=INT(H31),ISNUMBER(I31),I31&gt;0,OR(J31="",AND(ISNUMBER(J31),J31&gt;=0)),OR(K31="",AND(ISNUMBER(K31),K31&gt;=0))),"OK","Pendente: dimensões")))))))</x:f>
      </x:c>
      <x:c r="P31" s="5"/>
    </x:row>
    <x:row r="32" ht="23" customHeight="1">
      <x:c r="A32" s="6"/>
      <x:c r="B32" s="12"/>
      <x:c r="C32" s="5"/>
      <x:c r="D32" s="5"/>
      <x:c r="E32" s="5"/>
      <x:c r="F32" s="13"/>
      <x:c r="G32" s="13"/>
      <x:c r="H32" s="13"/>
      <x:c r="I32" s="13"/>
      <x:c r="J32" s="13"/>
      <x:c r="K32" s="13"/>
      <x:c r="L32" s="14" t="str">
        <x:f>IF(O32="OK",SUM(I32:K32),"")</x:f>
      </x:c>
      <x:c r="M32" s="14" t="str">
        <x:f>IF(O32="OK",0.006165375*G32^2,"")</x:f>
      </x:c>
      <x:c r="N32" s="14" t="str">
        <x:f>IF(O32="OK",H32*L32*M32,"")</x:f>
      </x:c>
      <x:c r="O32" s="2" t="str">
        <x:f>IF(COUNTA(A32:K32,P32)=0,"",IF(OR('Auto mensal'!$B$5="",'Auto mensal'!$D$5="",'Auto mensal'!$D$5&lt;'Auto mensal'!$B$5),"Pendente: período",IF(OR(A32="",NOT(ISNUMBER(A32))),"Pendente: data",IF(OR(A32&lt;'Auto mensal'!$B$5,A32&gt;'Auto mensal'!$D$5),"Fora do período",IF(OR(B32="",C32="",D32="",E32=""),"Pendente: identificação",IF(COUNTIFS('Auto mensal'!$A$13:$A$42,B32,'Auto mensal'!$C$13:$C$42,"Aço")&lt;&gt;1,"Pendente: artigo / material",IF(AND(F32&lt;&gt;"",ISNUMBER(G32),G32&gt;0,ISNUMBER(H32),H32&gt;0,H32=INT(H32),ISNUMBER(I32),I32&gt;0,OR(J32="",AND(ISNUMBER(J32),J32&gt;=0)),OR(K32="",AND(ISNUMBER(K32),K32&gt;=0))),"OK","Pendente: dimensões")))))))</x:f>
      </x:c>
      <x:c r="P32" s="5"/>
    </x:row>
    <x:row r="33" ht="23" customHeight="1">
      <x:c r="A33" s="6"/>
      <x:c r="B33" s="12"/>
      <x:c r="C33" s="5"/>
      <x:c r="D33" s="5"/>
      <x:c r="E33" s="5"/>
      <x:c r="F33" s="13"/>
      <x:c r="G33" s="13"/>
      <x:c r="H33" s="13"/>
      <x:c r="I33" s="13"/>
      <x:c r="J33" s="13"/>
      <x:c r="K33" s="13"/>
      <x:c r="L33" s="14" t="str">
        <x:f>IF(O33="OK",SUM(I33:K33),"")</x:f>
      </x:c>
      <x:c r="M33" s="14" t="str">
        <x:f>IF(O33="OK",0.006165375*G33^2,"")</x:f>
      </x:c>
      <x:c r="N33" s="14" t="str">
        <x:f>IF(O33="OK",H33*L33*M33,"")</x:f>
      </x:c>
      <x:c r="O33" s="2" t="str">
        <x:f>IF(COUNTA(A33:K33,P33)=0,"",IF(OR('Auto mensal'!$B$5="",'Auto mensal'!$D$5="",'Auto mensal'!$D$5&lt;'Auto mensal'!$B$5),"Pendente: período",IF(OR(A33="",NOT(ISNUMBER(A33))),"Pendente: data",IF(OR(A33&lt;'Auto mensal'!$B$5,A33&gt;'Auto mensal'!$D$5),"Fora do período",IF(OR(B33="",C33="",D33="",E33=""),"Pendente: identificação",IF(COUNTIFS('Auto mensal'!$A$13:$A$42,B33,'Auto mensal'!$C$13:$C$42,"Aço")&lt;&gt;1,"Pendente: artigo / material",IF(AND(F33&lt;&gt;"",ISNUMBER(G33),G33&gt;0,ISNUMBER(H33),H33&gt;0,H33=INT(H33),ISNUMBER(I33),I33&gt;0,OR(J33="",AND(ISNUMBER(J33),J33&gt;=0)),OR(K33="",AND(ISNUMBER(K33),K33&gt;=0))),"OK","Pendente: dimensões")))))))</x:f>
      </x:c>
      <x:c r="P33" s="5"/>
    </x:row>
    <x:row r="34" ht="23" customHeight="1">
      <x:c r="A34" s="6"/>
      <x:c r="B34" s="12"/>
      <x:c r="C34" s="5"/>
      <x:c r="D34" s="5"/>
      <x:c r="E34" s="5"/>
      <x:c r="F34" s="13"/>
      <x:c r="G34" s="13"/>
      <x:c r="H34" s="13"/>
      <x:c r="I34" s="13"/>
      <x:c r="J34" s="13"/>
      <x:c r="K34" s="13"/>
      <x:c r="L34" s="14" t="str">
        <x:f>IF(O34="OK",SUM(I34:K34),"")</x:f>
      </x:c>
      <x:c r="M34" s="14" t="str">
        <x:f>IF(O34="OK",0.006165375*G34^2,"")</x:f>
      </x:c>
      <x:c r="N34" s="14" t="str">
        <x:f>IF(O34="OK",H34*L34*M34,"")</x:f>
      </x:c>
      <x:c r="O34" s="2" t="str">
        <x:f>IF(COUNTA(A34:K34,P34)=0,"",IF(OR('Auto mensal'!$B$5="",'Auto mensal'!$D$5="",'Auto mensal'!$D$5&lt;'Auto mensal'!$B$5),"Pendente: período",IF(OR(A34="",NOT(ISNUMBER(A34))),"Pendente: data",IF(OR(A34&lt;'Auto mensal'!$B$5,A34&gt;'Auto mensal'!$D$5),"Fora do período",IF(OR(B34="",C34="",D34="",E34=""),"Pendente: identificação",IF(COUNTIFS('Auto mensal'!$A$13:$A$42,B34,'Auto mensal'!$C$13:$C$42,"Aço")&lt;&gt;1,"Pendente: artigo / material",IF(AND(F34&lt;&gt;"",ISNUMBER(G34),G34&gt;0,ISNUMBER(H34),H34&gt;0,H34=INT(H34),ISNUMBER(I34),I34&gt;0,OR(J34="",AND(ISNUMBER(J34),J34&gt;=0)),OR(K34="",AND(ISNUMBER(K34),K34&gt;=0))),"OK","Pendente: dimensões")))))))</x:f>
      </x:c>
      <x:c r="P34" s="5"/>
    </x:row>
    <x:row r="35" ht="23" customHeight="1">
      <x:c r="A35" s="6"/>
      <x:c r="B35" s="12"/>
      <x:c r="C35" s="5"/>
      <x:c r="D35" s="5"/>
      <x:c r="E35" s="5"/>
      <x:c r="F35" s="13"/>
      <x:c r="G35" s="13"/>
      <x:c r="H35" s="13"/>
      <x:c r="I35" s="13"/>
      <x:c r="J35" s="13"/>
      <x:c r="K35" s="13"/>
      <x:c r="L35" s="14" t="str">
        <x:f>IF(O35="OK",SUM(I35:K35),"")</x:f>
      </x:c>
      <x:c r="M35" s="14" t="str">
        <x:f>IF(O35="OK",0.006165375*G35^2,"")</x:f>
      </x:c>
      <x:c r="N35" s="14" t="str">
        <x:f>IF(O35="OK",H35*L35*M35,"")</x:f>
      </x:c>
      <x:c r="O35" s="2" t="str">
        <x:f>IF(COUNTA(A35:K35,P35)=0,"",IF(OR('Auto mensal'!$B$5="",'Auto mensal'!$D$5="",'Auto mensal'!$D$5&lt;'Auto mensal'!$B$5),"Pendente: período",IF(OR(A35="",NOT(ISNUMBER(A35))),"Pendente: data",IF(OR(A35&lt;'Auto mensal'!$B$5,A35&gt;'Auto mensal'!$D$5),"Fora do período",IF(OR(B35="",C35="",D35="",E35=""),"Pendente: identificação",IF(COUNTIFS('Auto mensal'!$A$13:$A$42,B35,'Auto mensal'!$C$13:$C$42,"Aço")&lt;&gt;1,"Pendente: artigo / material",IF(AND(F35&lt;&gt;"",ISNUMBER(G35),G35&gt;0,ISNUMBER(H35),H35&gt;0,H35=INT(H35),ISNUMBER(I35),I35&gt;0,OR(J35="",AND(ISNUMBER(J35),J35&gt;=0)),OR(K35="",AND(ISNUMBER(K35),K35&gt;=0))),"OK","Pendente: dimensões")))))))</x:f>
      </x:c>
      <x:c r="P35" s="5"/>
    </x:row>
    <x:row r="36" ht="23" customHeight="1">
      <x:c r="A36" s="6"/>
      <x:c r="B36" s="12"/>
      <x:c r="C36" s="5"/>
      <x:c r="D36" s="5"/>
      <x:c r="E36" s="5"/>
      <x:c r="F36" s="13"/>
      <x:c r="G36" s="13"/>
      <x:c r="H36" s="13"/>
      <x:c r="I36" s="13"/>
      <x:c r="J36" s="13"/>
      <x:c r="K36" s="13"/>
      <x:c r="L36" s="14" t="str">
        <x:f>IF(O36="OK",SUM(I36:K36),"")</x:f>
      </x:c>
      <x:c r="M36" s="14" t="str">
        <x:f>IF(O36="OK",0.006165375*G36^2,"")</x:f>
      </x:c>
      <x:c r="N36" s="14" t="str">
        <x:f>IF(O36="OK",H36*L36*M36,"")</x:f>
      </x:c>
      <x:c r="O36" s="2" t="str">
        <x:f>IF(COUNTA(A36:K36,P36)=0,"",IF(OR('Auto mensal'!$B$5="",'Auto mensal'!$D$5="",'Auto mensal'!$D$5&lt;'Auto mensal'!$B$5),"Pendente: período",IF(OR(A36="",NOT(ISNUMBER(A36))),"Pendente: data",IF(OR(A36&lt;'Auto mensal'!$B$5,A36&gt;'Auto mensal'!$D$5),"Fora do período",IF(OR(B36="",C36="",D36="",E36=""),"Pendente: identificação",IF(COUNTIFS('Auto mensal'!$A$13:$A$42,B36,'Auto mensal'!$C$13:$C$42,"Aço")&lt;&gt;1,"Pendente: artigo / material",IF(AND(F36&lt;&gt;"",ISNUMBER(G36),G36&gt;0,ISNUMBER(H36),H36&gt;0,H36=INT(H36),ISNUMBER(I36),I36&gt;0,OR(J36="",AND(ISNUMBER(J36),J36&gt;=0)),OR(K36="",AND(ISNUMBER(K36),K36&gt;=0))),"OK","Pendente: dimensões")))))))</x:f>
      </x:c>
      <x:c r="P36" s="5"/>
    </x:row>
    <x:row r="37" ht="23" customHeight="1">
      <x:c r="A37" s="6"/>
      <x:c r="B37" s="12"/>
      <x:c r="C37" s="5"/>
      <x:c r="D37" s="5"/>
      <x:c r="E37" s="5"/>
      <x:c r="F37" s="13"/>
      <x:c r="G37" s="13"/>
      <x:c r="H37" s="13"/>
      <x:c r="I37" s="13"/>
      <x:c r="J37" s="13"/>
      <x:c r="K37" s="13"/>
      <x:c r="L37" s="14" t="str">
        <x:f>IF(O37="OK",SUM(I37:K37),"")</x:f>
      </x:c>
      <x:c r="M37" s="14" t="str">
        <x:f>IF(O37="OK",0.006165375*G37^2,"")</x:f>
      </x:c>
      <x:c r="N37" s="14" t="str">
        <x:f>IF(O37="OK",H37*L37*M37,"")</x:f>
      </x:c>
      <x:c r="O37" s="2" t="str">
        <x:f>IF(COUNTA(A37:K37,P37)=0,"",IF(OR('Auto mensal'!$B$5="",'Auto mensal'!$D$5="",'Auto mensal'!$D$5&lt;'Auto mensal'!$B$5),"Pendente: período",IF(OR(A37="",NOT(ISNUMBER(A37))),"Pendente: data",IF(OR(A37&lt;'Auto mensal'!$B$5,A37&gt;'Auto mensal'!$D$5),"Fora do período",IF(OR(B37="",C37="",D37="",E37=""),"Pendente: identificação",IF(COUNTIFS('Auto mensal'!$A$13:$A$42,B37,'Auto mensal'!$C$13:$C$42,"Aço")&lt;&gt;1,"Pendente: artigo / material",IF(AND(F37&lt;&gt;"",ISNUMBER(G37),G37&gt;0,ISNUMBER(H37),H37&gt;0,H37=INT(H37),ISNUMBER(I37),I37&gt;0,OR(J37="",AND(ISNUMBER(J37),J37&gt;=0)),OR(K37="",AND(ISNUMBER(K37),K37&gt;=0))),"OK","Pendente: dimensões")))))))</x:f>
      </x:c>
      <x:c r="P37" s="5"/>
    </x:row>
    <x:row r="38" ht="23" customHeight="1">
      <x:c r="A38" s="6"/>
      <x:c r="B38" s="12"/>
      <x:c r="C38" s="5"/>
      <x:c r="D38" s="5"/>
      <x:c r="E38" s="5"/>
      <x:c r="F38" s="13"/>
      <x:c r="G38" s="13"/>
      <x:c r="H38" s="13"/>
      <x:c r="I38" s="13"/>
      <x:c r="J38" s="13"/>
      <x:c r="K38" s="13"/>
      <x:c r="L38" s="14" t="str">
        <x:f>IF(O38="OK",SUM(I38:K38),"")</x:f>
      </x:c>
      <x:c r="M38" s="14" t="str">
        <x:f>IF(O38="OK",0.006165375*G38^2,"")</x:f>
      </x:c>
      <x:c r="N38" s="14" t="str">
        <x:f>IF(O38="OK",H38*L38*M38,"")</x:f>
      </x:c>
      <x:c r="O38" s="2" t="str">
        <x:f>IF(COUNTA(A38:K38,P38)=0,"",IF(OR('Auto mensal'!$B$5="",'Auto mensal'!$D$5="",'Auto mensal'!$D$5&lt;'Auto mensal'!$B$5),"Pendente: período",IF(OR(A38="",NOT(ISNUMBER(A38))),"Pendente: data",IF(OR(A38&lt;'Auto mensal'!$B$5,A38&gt;'Auto mensal'!$D$5),"Fora do período",IF(OR(B38="",C38="",D38="",E38=""),"Pendente: identificação",IF(COUNTIFS('Auto mensal'!$A$13:$A$42,B38,'Auto mensal'!$C$13:$C$42,"Aço")&lt;&gt;1,"Pendente: artigo / material",IF(AND(F38&lt;&gt;"",ISNUMBER(G38),G38&gt;0,ISNUMBER(H38),H38&gt;0,H38=INT(H38),ISNUMBER(I38),I38&gt;0,OR(J38="",AND(ISNUMBER(J38),J38&gt;=0)),OR(K38="",AND(ISNUMBER(K38),K38&gt;=0))),"OK","Pendente: dimensões")))))))</x:f>
      </x:c>
      <x:c r="P38" s="5"/>
    </x:row>
    <x:row r="39" ht="23" customHeight="1">
      <x:c r="A39" s="6"/>
      <x:c r="B39" s="12"/>
      <x:c r="C39" s="5"/>
      <x:c r="D39" s="5"/>
      <x:c r="E39" s="5"/>
      <x:c r="F39" s="13"/>
      <x:c r="G39" s="13"/>
      <x:c r="H39" s="13"/>
      <x:c r="I39" s="13"/>
      <x:c r="J39" s="13"/>
      <x:c r="K39" s="13"/>
      <x:c r="L39" s="14" t="str">
        <x:f>IF(O39="OK",SUM(I39:K39),"")</x:f>
      </x:c>
      <x:c r="M39" s="14" t="str">
        <x:f>IF(O39="OK",0.006165375*G39^2,"")</x:f>
      </x:c>
      <x:c r="N39" s="14" t="str">
        <x:f>IF(O39="OK",H39*L39*M39,"")</x:f>
      </x:c>
      <x:c r="O39" s="2" t="str">
        <x:f>IF(COUNTA(A39:K39,P39)=0,"",IF(OR('Auto mensal'!$B$5="",'Auto mensal'!$D$5="",'Auto mensal'!$D$5&lt;'Auto mensal'!$B$5),"Pendente: período",IF(OR(A39="",NOT(ISNUMBER(A39))),"Pendente: data",IF(OR(A39&lt;'Auto mensal'!$B$5,A39&gt;'Auto mensal'!$D$5),"Fora do período",IF(OR(B39="",C39="",D39="",E39=""),"Pendente: identificação",IF(COUNTIFS('Auto mensal'!$A$13:$A$42,B39,'Auto mensal'!$C$13:$C$42,"Aço")&lt;&gt;1,"Pendente: artigo / material",IF(AND(F39&lt;&gt;"",ISNUMBER(G39),G39&gt;0,ISNUMBER(H39),H39&gt;0,H39=INT(H39),ISNUMBER(I39),I39&gt;0,OR(J39="",AND(ISNUMBER(J39),J39&gt;=0)),OR(K39="",AND(ISNUMBER(K39),K39&gt;=0))),"OK","Pendente: dimensões")))))))</x:f>
      </x:c>
      <x:c r="P39" s="5"/>
    </x:row>
    <x:row r="40" ht="23" customHeight="1">
      <x:c r="A40" s="6"/>
      <x:c r="B40" s="12"/>
      <x:c r="C40" s="5"/>
      <x:c r="D40" s="5"/>
      <x:c r="E40" s="5"/>
      <x:c r="F40" s="13"/>
      <x:c r="G40" s="13"/>
      <x:c r="H40" s="13"/>
      <x:c r="I40" s="13"/>
      <x:c r="J40" s="13"/>
      <x:c r="K40" s="13"/>
      <x:c r="L40" s="14" t="str">
        <x:f>IF(O40="OK",SUM(I40:K40),"")</x:f>
      </x:c>
      <x:c r="M40" s="14" t="str">
        <x:f>IF(O40="OK",0.006165375*G40^2,"")</x:f>
      </x:c>
      <x:c r="N40" s="14" t="str">
        <x:f>IF(O40="OK",H40*L40*M40,"")</x:f>
      </x:c>
      <x:c r="O40" s="2" t="str">
        <x:f>IF(COUNTA(A40:K40,P40)=0,"",IF(OR('Auto mensal'!$B$5="",'Auto mensal'!$D$5="",'Auto mensal'!$D$5&lt;'Auto mensal'!$B$5),"Pendente: período",IF(OR(A40="",NOT(ISNUMBER(A40))),"Pendente: data",IF(OR(A40&lt;'Auto mensal'!$B$5,A40&gt;'Auto mensal'!$D$5),"Fora do período",IF(OR(B40="",C40="",D40="",E40=""),"Pendente: identificação",IF(COUNTIFS('Auto mensal'!$A$13:$A$42,B40,'Auto mensal'!$C$13:$C$42,"Aço")&lt;&gt;1,"Pendente: artigo / material",IF(AND(F40&lt;&gt;"",ISNUMBER(G40),G40&gt;0,ISNUMBER(H40),H40&gt;0,H40=INT(H40),ISNUMBER(I40),I40&gt;0,OR(J40="",AND(ISNUMBER(J40),J40&gt;=0)),OR(K40="",AND(ISNUMBER(K40),K40&gt;=0))),"OK","Pendente: dimensões")))))))</x:f>
      </x:c>
      <x:c r="P40" s="5"/>
    </x:row>
    <x:row r="41" ht="23" customHeight="1">
      <x:c r="A41" s="6"/>
      <x:c r="B41" s="12"/>
      <x:c r="C41" s="5"/>
      <x:c r="D41" s="5"/>
      <x:c r="E41" s="5"/>
      <x:c r="F41" s="13"/>
      <x:c r="G41" s="13"/>
      <x:c r="H41" s="13"/>
      <x:c r="I41" s="13"/>
      <x:c r="J41" s="13"/>
      <x:c r="K41" s="13"/>
      <x:c r="L41" s="14" t="str">
        <x:f>IF(O41="OK",SUM(I41:K41),"")</x:f>
      </x:c>
      <x:c r="M41" s="14" t="str">
        <x:f>IF(O41="OK",0.006165375*G41^2,"")</x:f>
      </x:c>
      <x:c r="N41" s="14" t="str">
        <x:f>IF(O41="OK",H41*L41*M41,"")</x:f>
      </x:c>
      <x:c r="O41" s="2" t="str">
        <x:f>IF(COUNTA(A41:K41,P41)=0,"",IF(OR('Auto mensal'!$B$5="",'Auto mensal'!$D$5="",'Auto mensal'!$D$5&lt;'Auto mensal'!$B$5),"Pendente: período",IF(OR(A41="",NOT(ISNUMBER(A41))),"Pendente: data",IF(OR(A41&lt;'Auto mensal'!$B$5,A41&gt;'Auto mensal'!$D$5),"Fora do período",IF(OR(B41="",C41="",D41="",E41=""),"Pendente: identificação",IF(COUNTIFS('Auto mensal'!$A$13:$A$42,B41,'Auto mensal'!$C$13:$C$42,"Aço")&lt;&gt;1,"Pendente: artigo / material",IF(AND(F41&lt;&gt;"",ISNUMBER(G41),G41&gt;0,ISNUMBER(H41),H41&gt;0,H41=INT(H41),ISNUMBER(I41),I41&gt;0,OR(J41="",AND(ISNUMBER(J41),J41&gt;=0)),OR(K41="",AND(ISNUMBER(K41),K41&gt;=0))),"OK","Pendente: dimensões")))))))</x:f>
      </x:c>
      <x:c r="P41" s="5"/>
    </x:row>
    <x:row r="42" ht="23" customHeight="1">
      <x:c r="A42" s="6"/>
      <x:c r="B42" s="12"/>
      <x:c r="C42" s="5"/>
      <x:c r="D42" s="5"/>
      <x:c r="E42" s="5"/>
      <x:c r="F42" s="13"/>
      <x:c r="G42" s="13"/>
      <x:c r="H42" s="13"/>
      <x:c r="I42" s="13"/>
      <x:c r="J42" s="13"/>
      <x:c r="K42" s="13"/>
      <x:c r="L42" s="14" t="str">
        <x:f>IF(O42="OK",SUM(I42:K42),"")</x:f>
      </x:c>
      <x:c r="M42" s="14" t="str">
        <x:f>IF(O42="OK",0.006165375*G42^2,"")</x:f>
      </x:c>
      <x:c r="N42" s="14" t="str">
        <x:f>IF(O42="OK",H42*L42*M42,"")</x:f>
      </x:c>
      <x:c r="O42" s="2" t="str">
        <x:f>IF(COUNTA(A42:K42,P42)=0,"",IF(OR('Auto mensal'!$B$5="",'Auto mensal'!$D$5="",'Auto mensal'!$D$5&lt;'Auto mensal'!$B$5),"Pendente: período",IF(OR(A42="",NOT(ISNUMBER(A42))),"Pendente: data",IF(OR(A42&lt;'Auto mensal'!$B$5,A42&gt;'Auto mensal'!$D$5),"Fora do período",IF(OR(B42="",C42="",D42="",E42=""),"Pendente: identificação",IF(COUNTIFS('Auto mensal'!$A$13:$A$42,B42,'Auto mensal'!$C$13:$C$42,"Aço")&lt;&gt;1,"Pendente: artigo / material",IF(AND(F42&lt;&gt;"",ISNUMBER(G42),G42&gt;0,ISNUMBER(H42),H42&gt;0,H42=INT(H42),ISNUMBER(I42),I42&gt;0,OR(J42="",AND(ISNUMBER(J42),J42&gt;=0)),OR(K42="",AND(ISNUMBER(K42),K42&gt;=0))),"OK","Pendente: dimensões")))))))</x:f>
      </x:c>
      <x:c r="P42" s="5"/>
    </x:row>
    <x:row r="43" ht="23" customHeight="1">
      <x:c r="A43" s="6"/>
      <x:c r="B43" s="12"/>
      <x:c r="C43" s="5"/>
      <x:c r="D43" s="5"/>
      <x:c r="E43" s="5"/>
      <x:c r="F43" s="13"/>
      <x:c r="G43" s="13"/>
      <x:c r="H43" s="13"/>
      <x:c r="I43" s="13"/>
      <x:c r="J43" s="13"/>
      <x:c r="K43" s="13"/>
      <x:c r="L43" s="14" t="str">
        <x:f>IF(O43="OK",SUM(I43:K43),"")</x:f>
      </x:c>
      <x:c r="M43" s="14" t="str">
        <x:f>IF(O43="OK",0.006165375*G43^2,"")</x:f>
      </x:c>
      <x:c r="N43" s="14" t="str">
        <x:f>IF(O43="OK",H43*L43*M43,"")</x:f>
      </x:c>
      <x:c r="O43" s="2" t="str">
        <x:f>IF(COUNTA(A43:K43,P43)=0,"",IF(OR('Auto mensal'!$B$5="",'Auto mensal'!$D$5="",'Auto mensal'!$D$5&lt;'Auto mensal'!$B$5),"Pendente: período",IF(OR(A43="",NOT(ISNUMBER(A43))),"Pendente: data",IF(OR(A43&lt;'Auto mensal'!$B$5,A43&gt;'Auto mensal'!$D$5),"Fora do período",IF(OR(B43="",C43="",D43="",E43=""),"Pendente: identificação",IF(COUNTIFS('Auto mensal'!$A$13:$A$42,B43,'Auto mensal'!$C$13:$C$42,"Aço")&lt;&gt;1,"Pendente: artigo / material",IF(AND(F43&lt;&gt;"",ISNUMBER(G43),G43&gt;0,ISNUMBER(H43),H43&gt;0,H43=INT(H43),ISNUMBER(I43),I43&gt;0,OR(J43="",AND(ISNUMBER(J43),J43&gt;=0)),OR(K43="",AND(ISNUMBER(K43),K43&gt;=0))),"OK","Pendente: dimensões")))))))</x:f>
      </x:c>
      <x:c r="P43" s="5"/>
    </x:row>
    <x:row r="44" ht="23" customHeight="1">
      <x:c r="A44" s="6"/>
      <x:c r="B44" s="12"/>
      <x:c r="C44" s="5"/>
      <x:c r="D44" s="5"/>
      <x:c r="E44" s="5"/>
      <x:c r="F44" s="13"/>
      <x:c r="G44" s="13"/>
      <x:c r="H44" s="13"/>
      <x:c r="I44" s="13"/>
      <x:c r="J44" s="13"/>
      <x:c r="K44" s="13"/>
      <x:c r="L44" s="14" t="str">
        <x:f>IF(O44="OK",SUM(I44:K44),"")</x:f>
      </x:c>
      <x:c r="M44" s="14" t="str">
        <x:f>IF(O44="OK",0.006165375*G44^2,"")</x:f>
      </x:c>
      <x:c r="N44" s="14" t="str">
        <x:f>IF(O44="OK",H44*L44*M44,"")</x:f>
      </x:c>
      <x:c r="O44" s="2" t="str">
        <x:f>IF(COUNTA(A44:K44,P44)=0,"",IF(OR('Auto mensal'!$B$5="",'Auto mensal'!$D$5="",'Auto mensal'!$D$5&lt;'Auto mensal'!$B$5),"Pendente: período",IF(OR(A44="",NOT(ISNUMBER(A44))),"Pendente: data",IF(OR(A44&lt;'Auto mensal'!$B$5,A44&gt;'Auto mensal'!$D$5),"Fora do período",IF(OR(B44="",C44="",D44="",E44=""),"Pendente: identificação",IF(COUNTIFS('Auto mensal'!$A$13:$A$42,B44,'Auto mensal'!$C$13:$C$42,"Aço")&lt;&gt;1,"Pendente: artigo / material",IF(AND(F44&lt;&gt;"",ISNUMBER(G44),G44&gt;0,ISNUMBER(H44),H44&gt;0,H44=INT(H44),ISNUMBER(I44),I44&gt;0,OR(J44="",AND(ISNUMBER(J44),J44&gt;=0)),OR(K44="",AND(ISNUMBER(K44),K44&gt;=0))),"OK","Pendente: dimensões")))))))</x:f>
      </x:c>
      <x:c r="P44" s="5"/>
    </x:row>
    <x:row r="45" ht="23" customHeight="1">
      <x:c r="A45" s="6"/>
      <x:c r="B45" s="12"/>
      <x:c r="C45" s="5"/>
      <x:c r="D45" s="5"/>
      <x:c r="E45" s="5"/>
      <x:c r="F45" s="13"/>
      <x:c r="G45" s="13"/>
      <x:c r="H45" s="13"/>
      <x:c r="I45" s="13"/>
      <x:c r="J45" s="13"/>
      <x:c r="K45" s="13"/>
      <x:c r="L45" s="14" t="str">
        <x:f>IF(O45="OK",SUM(I45:K45),"")</x:f>
      </x:c>
      <x:c r="M45" s="14" t="str">
        <x:f>IF(O45="OK",0.006165375*G45^2,"")</x:f>
      </x:c>
      <x:c r="N45" s="14" t="str">
        <x:f>IF(O45="OK",H45*L45*M45,"")</x:f>
      </x:c>
      <x:c r="O45" s="2" t="str">
        <x:f>IF(COUNTA(A45:K45,P45)=0,"",IF(OR('Auto mensal'!$B$5="",'Auto mensal'!$D$5="",'Auto mensal'!$D$5&lt;'Auto mensal'!$B$5),"Pendente: período",IF(OR(A45="",NOT(ISNUMBER(A45))),"Pendente: data",IF(OR(A45&lt;'Auto mensal'!$B$5,A45&gt;'Auto mensal'!$D$5),"Fora do período",IF(OR(B45="",C45="",D45="",E45=""),"Pendente: identificação",IF(COUNTIFS('Auto mensal'!$A$13:$A$42,B45,'Auto mensal'!$C$13:$C$42,"Aço")&lt;&gt;1,"Pendente: artigo / material",IF(AND(F45&lt;&gt;"",ISNUMBER(G45),G45&gt;0,ISNUMBER(H45),H45&gt;0,H45=INT(H45),ISNUMBER(I45),I45&gt;0,OR(J45="",AND(ISNUMBER(J45),J45&gt;=0)),OR(K45="",AND(ISNUMBER(K45),K45&gt;=0))),"OK","Pendente: dimensões")))))))</x:f>
      </x:c>
      <x:c r="P45" s="5"/>
    </x:row>
    <x:row r="46" ht="23" customHeight="1">
      <x:c r="A46" s="6"/>
      <x:c r="B46" s="12"/>
      <x:c r="C46" s="5"/>
      <x:c r="D46" s="5"/>
      <x:c r="E46" s="5"/>
      <x:c r="F46" s="13"/>
      <x:c r="G46" s="13"/>
      <x:c r="H46" s="13"/>
      <x:c r="I46" s="13"/>
      <x:c r="J46" s="13"/>
      <x:c r="K46" s="13"/>
      <x:c r="L46" s="14" t="str">
        <x:f>IF(O46="OK",SUM(I46:K46),"")</x:f>
      </x:c>
      <x:c r="M46" s="14" t="str">
        <x:f>IF(O46="OK",0.006165375*G46^2,"")</x:f>
      </x:c>
      <x:c r="N46" s="14" t="str">
        <x:f>IF(O46="OK",H46*L46*M46,"")</x:f>
      </x:c>
      <x:c r="O46" s="2" t="str">
        <x:f>IF(COUNTA(A46:K46,P46)=0,"",IF(OR('Auto mensal'!$B$5="",'Auto mensal'!$D$5="",'Auto mensal'!$D$5&lt;'Auto mensal'!$B$5),"Pendente: período",IF(OR(A46="",NOT(ISNUMBER(A46))),"Pendente: data",IF(OR(A46&lt;'Auto mensal'!$B$5,A46&gt;'Auto mensal'!$D$5),"Fora do período",IF(OR(B46="",C46="",D46="",E46=""),"Pendente: identificação",IF(COUNTIFS('Auto mensal'!$A$13:$A$42,B46,'Auto mensal'!$C$13:$C$42,"Aço")&lt;&gt;1,"Pendente: artigo / material",IF(AND(F46&lt;&gt;"",ISNUMBER(G46),G46&gt;0,ISNUMBER(H46),H46&gt;0,H46=INT(H46),ISNUMBER(I46),I46&gt;0,OR(J46="",AND(ISNUMBER(J46),J46&gt;=0)),OR(K46="",AND(ISNUMBER(K46),K46&gt;=0))),"OK","Pendente: dimensões")))))))</x:f>
      </x:c>
      <x:c r="P46" s="5"/>
    </x:row>
    <x:row r="47" ht="23" customHeight="1">
      <x:c r="A47" s="6"/>
      <x:c r="B47" s="12"/>
      <x:c r="C47" s="5"/>
      <x:c r="D47" s="5"/>
      <x:c r="E47" s="5"/>
      <x:c r="F47" s="13"/>
      <x:c r="G47" s="13"/>
      <x:c r="H47" s="13"/>
      <x:c r="I47" s="13"/>
      <x:c r="J47" s="13"/>
      <x:c r="K47" s="13"/>
      <x:c r="L47" s="14" t="str">
        <x:f>IF(O47="OK",SUM(I47:K47),"")</x:f>
      </x:c>
      <x:c r="M47" s="14" t="str">
        <x:f>IF(O47="OK",0.006165375*G47^2,"")</x:f>
      </x:c>
      <x:c r="N47" s="14" t="str">
        <x:f>IF(O47="OK",H47*L47*M47,"")</x:f>
      </x:c>
      <x:c r="O47" s="2" t="str">
        <x:f>IF(COUNTA(A47:K47,P47)=0,"",IF(OR('Auto mensal'!$B$5="",'Auto mensal'!$D$5="",'Auto mensal'!$D$5&lt;'Auto mensal'!$B$5),"Pendente: período",IF(OR(A47="",NOT(ISNUMBER(A47))),"Pendente: data",IF(OR(A47&lt;'Auto mensal'!$B$5,A47&gt;'Auto mensal'!$D$5),"Fora do período",IF(OR(B47="",C47="",D47="",E47=""),"Pendente: identificação",IF(COUNTIFS('Auto mensal'!$A$13:$A$42,B47,'Auto mensal'!$C$13:$C$42,"Aço")&lt;&gt;1,"Pendente: artigo / material",IF(AND(F47&lt;&gt;"",ISNUMBER(G47),G47&gt;0,ISNUMBER(H47),H47&gt;0,H47=INT(H47),ISNUMBER(I47),I47&gt;0,OR(J47="",AND(ISNUMBER(J47),J47&gt;=0)),OR(K47="",AND(ISNUMBER(K47),K47&gt;=0))),"OK","Pendente: dimensões")))))))</x:f>
      </x:c>
      <x:c r="P47" s="5"/>
    </x:row>
    <x:row r="48" ht="23" customHeight="1">
      <x:c r="A48" s="6"/>
      <x:c r="B48" s="12"/>
      <x:c r="C48" s="5"/>
      <x:c r="D48" s="5"/>
      <x:c r="E48" s="5"/>
      <x:c r="F48" s="13"/>
      <x:c r="G48" s="13"/>
      <x:c r="H48" s="13"/>
      <x:c r="I48" s="13"/>
      <x:c r="J48" s="13"/>
      <x:c r="K48" s="13"/>
      <x:c r="L48" s="14" t="str">
        <x:f>IF(O48="OK",SUM(I48:K48),"")</x:f>
      </x:c>
      <x:c r="M48" s="14" t="str">
        <x:f>IF(O48="OK",0.006165375*G48^2,"")</x:f>
      </x:c>
      <x:c r="N48" s="14" t="str">
        <x:f>IF(O48="OK",H48*L48*M48,"")</x:f>
      </x:c>
      <x:c r="O48" s="2" t="str">
        <x:f>IF(COUNTA(A48:K48,P48)=0,"",IF(OR('Auto mensal'!$B$5="",'Auto mensal'!$D$5="",'Auto mensal'!$D$5&lt;'Auto mensal'!$B$5),"Pendente: período",IF(OR(A48="",NOT(ISNUMBER(A48))),"Pendente: data",IF(OR(A48&lt;'Auto mensal'!$B$5,A48&gt;'Auto mensal'!$D$5),"Fora do período",IF(OR(B48="",C48="",D48="",E48=""),"Pendente: identificação",IF(COUNTIFS('Auto mensal'!$A$13:$A$42,B48,'Auto mensal'!$C$13:$C$42,"Aço")&lt;&gt;1,"Pendente: artigo / material",IF(AND(F48&lt;&gt;"",ISNUMBER(G48),G48&gt;0,ISNUMBER(H48),H48&gt;0,H48=INT(H48),ISNUMBER(I48),I48&gt;0,OR(J48="",AND(ISNUMBER(J48),J48&gt;=0)),OR(K48="",AND(ISNUMBER(K48),K48&gt;=0))),"OK","Pendente: dimensões")))))))</x:f>
      </x:c>
      <x:c r="P48" s="5"/>
    </x:row>
    <x:row r="49" ht="23" customHeight="1">
      <x:c r="A49" s="6"/>
      <x:c r="B49" s="12"/>
      <x:c r="C49" s="5"/>
      <x:c r="D49" s="5"/>
      <x:c r="E49" s="5"/>
      <x:c r="F49" s="13"/>
      <x:c r="G49" s="13"/>
      <x:c r="H49" s="13"/>
      <x:c r="I49" s="13"/>
      <x:c r="J49" s="13"/>
      <x:c r="K49" s="13"/>
      <x:c r="L49" s="14" t="str">
        <x:f>IF(O49="OK",SUM(I49:K49),"")</x:f>
      </x:c>
      <x:c r="M49" s="14" t="str">
        <x:f>IF(O49="OK",0.006165375*G49^2,"")</x:f>
      </x:c>
      <x:c r="N49" s="14" t="str">
        <x:f>IF(O49="OK",H49*L49*M49,"")</x:f>
      </x:c>
      <x:c r="O49" s="2" t="str">
        <x:f>IF(COUNTA(A49:K49,P49)=0,"",IF(OR('Auto mensal'!$B$5="",'Auto mensal'!$D$5="",'Auto mensal'!$D$5&lt;'Auto mensal'!$B$5),"Pendente: período",IF(OR(A49="",NOT(ISNUMBER(A49))),"Pendente: data",IF(OR(A49&lt;'Auto mensal'!$B$5,A49&gt;'Auto mensal'!$D$5),"Fora do período",IF(OR(B49="",C49="",D49="",E49=""),"Pendente: identificação",IF(COUNTIFS('Auto mensal'!$A$13:$A$42,B49,'Auto mensal'!$C$13:$C$42,"Aço")&lt;&gt;1,"Pendente: artigo / material",IF(AND(F49&lt;&gt;"",ISNUMBER(G49),G49&gt;0,ISNUMBER(H49),H49&gt;0,H49=INT(H49),ISNUMBER(I49),I49&gt;0,OR(J49="",AND(ISNUMBER(J49),J49&gt;=0)),OR(K49="",AND(ISNUMBER(K49),K49&gt;=0))),"OK","Pendente: dimensões")))))))</x:f>
      </x:c>
      <x:c r="P49" s="5"/>
    </x:row>
    <x:row r="50" ht="23" customHeight="1">
      <x:c r="A50" s="6"/>
      <x:c r="B50" s="12"/>
      <x:c r="C50" s="5"/>
      <x:c r="D50" s="5"/>
      <x:c r="E50" s="5"/>
      <x:c r="F50" s="13"/>
      <x:c r="G50" s="13"/>
      <x:c r="H50" s="13"/>
      <x:c r="I50" s="13"/>
      <x:c r="J50" s="13"/>
      <x:c r="K50" s="13"/>
      <x:c r="L50" s="14" t="str">
        <x:f>IF(O50="OK",SUM(I50:K50),"")</x:f>
      </x:c>
      <x:c r="M50" s="14" t="str">
        <x:f>IF(O50="OK",0.006165375*G50^2,"")</x:f>
      </x:c>
      <x:c r="N50" s="14" t="str">
        <x:f>IF(O50="OK",H50*L50*M50,"")</x:f>
      </x:c>
      <x:c r="O50" s="2" t="str">
        <x:f>IF(COUNTA(A50:K50,P50)=0,"",IF(OR('Auto mensal'!$B$5="",'Auto mensal'!$D$5="",'Auto mensal'!$D$5&lt;'Auto mensal'!$B$5),"Pendente: período",IF(OR(A50="",NOT(ISNUMBER(A50))),"Pendente: data",IF(OR(A50&lt;'Auto mensal'!$B$5,A50&gt;'Auto mensal'!$D$5),"Fora do período",IF(OR(B50="",C50="",D50="",E50=""),"Pendente: identificação",IF(COUNTIFS('Auto mensal'!$A$13:$A$42,B50,'Auto mensal'!$C$13:$C$42,"Aço")&lt;&gt;1,"Pendente: artigo / material",IF(AND(F50&lt;&gt;"",ISNUMBER(G50),G50&gt;0,ISNUMBER(H50),H50&gt;0,H50=INT(H50),ISNUMBER(I50),I50&gt;0,OR(J50="",AND(ISNUMBER(J50),J50&gt;=0)),OR(K50="",AND(ISNUMBER(K50),K50&gt;=0))),"OK","Pendente: dimensões")))))))</x:f>
      </x:c>
      <x:c r="P50" s="5"/>
    </x:row>
    <x:row r="51" ht="23" customHeight="1">
      <x:c r="A51" s="6"/>
      <x:c r="B51" s="12"/>
      <x:c r="C51" s="5"/>
      <x:c r="D51" s="5"/>
      <x:c r="E51" s="5"/>
      <x:c r="F51" s="13"/>
      <x:c r="G51" s="13"/>
      <x:c r="H51" s="13"/>
      <x:c r="I51" s="13"/>
      <x:c r="J51" s="13"/>
      <x:c r="K51" s="13"/>
      <x:c r="L51" s="14" t="str">
        <x:f>IF(O51="OK",SUM(I51:K51),"")</x:f>
      </x:c>
      <x:c r="M51" s="14" t="str">
        <x:f>IF(O51="OK",0.006165375*G51^2,"")</x:f>
      </x:c>
      <x:c r="N51" s="14" t="str">
        <x:f>IF(O51="OK",H51*L51*M51,"")</x:f>
      </x:c>
      <x:c r="O51" s="2" t="str">
        <x:f>IF(COUNTA(A51:K51,P51)=0,"",IF(OR('Auto mensal'!$B$5="",'Auto mensal'!$D$5="",'Auto mensal'!$D$5&lt;'Auto mensal'!$B$5),"Pendente: período",IF(OR(A51="",NOT(ISNUMBER(A51))),"Pendente: data",IF(OR(A51&lt;'Auto mensal'!$B$5,A51&gt;'Auto mensal'!$D$5),"Fora do período",IF(OR(B51="",C51="",D51="",E51=""),"Pendente: identificação",IF(COUNTIFS('Auto mensal'!$A$13:$A$42,B51,'Auto mensal'!$C$13:$C$42,"Aço")&lt;&gt;1,"Pendente: artigo / material",IF(AND(F51&lt;&gt;"",ISNUMBER(G51),G51&gt;0,ISNUMBER(H51),H51&gt;0,H51=INT(H51),ISNUMBER(I51),I51&gt;0,OR(J51="",AND(ISNUMBER(J51),J51&gt;=0)),OR(K51="",AND(ISNUMBER(K51),K51&gt;=0))),"OK","Pendente: dimensões")))))))</x:f>
      </x:c>
      <x:c r="P51" s="5"/>
    </x:row>
    <x:row r="52" ht="23" customHeight="1">
      <x:c r="A52" s="6"/>
      <x:c r="B52" s="12"/>
      <x:c r="C52" s="5"/>
      <x:c r="D52" s="5"/>
      <x:c r="E52" s="5"/>
      <x:c r="F52" s="13"/>
      <x:c r="G52" s="13"/>
      <x:c r="H52" s="13"/>
      <x:c r="I52" s="13"/>
      <x:c r="J52" s="13"/>
      <x:c r="K52" s="13"/>
      <x:c r="L52" s="14" t="str">
        <x:f>IF(O52="OK",SUM(I52:K52),"")</x:f>
      </x:c>
      <x:c r="M52" s="14" t="str">
        <x:f>IF(O52="OK",0.006165375*G52^2,"")</x:f>
      </x:c>
      <x:c r="N52" s="14" t="str">
        <x:f>IF(O52="OK",H52*L52*M52,"")</x:f>
      </x:c>
      <x:c r="O52" s="2" t="str">
        <x:f>IF(COUNTA(A52:K52,P52)=0,"",IF(OR('Auto mensal'!$B$5="",'Auto mensal'!$D$5="",'Auto mensal'!$D$5&lt;'Auto mensal'!$B$5),"Pendente: período",IF(OR(A52="",NOT(ISNUMBER(A52))),"Pendente: data",IF(OR(A52&lt;'Auto mensal'!$B$5,A52&gt;'Auto mensal'!$D$5),"Fora do período",IF(OR(B52="",C52="",D52="",E52=""),"Pendente: identificação",IF(COUNTIFS('Auto mensal'!$A$13:$A$42,B52,'Auto mensal'!$C$13:$C$42,"Aço")&lt;&gt;1,"Pendente: artigo / material",IF(AND(F52&lt;&gt;"",ISNUMBER(G52),G52&gt;0,ISNUMBER(H52),H52&gt;0,H52=INT(H52),ISNUMBER(I52),I52&gt;0,OR(J52="",AND(ISNUMBER(J52),J52&gt;=0)),OR(K52="",AND(ISNUMBER(K52),K52&gt;=0))),"OK","Pendente: dimensões")))))))</x:f>
      </x:c>
      <x:c r="P52" s="5"/>
    </x:row>
    <x:row r="53" ht="23" customHeight="1">
      <x:c r="A53" s="6"/>
      <x:c r="B53" s="12"/>
      <x:c r="C53" s="5"/>
      <x:c r="D53" s="5"/>
      <x:c r="E53" s="5"/>
      <x:c r="F53" s="13"/>
      <x:c r="G53" s="13"/>
      <x:c r="H53" s="13"/>
      <x:c r="I53" s="13"/>
      <x:c r="J53" s="13"/>
      <x:c r="K53" s="13"/>
      <x:c r="L53" s="14" t="str">
        <x:f>IF(O53="OK",SUM(I53:K53),"")</x:f>
      </x:c>
      <x:c r="M53" s="14" t="str">
        <x:f>IF(O53="OK",0.006165375*G53^2,"")</x:f>
      </x:c>
      <x:c r="N53" s="14" t="str">
        <x:f>IF(O53="OK",H53*L53*M53,"")</x:f>
      </x:c>
      <x:c r="O53" s="2" t="str">
        <x:f>IF(COUNTA(A53:K53,P53)=0,"",IF(OR('Auto mensal'!$B$5="",'Auto mensal'!$D$5="",'Auto mensal'!$D$5&lt;'Auto mensal'!$B$5),"Pendente: período",IF(OR(A53="",NOT(ISNUMBER(A53))),"Pendente: data",IF(OR(A53&lt;'Auto mensal'!$B$5,A53&gt;'Auto mensal'!$D$5),"Fora do período",IF(OR(B53="",C53="",D53="",E53=""),"Pendente: identificação",IF(COUNTIFS('Auto mensal'!$A$13:$A$42,B53,'Auto mensal'!$C$13:$C$42,"Aço")&lt;&gt;1,"Pendente: artigo / material",IF(AND(F53&lt;&gt;"",ISNUMBER(G53),G53&gt;0,ISNUMBER(H53),H53&gt;0,H53=INT(H53),ISNUMBER(I53),I53&gt;0,OR(J53="",AND(ISNUMBER(J53),J53&gt;=0)),OR(K53="",AND(ISNUMBER(K53),K53&gt;=0))),"OK","Pendente: dimensões")))))))</x:f>
      </x:c>
      <x:c r="P53" s="5"/>
    </x:row>
    <x:row r="54" ht="23" customHeight="1">
      <x:c r="A54" s="6"/>
      <x:c r="B54" s="12"/>
      <x:c r="C54" s="5"/>
      <x:c r="D54" s="5"/>
      <x:c r="E54" s="5"/>
      <x:c r="F54" s="13"/>
      <x:c r="G54" s="13"/>
      <x:c r="H54" s="13"/>
      <x:c r="I54" s="13"/>
      <x:c r="J54" s="13"/>
      <x:c r="K54" s="13"/>
      <x:c r="L54" s="14" t="str">
        <x:f>IF(O54="OK",SUM(I54:K54),"")</x:f>
      </x:c>
      <x:c r="M54" s="14" t="str">
        <x:f>IF(O54="OK",0.006165375*G54^2,"")</x:f>
      </x:c>
      <x:c r="N54" s="14" t="str">
        <x:f>IF(O54="OK",H54*L54*M54,"")</x:f>
      </x:c>
      <x:c r="O54" s="2" t="str">
        <x:f>IF(COUNTA(A54:K54,P54)=0,"",IF(OR('Auto mensal'!$B$5="",'Auto mensal'!$D$5="",'Auto mensal'!$D$5&lt;'Auto mensal'!$B$5),"Pendente: período",IF(OR(A54="",NOT(ISNUMBER(A54))),"Pendente: data",IF(OR(A54&lt;'Auto mensal'!$B$5,A54&gt;'Auto mensal'!$D$5),"Fora do período",IF(OR(B54="",C54="",D54="",E54=""),"Pendente: identificação",IF(COUNTIFS('Auto mensal'!$A$13:$A$42,B54,'Auto mensal'!$C$13:$C$42,"Aço")&lt;&gt;1,"Pendente: artigo / material",IF(AND(F54&lt;&gt;"",ISNUMBER(G54),G54&gt;0,ISNUMBER(H54),H54&gt;0,H54=INT(H54),ISNUMBER(I54),I54&gt;0,OR(J54="",AND(ISNUMBER(J54),J54&gt;=0)),OR(K54="",AND(ISNUMBER(K54),K54&gt;=0))),"OK","Pendente: dimensões")))))))</x:f>
      </x:c>
      <x:c r="P54" s="5"/>
    </x:row>
    <x:row r="55" ht="23" customHeight="1">
      <x:c r="A55" s="6"/>
      <x:c r="B55" s="12"/>
      <x:c r="C55" s="5"/>
      <x:c r="D55" s="5"/>
      <x:c r="E55" s="5"/>
      <x:c r="F55" s="13"/>
      <x:c r="G55" s="13"/>
      <x:c r="H55" s="13"/>
      <x:c r="I55" s="13"/>
      <x:c r="J55" s="13"/>
      <x:c r="K55" s="13"/>
      <x:c r="L55" s="14" t="str">
        <x:f>IF(O55="OK",SUM(I55:K55),"")</x:f>
      </x:c>
      <x:c r="M55" s="14" t="str">
        <x:f>IF(O55="OK",0.006165375*G55^2,"")</x:f>
      </x:c>
      <x:c r="N55" s="14" t="str">
        <x:f>IF(O55="OK",H55*L55*M55,"")</x:f>
      </x:c>
      <x:c r="O55" s="2" t="str">
        <x:f>IF(COUNTA(A55:K55,P55)=0,"",IF(OR('Auto mensal'!$B$5="",'Auto mensal'!$D$5="",'Auto mensal'!$D$5&lt;'Auto mensal'!$B$5),"Pendente: período",IF(OR(A55="",NOT(ISNUMBER(A55))),"Pendente: data",IF(OR(A55&lt;'Auto mensal'!$B$5,A55&gt;'Auto mensal'!$D$5),"Fora do período",IF(OR(B55="",C55="",D55="",E55=""),"Pendente: identificação",IF(COUNTIFS('Auto mensal'!$A$13:$A$42,B55,'Auto mensal'!$C$13:$C$42,"Aço")&lt;&gt;1,"Pendente: artigo / material",IF(AND(F55&lt;&gt;"",ISNUMBER(G55),G55&gt;0,ISNUMBER(H55),H55&gt;0,H55=INT(H55),ISNUMBER(I55),I55&gt;0,OR(J55="",AND(ISNUMBER(J55),J55&gt;=0)),OR(K55="",AND(ISNUMBER(K55),K55&gt;=0))),"OK","Pendente: dimensões")))))))</x:f>
      </x:c>
      <x:c r="P55" s="5"/>
    </x:row>
    <x:row r="56" ht="23" customHeight="1">
      <x:c r="A56" s="6"/>
      <x:c r="B56" s="12"/>
      <x:c r="C56" s="5"/>
      <x:c r="D56" s="5"/>
      <x:c r="E56" s="5"/>
      <x:c r="F56" s="13"/>
      <x:c r="G56" s="13"/>
      <x:c r="H56" s="13"/>
      <x:c r="I56" s="13"/>
      <x:c r="J56" s="13"/>
      <x:c r="K56" s="13"/>
      <x:c r="L56" s="14" t="str">
        <x:f>IF(O56="OK",SUM(I56:K56),"")</x:f>
      </x:c>
      <x:c r="M56" s="14" t="str">
        <x:f>IF(O56="OK",0.006165375*G56^2,"")</x:f>
      </x:c>
      <x:c r="N56" s="14" t="str">
        <x:f>IF(O56="OK",H56*L56*M56,"")</x:f>
      </x:c>
      <x:c r="O56" s="2" t="str">
        <x:f>IF(COUNTA(A56:K56,P56)=0,"",IF(OR('Auto mensal'!$B$5="",'Auto mensal'!$D$5="",'Auto mensal'!$D$5&lt;'Auto mensal'!$B$5),"Pendente: período",IF(OR(A56="",NOT(ISNUMBER(A56))),"Pendente: data",IF(OR(A56&lt;'Auto mensal'!$B$5,A56&gt;'Auto mensal'!$D$5),"Fora do período",IF(OR(B56="",C56="",D56="",E56=""),"Pendente: identificação",IF(COUNTIFS('Auto mensal'!$A$13:$A$42,B56,'Auto mensal'!$C$13:$C$42,"Aço")&lt;&gt;1,"Pendente: artigo / material",IF(AND(F56&lt;&gt;"",ISNUMBER(G56),G56&gt;0,ISNUMBER(H56),H56&gt;0,H56=INT(H56),ISNUMBER(I56),I56&gt;0,OR(J56="",AND(ISNUMBER(J56),J56&gt;=0)),OR(K56="",AND(ISNUMBER(K56),K56&gt;=0))),"OK","Pendente: dimensões")))))))</x:f>
      </x:c>
      <x:c r="P56" s="5"/>
    </x:row>
    <x:row r="57" ht="23" customHeight="1">
      <x:c r="A57" s="6"/>
      <x:c r="B57" s="12"/>
      <x:c r="C57" s="5"/>
      <x:c r="D57" s="5"/>
      <x:c r="E57" s="5"/>
      <x:c r="F57" s="13"/>
      <x:c r="G57" s="13"/>
      <x:c r="H57" s="13"/>
      <x:c r="I57" s="13"/>
      <x:c r="J57" s="13"/>
      <x:c r="K57" s="13"/>
      <x:c r="L57" s="14" t="str">
        <x:f>IF(O57="OK",SUM(I57:K57),"")</x:f>
      </x:c>
      <x:c r="M57" s="14" t="str">
        <x:f>IF(O57="OK",0.006165375*G57^2,"")</x:f>
      </x:c>
      <x:c r="N57" s="14" t="str">
        <x:f>IF(O57="OK",H57*L57*M57,"")</x:f>
      </x:c>
      <x:c r="O57" s="2" t="str">
        <x:f>IF(COUNTA(A57:K57,P57)=0,"",IF(OR('Auto mensal'!$B$5="",'Auto mensal'!$D$5="",'Auto mensal'!$D$5&lt;'Auto mensal'!$B$5),"Pendente: período",IF(OR(A57="",NOT(ISNUMBER(A57))),"Pendente: data",IF(OR(A57&lt;'Auto mensal'!$B$5,A57&gt;'Auto mensal'!$D$5),"Fora do período",IF(OR(B57="",C57="",D57="",E57=""),"Pendente: identificação",IF(COUNTIFS('Auto mensal'!$A$13:$A$42,B57,'Auto mensal'!$C$13:$C$42,"Aço")&lt;&gt;1,"Pendente: artigo / material",IF(AND(F57&lt;&gt;"",ISNUMBER(G57),G57&gt;0,ISNUMBER(H57),H57&gt;0,H57=INT(H57),ISNUMBER(I57),I57&gt;0,OR(J57="",AND(ISNUMBER(J57),J57&gt;=0)),OR(K57="",AND(ISNUMBER(K57),K57&gt;=0))),"OK","Pendente: dimensões")))))))</x:f>
      </x:c>
      <x:c r="P57" s="5"/>
    </x:row>
    <x:row r="58" ht="23" customHeight="1">
      <x:c r="A58" s="6"/>
      <x:c r="B58" s="12"/>
      <x:c r="C58" s="5"/>
      <x:c r="D58" s="5"/>
      <x:c r="E58" s="5"/>
      <x:c r="F58" s="13"/>
      <x:c r="G58" s="13"/>
      <x:c r="H58" s="13"/>
      <x:c r="I58" s="13"/>
      <x:c r="J58" s="13"/>
      <x:c r="K58" s="13"/>
      <x:c r="L58" s="14" t="str">
        <x:f>IF(O58="OK",SUM(I58:K58),"")</x:f>
      </x:c>
      <x:c r="M58" s="14" t="str">
        <x:f>IF(O58="OK",0.006165375*G58^2,"")</x:f>
      </x:c>
      <x:c r="N58" s="14" t="str">
        <x:f>IF(O58="OK",H58*L58*M58,"")</x:f>
      </x:c>
      <x:c r="O58" s="2" t="str">
        <x:f>IF(COUNTA(A58:K58,P58)=0,"",IF(OR('Auto mensal'!$B$5="",'Auto mensal'!$D$5="",'Auto mensal'!$D$5&lt;'Auto mensal'!$B$5),"Pendente: período",IF(OR(A58="",NOT(ISNUMBER(A58))),"Pendente: data",IF(OR(A58&lt;'Auto mensal'!$B$5,A58&gt;'Auto mensal'!$D$5),"Fora do período",IF(OR(B58="",C58="",D58="",E58=""),"Pendente: identificação",IF(COUNTIFS('Auto mensal'!$A$13:$A$42,B58,'Auto mensal'!$C$13:$C$42,"Aço")&lt;&gt;1,"Pendente: artigo / material",IF(AND(F58&lt;&gt;"",ISNUMBER(G58),G58&gt;0,ISNUMBER(H58),H58&gt;0,H58=INT(H58),ISNUMBER(I58),I58&gt;0,OR(J58="",AND(ISNUMBER(J58),J58&gt;=0)),OR(K58="",AND(ISNUMBER(K58),K58&gt;=0))),"OK","Pendente: dimensões")))))))</x:f>
      </x:c>
      <x:c r="P58" s="5"/>
    </x:row>
    <x:row r="59" ht="23" customHeight="1">
      <x:c r="A59" s="6"/>
      <x:c r="B59" s="12"/>
      <x:c r="C59" s="5"/>
      <x:c r="D59" s="5"/>
      <x:c r="E59" s="5"/>
      <x:c r="F59" s="13"/>
      <x:c r="G59" s="13"/>
      <x:c r="H59" s="13"/>
      <x:c r="I59" s="13"/>
      <x:c r="J59" s="13"/>
      <x:c r="K59" s="13"/>
      <x:c r="L59" s="14" t="str">
        <x:f>IF(O59="OK",SUM(I59:K59),"")</x:f>
      </x:c>
      <x:c r="M59" s="14" t="str">
        <x:f>IF(O59="OK",0.006165375*G59^2,"")</x:f>
      </x:c>
      <x:c r="N59" s="14" t="str">
        <x:f>IF(O59="OK",H59*L59*M59,"")</x:f>
      </x:c>
      <x:c r="O59" s="2" t="str">
        <x:f>IF(COUNTA(A59:K59,P59)=0,"",IF(OR('Auto mensal'!$B$5="",'Auto mensal'!$D$5="",'Auto mensal'!$D$5&lt;'Auto mensal'!$B$5),"Pendente: período",IF(OR(A59="",NOT(ISNUMBER(A59))),"Pendente: data",IF(OR(A59&lt;'Auto mensal'!$B$5,A59&gt;'Auto mensal'!$D$5),"Fora do período",IF(OR(B59="",C59="",D59="",E59=""),"Pendente: identificação",IF(COUNTIFS('Auto mensal'!$A$13:$A$42,B59,'Auto mensal'!$C$13:$C$42,"Aço")&lt;&gt;1,"Pendente: artigo / material",IF(AND(F59&lt;&gt;"",ISNUMBER(G59),G59&gt;0,ISNUMBER(H59),H59&gt;0,H59=INT(H59),ISNUMBER(I59),I59&gt;0,OR(J59="",AND(ISNUMBER(J59),J59&gt;=0)),OR(K59="",AND(ISNUMBER(K59),K59&gt;=0))),"OK","Pendente: dimensões")))))))</x:f>
      </x:c>
      <x:c r="P59" s="5"/>
    </x:row>
    <x:row r="60" ht="23" customHeight="1">
      <x:c r="A60" s="6"/>
      <x:c r="B60" s="12"/>
      <x:c r="C60" s="5"/>
      <x:c r="D60" s="5"/>
      <x:c r="E60" s="5"/>
      <x:c r="F60" s="13"/>
      <x:c r="G60" s="13"/>
      <x:c r="H60" s="13"/>
      <x:c r="I60" s="13"/>
      <x:c r="J60" s="13"/>
      <x:c r="K60" s="13"/>
      <x:c r="L60" s="14" t="str">
        <x:f>IF(O60="OK",SUM(I60:K60),"")</x:f>
      </x:c>
      <x:c r="M60" s="14" t="str">
        <x:f>IF(O60="OK",0.006165375*G60^2,"")</x:f>
      </x:c>
      <x:c r="N60" s="14" t="str">
        <x:f>IF(O60="OK",H60*L60*M60,"")</x:f>
      </x:c>
      <x:c r="O60" s="2" t="str">
        <x:f>IF(COUNTA(A60:K60,P60)=0,"",IF(OR('Auto mensal'!$B$5="",'Auto mensal'!$D$5="",'Auto mensal'!$D$5&lt;'Auto mensal'!$B$5),"Pendente: período",IF(OR(A60="",NOT(ISNUMBER(A60))),"Pendente: data",IF(OR(A60&lt;'Auto mensal'!$B$5,A60&gt;'Auto mensal'!$D$5),"Fora do período",IF(OR(B60="",C60="",D60="",E60=""),"Pendente: identificação",IF(COUNTIFS('Auto mensal'!$A$13:$A$42,B60,'Auto mensal'!$C$13:$C$42,"Aço")&lt;&gt;1,"Pendente: artigo / material",IF(AND(F60&lt;&gt;"",ISNUMBER(G60),G60&gt;0,ISNUMBER(H60),H60&gt;0,H60=INT(H60),ISNUMBER(I60),I60&gt;0,OR(J60="",AND(ISNUMBER(J60),J60&gt;=0)),OR(K60="",AND(ISNUMBER(K60),K60&gt;=0))),"OK","Pendente: dimensões")))))))</x:f>
      </x:c>
      <x:c r="P60" s="5"/>
    </x:row>
    <x:row r="61" ht="23" customHeight="1">
      <x:c r="A61" s="6"/>
      <x:c r="B61" s="12"/>
      <x:c r="C61" s="5"/>
      <x:c r="D61" s="5"/>
      <x:c r="E61" s="5"/>
      <x:c r="F61" s="13"/>
      <x:c r="G61" s="13"/>
      <x:c r="H61" s="13"/>
      <x:c r="I61" s="13"/>
      <x:c r="J61" s="13"/>
      <x:c r="K61" s="13"/>
      <x:c r="L61" s="14" t="str">
        <x:f>IF(O61="OK",SUM(I61:K61),"")</x:f>
      </x:c>
      <x:c r="M61" s="14" t="str">
        <x:f>IF(O61="OK",0.006165375*G61^2,"")</x:f>
      </x:c>
      <x:c r="N61" s="14" t="str">
        <x:f>IF(O61="OK",H61*L61*M61,"")</x:f>
      </x:c>
      <x:c r="O61" s="2" t="str">
        <x:f>IF(COUNTA(A61:K61,P61)=0,"",IF(OR('Auto mensal'!$B$5="",'Auto mensal'!$D$5="",'Auto mensal'!$D$5&lt;'Auto mensal'!$B$5),"Pendente: período",IF(OR(A61="",NOT(ISNUMBER(A61))),"Pendente: data",IF(OR(A61&lt;'Auto mensal'!$B$5,A61&gt;'Auto mensal'!$D$5),"Fora do período",IF(OR(B61="",C61="",D61="",E61=""),"Pendente: identificação",IF(COUNTIFS('Auto mensal'!$A$13:$A$42,B61,'Auto mensal'!$C$13:$C$42,"Aço")&lt;&gt;1,"Pendente: artigo / material",IF(AND(F61&lt;&gt;"",ISNUMBER(G61),G61&gt;0,ISNUMBER(H61),H61&gt;0,H61=INT(H61),ISNUMBER(I61),I61&gt;0,OR(J61="",AND(ISNUMBER(J61),J61&gt;=0)),OR(K61="",AND(ISNUMBER(K61),K61&gt;=0))),"OK","Pendente: dimensões")))))))</x:f>
      </x:c>
      <x:c r="P61" s="5"/>
    </x:row>
    <x:row r="62" ht="23" customHeight="1">
      <x:c r="A62" s="6"/>
      <x:c r="B62" s="12"/>
      <x:c r="C62" s="5"/>
      <x:c r="D62" s="5"/>
      <x:c r="E62" s="5"/>
      <x:c r="F62" s="13"/>
      <x:c r="G62" s="13"/>
      <x:c r="H62" s="13"/>
      <x:c r="I62" s="13"/>
      <x:c r="J62" s="13"/>
      <x:c r="K62" s="13"/>
      <x:c r="L62" s="14" t="str">
        <x:f>IF(O62="OK",SUM(I62:K62),"")</x:f>
      </x:c>
      <x:c r="M62" s="14" t="str">
        <x:f>IF(O62="OK",0.006165375*G62^2,"")</x:f>
      </x:c>
      <x:c r="N62" s="14" t="str">
        <x:f>IF(O62="OK",H62*L62*M62,"")</x:f>
      </x:c>
      <x:c r="O62" s="2" t="str">
        <x:f>IF(COUNTA(A62:K62,P62)=0,"",IF(OR('Auto mensal'!$B$5="",'Auto mensal'!$D$5="",'Auto mensal'!$D$5&lt;'Auto mensal'!$B$5),"Pendente: período",IF(OR(A62="",NOT(ISNUMBER(A62))),"Pendente: data",IF(OR(A62&lt;'Auto mensal'!$B$5,A62&gt;'Auto mensal'!$D$5),"Fora do período",IF(OR(B62="",C62="",D62="",E62=""),"Pendente: identificação",IF(COUNTIFS('Auto mensal'!$A$13:$A$42,B62,'Auto mensal'!$C$13:$C$42,"Aço")&lt;&gt;1,"Pendente: artigo / material",IF(AND(F62&lt;&gt;"",ISNUMBER(G62),G62&gt;0,ISNUMBER(H62),H62&gt;0,H62=INT(H62),ISNUMBER(I62),I62&gt;0,OR(J62="",AND(ISNUMBER(J62),J62&gt;=0)),OR(K62="",AND(ISNUMBER(K62),K62&gt;=0))),"OK","Pendente: dimensões")))))))</x:f>
      </x:c>
      <x:c r="P62" s="5"/>
    </x:row>
    <x:row r="63" ht="23" customHeight="1">
      <x:c r="A63" s="6"/>
      <x:c r="B63" s="12"/>
      <x:c r="C63" s="5"/>
      <x:c r="D63" s="5"/>
      <x:c r="E63" s="5"/>
      <x:c r="F63" s="13"/>
      <x:c r="G63" s="13"/>
      <x:c r="H63" s="13"/>
      <x:c r="I63" s="13"/>
      <x:c r="J63" s="13"/>
      <x:c r="K63" s="13"/>
      <x:c r="L63" s="14" t="str">
        <x:f>IF(O63="OK",SUM(I63:K63),"")</x:f>
      </x:c>
      <x:c r="M63" s="14" t="str">
        <x:f>IF(O63="OK",0.006165375*G63^2,"")</x:f>
      </x:c>
      <x:c r="N63" s="14" t="str">
        <x:f>IF(O63="OK",H63*L63*M63,"")</x:f>
      </x:c>
      <x:c r="O63" s="2" t="str">
        <x:f>IF(COUNTA(A63:K63,P63)=0,"",IF(OR('Auto mensal'!$B$5="",'Auto mensal'!$D$5="",'Auto mensal'!$D$5&lt;'Auto mensal'!$B$5),"Pendente: período",IF(OR(A63="",NOT(ISNUMBER(A63))),"Pendente: data",IF(OR(A63&lt;'Auto mensal'!$B$5,A63&gt;'Auto mensal'!$D$5),"Fora do período",IF(OR(B63="",C63="",D63="",E63=""),"Pendente: identificação",IF(COUNTIFS('Auto mensal'!$A$13:$A$42,B63,'Auto mensal'!$C$13:$C$42,"Aço")&lt;&gt;1,"Pendente: artigo / material",IF(AND(F63&lt;&gt;"",ISNUMBER(G63),G63&gt;0,ISNUMBER(H63),H63&gt;0,H63=INT(H63),ISNUMBER(I63),I63&gt;0,OR(J63="",AND(ISNUMBER(J63),J63&gt;=0)),OR(K63="",AND(ISNUMBER(K63),K63&gt;=0))),"OK","Pendente: dimensões")))))))</x:f>
      </x:c>
      <x:c r="P63" s="5"/>
    </x:row>
    <x:row r="64" ht="23" customHeight="1">
      <x:c r="A64" s="6"/>
      <x:c r="B64" s="12"/>
      <x:c r="C64" s="5"/>
      <x:c r="D64" s="5"/>
      <x:c r="E64" s="5"/>
      <x:c r="F64" s="13"/>
      <x:c r="G64" s="13"/>
      <x:c r="H64" s="13"/>
      <x:c r="I64" s="13"/>
      <x:c r="J64" s="13"/>
      <x:c r="K64" s="13"/>
      <x:c r="L64" s="14" t="str">
        <x:f>IF(O64="OK",SUM(I64:K64),"")</x:f>
      </x:c>
      <x:c r="M64" s="14" t="str">
        <x:f>IF(O64="OK",0.006165375*G64^2,"")</x:f>
      </x:c>
      <x:c r="N64" s="14" t="str">
        <x:f>IF(O64="OK",H64*L64*M64,"")</x:f>
      </x:c>
      <x:c r="O64" s="2" t="str">
        <x:f>IF(COUNTA(A64:K64,P64)=0,"",IF(OR('Auto mensal'!$B$5="",'Auto mensal'!$D$5="",'Auto mensal'!$D$5&lt;'Auto mensal'!$B$5),"Pendente: período",IF(OR(A64="",NOT(ISNUMBER(A64))),"Pendente: data",IF(OR(A64&lt;'Auto mensal'!$B$5,A64&gt;'Auto mensal'!$D$5),"Fora do período",IF(OR(B64="",C64="",D64="",E64=""),"Pendente: identificação",IF(COUNTIFS('Auto mensal'!$A$13:$A$42,B64,'Auto mensal'!$C$13:$C$42,"Aço")&lt;&gt;1,"Pendente: artigo / material",IF(AND(F64&lt;&gt;"",ISNUMBER(G64),G64&gt;0,ISNUMBER(H64),H64&gt;0,H64=INT(H64),ISNUMBER(I64),I64&gt;0,OR(J64="",AND(ISNUMBER(J64),J64&gt;=0)),OR(K64="",AND(ISNUMBER(K64),K64&gt;=0))),"OK","Pendente: dimensões")))))))</x:f>
      </x:c>
      <x:c r="P64" s="5"/>
    </x:row>
    <x:row r="65" ht="23" customHeight="1">
      <x:c r="A65" s="6"/>
      <x:c r="B65" s="12"/>
      <x:c r="C65" s="5"/>
      <x:c r="D65" s="5"/>
      <x:c r="E65" s="5"/>
      <x:c r="F65" s="13"/>
      <x:c r="G65" s="13"/>
      <x:c r="H65" s="13"/>
      <x:c r="I65" s="13"/>
      <x:c r="J65" s="13"/>
      <x:c r="K65" s="13"/>
      <x:c r="L65" s="14" t="str">
        <x:f>IF(O65="OK",SUM(I65:K65),"")</x:f>
      </x:c>
      <x:c r="M65" s="14" t="str">
        <x:f>IF(O65="OK",0.006165375*G65^2,"")</x:f>
      </x:c>
      <x:c r="N65" s="14" t="str">
        <x:f>IF(O65="OK",H65*L65*M65,"")</x:f>
      </x:c>
      <x:c r="O65" s="2" t="str">
        <x:f>IF(COUNTA(A65:K65,P65)=0,"",IF(OR('Auto mensal'!$B$5="",'Auto mensal'!$D$5="",'Auto mensal'!$D$5&lt;'Auto mensal'!$B$5),"Pendente: período",IF(OR(A65="",NOT(ISNUMBER(A65))),"Pendente: data",IF(OR(A65&lt;'Auto mensal'!$B$5,A65&gt;'Auto mensal'!$D$5),"Fora do período",IF(OR(B65="",C65="",D65="",E65=""),"Pendente: identificação",IF(COUNTIFS('Auto mensal'!$A$13:$A$42,B65,'Auto mensal'!$C$13:$C$42,"Aço")&lt;&gt;1,"Pendente: artigo / material",IF(AND(F65&lt;&gt;"",ISNUMBER(G65),G65&gt;0,ISNUMBER(H65),H65&gt;0,H65=INT(H65),ISNUMBER(I65),I65&gt;0,OR(J65="",AND(ISNUMBER(J65),J65&gt;=0)),OR(K65="",AND(ISNUMBER(K65),K65&gt;=0))),"OK","Pendente: dimensões")))))))</x:f>
      </x:c>
      <x:c r="P65" s="5"/>
    </x:row>
    <x:row r="66" ht="23" customHeight="1">
      <x:c r="A66" s="6"/>
      <x:c r="B66" s="12"/>
      <x:c r="C66" s="5"/>
      <x:c r="D66" s="5"/>
      <x:c r="E66" s="5"/>
      <x:c r="F66" s="13"/>
      <x:c r="G66" s="13"/>
      <x:c r="H66" s="13"/>
      <x:c r="I66" s="13"/>
      <x:c r="J66" s="13"/>
      <x:c r="K66" s="13"/>
      <x:c r="L66" s="14" t="str">
        <x:f>IF(O66="OK",SUM(I66:K66),"")</x:f>
      </x:c>
      <x:c r="M66" s="14" t="str">
        <x:f>IF(O66="OK",0.006165375*G66^2,"")</x:f>
      </x:c>
      <x:c r="N66" s="14" t="str">
        <x:f>IF(O66="OK",H66*L66*M66,"")</x:f>
      </x:c>
      <x:c r="O66" s="2" t="str">
        <x:f>IF(COUNTA(A66:K66,P66)=0,"",IF(OR('Auto mensal'!$B$5="",'Auto mensal'!$D$5="",'Auto mensal'!$D$5&lt;'Auto mensal'!$B$5),"Pendente: período",IF(OR(A66="",NOT(ISNUMBER(A66))),"Pendente: data",IF(OR(A66&lt;'Auto mensal'!$B$5,A66&gt;'Auto mensal'!$D$5),"Fora do período",IF(OR(B66="",C66="",D66="",E66=""),"Pendente: identificação",IF(COUNTIFS('Auto mensal'!$A$13:$A$42,B66,'Auto mensal'!$C$13:$C$42,"Aço")&lt;&gt;1,"Pendente: artigo / material",IF(AND(F66&lt;&gt;"",ISNUMBER(G66),G66&gt;0,ISNUMBER(H66),H66&gt;0,H66=INT(H66),ISNUMBER(I66),I66&gt;0,OR(J66="",AND(ISNUMBER(J66),J66&gt;=0)),OR(K66="",AND(ISNUMBER(K66),K66&gt;=0))),"OK","Pendente: dimensões")))))))</x:f>
      </x:c>
      <x:c r="P66" s="5"/>
    </x:row>
    <x:row r="67" ht="23" customHeight="1">
      <x:c r="A67" s="6"/>
      <x:c r="B67" s="12"/>
      <x:c r="C67" s="5"/>
      <x:c r="D67" s="5"/>
      <x:c r="E67" s="5"/>
      <x:c r="F67" s="13"/>
      <x:c r="G67" s="13"/>
      <x:c r="H67" s="13"/>
      <x:c r="I67" s="13"/>
      <x:c r="J67" s="13"/>
      <x:c r="K67" s="13"/>
      <x:c r="L67" s="14" t="str">
        <x:f>IF(O67="OK",SUM(I67:K67),"")</x:f>
      </x:c>
      <x:c r="M67" s="14" t="str">
        <x:f>IF(O67="OK",0.006165375*G67^2,"")</x:f>
      </x:c>
      <x:c r="N67" s="14" t="str">
        <x:f>IF(O67="OK",H67*L67*M67,"")</x:f>
      </x:c>
      <x:c r="O67" s="2" t="str">
        <x:f>IF(COUNTA(A67:K67,P67)=0,"",IF(OR('Auto mensal'!$B$5="",'Auto mensal'!$D$5="",'Auto mensal'!$D$5&lt;'Auto mensal'!$B$5),"Pendente: período",IF(OR(A67="",NOT(ISNUMBER(A67))),"Pendente: data",IF(OR(A67&lt;'Auto mensal'!$B$5,A67&gt;'Auto mensal'!$D$5),"Fora do período",IF(OR(B67="",C67="",D67="",E67=""),"Pendente: identificação",IF(COUNTIFS('Auto mensal'!$A$13:$A$42,B67,'Auto mensal'!$C$13:$C$42,"Aço")&lt;&gt;1,"Pendente: artigo / material",IF(AND(F67&lt;&gt;"",ISNUMBER(G67),G67&gt;0,ISNUMBER(H67),H67&gt;0,H67=INT(H67),ISNUMBER(I67),I67&gt;0,OR(J67="",AND(ISNUMBER(J67),J67&gt;=0)),OR(K67="",AND(ISNUMBER(K67),K67&gt;=0))),"OK","Pendente: dimensões")))))))</x:f>
      </x:c>
      <x:c r="P67" s="5"/>
    </x:row>
    <x:row r="68" ht="23" customHeight="1">
      <x:c r="A68" s="6"/>
      <x:c r="B68" s="12"/>
      <x:c r="C68" s="5"/>
      <x:c r="D68" s="5"/>
      <x:c r="E68" s="5"/>
      <x:c r="F68" s="13"/>
      <x:c r="G68" s="13"/>
      <x:c r="H68" s="13"/>
      <x:c r="I68" s="13"/>
      <x:c r="J68" s="13"/>
      <x:c r="K68" s="13"/>
      <x:c r="L68" s="14" t="str">
        <x:f>IF(O68="OK",SUM(I68:K68),"")</x:f>
      </x:c>
      <x:c r="M68" s="14" t="str">
        <x:f>IF(O68="OK",0.006165375*G68^2,"")</x:f>
      </x:c>
      <x:c r="N68" s="14" t="str">
        <x:f>IF(O68="OK",H68*L68*M68,"")</x:f>
      </x:c>
      <x:c r="O68" s="2" t="str">
        <x:f>IF(COUNTA(A68:K68,P68)=0,"",IF(OR('Auto mensal'!$B$5="",'Auto mensal'!$D$5="",'Auto mensal'!$D$5&lt;'Auto mensal'!$B$5),"Pendente: período",IF(OR(A68="",NOT(ISNUMBER(A68))),"Pendente: data",IF(OR(A68&lt;'Auto mensal'!$B$5,A68&gt;'Auto mensal'!$D$5),"Fora do período",IF(OR(B68="",C68="",D68="",E68=""),"Pendente: identificação",IF(COUNTIFS('Auto mensal'!$A$13:$A$42,B68,'Auto mensal'!$C$13:$C$42,"Aço")&lt;&gt;1,"Pendente: artigo / material",IF(AND(F68&lt;&gt;"",ISNUMBER(G68),G68&gt;0,ISNUMBER(H68),H68&gt;0,H68=INT(H68),ISNUMBER(I68),I68&gt;0,OR(J68="",AND(ISNUMBER(J68),J68&gt;=0)),OR(K68="",AND(ISNUMBER(K68),K68&gt;=0))),"OK","Pendente: dimensões")))))))</x:f>
      </x:c>
      <x:c r="P68" s="5"/>
    </x:row>
    <x:row r="69" ht="23" customHeight="1">
      <x:c r="A69" s="6"/>
      <x:c r="B69" s="12"/>
      <x:c r="C69" s="5"/>
      <x:c r="D69" s="5"/>
      <x:c r="E69" s="5"/>
      <x:c r="F69" s="13"/>
      <x:c r="G69" s="13"/>
      <x:c r="H69" s="13"/>
      <x:c r="I69" s="13"/>
      <x:c r="J69" s="13"/>
      <x:c r="K69" s="13"/>
      <x:c r="L69" s="14" t="str">
        <x:f>IF(O69="OK",SUM(I69:K69),"")</x:f>
      </x:c>
      <x:c r="M69" s="14" t="str">
        <x:f>IF(O69="OK",0.006165375*G69^2,"")</x:f>
      </x:c>
      <x:c r="N69" s="14" t="str">
        <x:f>IF(O69="OK",H69*L69*M69,"")</x:f>
      </x:c>
      <x:c r="O69" s="2" t="str">
        <x:f>IF(COUNTA(A69:K69,P69)=0,"",IF(OR('Auto mensal'!$B$5="",'Auto mensal'!$D$5="",'Auto mensal'!$D$5&lt;'Auto mensal'!$B$5),"Pendente: período",IF(OR(A69="",NOT(ISNUMBER(A69))),"Pendente: data",IF(OR(A69&lt;'Auto mensal'!$B$5,A69&gt;'Auto mensal'!$D$5),"Fora do período",IF(OR(B69="",C69="",D69="",E69=""),"Pendente: identificação",IF(COUNTIFS('Auto mensal'!$A$13:$A$42,B69,'Auto mensal'!$C$13:$C$42,"Aço")&lt;&gt;1,"Pendente: artigo / material",IF(AND(F69&lt;&gt;"",ISNUMBER(G69),G69&gt;0,ISNUMBER(H69),H69&gt;0,H69=INT(H69),ISNUMBER(I69),I69&gt;0,OR(J69="",AND(ISNUMBER(J69),J69&gt;=0)),OR(K69="",AND(ISNUMBER(K69),K69&gt;=0))),"OK","Pendente: dimensões")))))))</x:f>
      </x:c>
      <x:c r="P69" s="5"/>
    </x:row>
    <x:row r="70" ht="23" customHeight="1">
      <x:c r="A70" s="6"/>
      <x:c r="B70" s="12"/>
      <x:c r="C70" s="5"/>
      <x:c r="D70" s="5"/>
      <x:c r="E70" s="5"/>
      <x:c r="F70" s="13"/>
      <x:c r="G70" s="13"/>
      <x:c r="H70" s="13"/>
      <x:c r="I70" s="13"/>
      <x:c r="J70" s="13"/>
      <x:c r="K70" s="13"/>
      <x:c r="L70" s="14" t="str">
        <x:f>IF(O70="OK",SUM(I70:K70),"")</x:f>
      </x:c>
      <x:c r="M70" s="14" t="str">
        <x:f>IF(O70="OK",0.006165375*G70^2,"")</x:f>
      </x:c>
      <x:c r="N70" s="14" t="str">
        <x:f>IF(O70="OK",H70*L70*M70,"")</x:f>
      </x:c>
      <x:c r="O70" s="2" t="str">
        <x:f>IF(COUNTA(A70:K70,P70)=0,"",IF(OR('Auto mensal'!$B$5="",'Auto mensal'!$D$5="",'Auto mensal'!$D$5&lt;'Auto mensal'!$B$5),"Pendente: período",IF(OR(A70="",NOT(ISNUMBER(A70))),"Pendente: data",IF(OR(A70&lt;'Auto mensal'!$B$5,A70&gt;'Auto mensal'!$D$5),"Fora do período",IF(OR(B70="",C70="",D70="",E70=""),"Pendente: identificação",IF(COUNTIFS('Auto mensal'!$A$13:$A$42,B70,'Auto mensal'!$C$13:$C$42,"Aço")&lt;&gt;1,"Pendente: artigo / material",IF(AND(F70&lt;&gt;"",ISNUMBER(G70),G70&gt;0,ISNUMBER(H70),H70&gt;0,H70=INT(H70),ISNUMBER(I70),I70&gt;0,OR(J70="",AND(ISNUMBER(J70),J70&gt;=0)),OR(K70="",AND(ISNUMBER(K70),K70&gt;=0))),"OK","Pendente: dimensões")))))))</x:f>
      </x:c>
      <x:c r="P70" s="5"/>
    </x:row>
    <x:row r="71" ht="23" customHeight="1">
      <x:c r="A71" s="6"/>
      <x:c r="B71" s="12"/>
      <x:c r="C71" s="5"/>
      <x:c r="D71" s="5"/>
      <x:c r="E71" s="5"/>
      <x:c r="F71" s="13"/>
      <x:c r="G71" s="13"/>
      <x:c r="H71" s="13"/>
      <x:c r="I71" s="13"/>
      <x:c r="J71" s="13"/>
      <x:c r="K71" s="13"/>
      <x:c r="L71" s="14" t="str">
        <x:f>IF(O71="OK",SUM(I71:K71),"")</x:f>
      </x:c>
      <x:c r="M71" s="14" t="str">
        <x:f>IF(O71="OK",0.006165375*G71^2,"")</x:f>
      </x:c>
      <x:c r="N71" s="14" t="str">
        <x:f>IF(O71="OK",H71*L71*M71,"")</x:f>
      </x:c>
      <x:c r="O71" s="2" t="str">
        <x:f>IF(COUNTA(A71:K71,P71)=0,"",IF(OR('Auto mensal'!$B$5="",'Auto mensal'!$D$5="",'Auto mensal'!$D$5&lt;'Auto mensal'!$B$5),"Pendente: período",IF(OR(A71="",NOT(ISNUMBER(A71))),"Pendente: data",IF(OR(A71&lt;'Auto mensal'!$B$5,A71&gt;'Auto mensal'!$D$5),"Fora do período",IF(OR(B71="",C71="",D71="",E71=""),"Pendente: identificação",IF(COUNTIFS('Auto mensal'!$A$13:$A$42,B71,'Auto mensal'!$C$13:$C$42,"Aço")&lt;&gt;1,"Pendente: artigo / material",IF(AND(F71&lt;&gt;"",ISNUMBER(G71),G71&gt;0,ISNUMBER(H71),H71&gt;0,H71=INT(H71),ISNUMBER(I71),I71&gt;0,OR(J71="",AND(ISNUMBER(J71),J71&gt;=0)),OR(K71="",AND(ISNUMBER(K71),K71&gt;=0))),"OK","Pendente: dimensões")))))))</x:f>
      </x:c>
      <x:c r="P71" s="5"/>
    </x:row>
    <x:row r="72" ht="23" customHeight="1">
      <x:c r="A72" s="6"/>
      <x:c r="B72" s="12"/>
      <x:c r="C72" s="5"/>
      <x:c r="D72" s="5"/>
      <x:c r="E72" s="5"/>
      <x:c r="F72" s="13"/>
      <x:c r="G72" s="13"/>
      <x:c r="H72" s="13"/>
      <x:c r="I72" s="13"/>
      <x:c r="J72" s="13"/>
      <x:c r="K72" s="13"/>
      <x:c r="L72" s="14" t="str">
        <x:f>IF(O72="OK",SUM(I72:K72),"")</x:f>
      </x:c>
      <x:c r="M72" s="14" t="str">
        <x:f>IF(O72="OK",0.006165375*G72^2,"")</x:f>
      </x:c>
      <x:c r="N72" s="14" t="str">
        <x:f>IF(O72="OK",H72*L72*M72,"")</x:f>
      </x:c>
      <x:c r="O72" s="2" t="str">
        <x:f>IF(COUNTA(A72:K72,P72)=0,"",IF(OR('Auto mensal'!$B$5="",'Auto mensal'!$D$5="",'Auto mensal'!$D$5&lt;'Auto mensal'!$B$5),"Pendente: período",IF(OR(A72="",NOT(ISNUMBER(A72))),"Pendente: data",IF(OR(A72&lt;'Auto mensal'!$B$5,A72&gt;'Auto mensal'!$D$5),"Fora do período",IF(OR(B72="",C72="",D72="",E72=""),"Pendente: identificação",IF(COUNTIFS('Auto mensal'!$A$13:$A$42,B72,'Auto mensal'!$C$13:$C$42,"Aço")&lt;&gt;1,"Pendente: artigo / material",IF(AND(F72&lt;&gt;"",ISNUMBER(G72),G72&gt;0,ISNUMBER(H72),H72&gt;0,H72=INT(H72),ISNUMBER(I72),I72&gt;0,OR(J72="",AND(ISNUMBER(J72),J72&gt;=0)),OR(K72="",AND(ISNUMBER(K72),K72&gt;=0))),"OK","Pendente: dimensões")))))))</x:f>
      </x:c>
      <x:c r="P72" s="5"/>
    </x:row>
    <x:row r="73" ht="23" customHeight="1">
      <x:c r="A73" s="6"/>
      <x:c r="B73" s="12"/>
      <x:c r="C73" s="5"/>
      <x:c r="D73" s="5"/>
      <x:c r="E73" s="5"/>
      <x:c r="F73" s="13"/>
      <x:c r="G73" s="13"/>
      <x:c r="H73" s="13"/>
      <x:c r="I73" s="13"/>
      <x:c r="J73" s="13"/>
      <x:c r="K73" s="13"/>
      <x:c r="L73" s="14" t="str">
        <x:f>IF(O73="OK",SUM(I73:K73),"")</x:f>
      </x:c>
      <x:c r="M73" s="14" t="str">
        <x:f>IF(O73="OK",0.006165375*G73^2,"")</x:f>
      </x:c>
      <x:c r="N73" s="14" t="str">
        <x:f>IF(O73="OK",H73*L73*M73,"")</x:f>
      </x:c>
      <x:c r="O73" s="2" t="str">
        <x:f>IF(COUNTA(A73:K73,P73)=0,"",IF(OR('Auto mensal'!$B$5="",'Auto mensal'!$D$5="",'Auto mensal'!$D$5&lt;'Auto mensal'!$B$5),"Pendente: período",IF(OR(A73="",NOT(ISNUMBER(A73))),"Pendente: data",IF(OR(A73&lt;'Auto mensal'!$B$5,A73&gt;'Auto mensal'!$D$5),"Fora do período",IF(OR(B73="",C73="",D73="",E73=""),"Pendente: identificação",IF(COUNTIFS('Auto mensal'!$A$13:$A$42,B73,'Auto mensal'!$C$13:$C$42,"Aço")&lt;&gt;1,"Pendente: artigo / material",IF(AND(F73&lt;&gt;"",ISNUMBER(G73),G73&gt;0,ISNUMBER(H73),H73&gt;0,H73=INT(H73),ISNUMBER(I73),I73&gt;0,OR(J73="",AND(ISNUMBER(J73),J73&gt;=0)),OR(K73="",AND(ISNUMBER(K73),K73&gt;=0))),"OK","Pendente: dimensões")))))))</x:f>
      </x:c>
      <x:c r="P73" s="5"/>
    </x:row>
    <x:row r="74" ht="23" customHeight="1">
      <x:c r="A74" s="6"/>
      <x:c r="B74" s="12"/>
      <x:c r="C74" s="5"/>
      <x:c r="D74" s="5"/>
      <x:c r="E74" s="5"/>
      <x:c r="F74" s="13"/>
      <x:c r="G74" s="13"/>
      <x:c r="H74" s="13"/>
      <x:c r="I74" s="13"/>
      <x:c r="J74" s="13"/>
      <x:c r="K74" s="13"/>
      <x:c r="L74" s="14" t="str">
        <x:f>IF(O74="OK",SUM(I74:K74),"")</x:f>
      </x:c>
      <x:c r="M74" s="14" t="str">
        <x:f>IF(O74="OK",0.006165375*G74^2,"")</x:f>
      </x:c>
      <x:c r="N74" s="14" t="str">
        <x:f>IF(O74="OK",H74*L74*M74,"")</x:f>
      </x:c>
      <x:c r="O74" s="2" t="str">
        <x:f>IF(COUNTA(A74:K74,P74)=0,"",IF(OR('Auto mensal'!$B$5="",'Auto mensal'!$D$5="",'Auto mensal'!$D$5&lt;'Auto mensal'!$B$5),"Pendente: período",IF(OR(A74="",NOT(ISNUMBER(A74))),"Pendente: data",IF(OR(A74&lt;'Auto mensal'!$B$5,A74&gt;'Auto mensal'!$D$5),"Fora do período",IF(OR(B74="",C74="",D74="",E74=""),"Pendente: identificação",IF(COUNTIFS('Auto mensal'!$A$13:$A$42,B74,'Auto mensal'!$C$13:$C$42,"Aço")&lt;&gt;1,"Pendente: artigo / material",IF(AND(F74&lt;&gt;"",ISNUMBER(G74),G74&gt;0,ISNUMBER(H74),H74&gt;0,H74=INT(H74),ISNUMBER(I74),I74&gt;0,OR(J74="",AND(ISNUMBER(J74),J74&gt;=0)),OR(K74="",AND(ISNUMBER(K74),K74&gt;=0))),"OK","Pendente: dimensões")))))))</x:f>
      </x:c>
      <x:c r="P74" s="5"/>
    </x:row>
    <x:row r="75" ht="23" customHeight="1">
      <x:c r="A75" s="6"/>
      <x:c r="B75" s="12"/>
      <x:c r="C75" s="5"/>
      <x:c r="D75" s="5"/>
      <x:c r="E75" s="5"/>
      <x:c r="F75" s="13"/>
      <x:c r="G75" s="13"/>
      <x:c r="H75" s="13"/>
      <x:c r="I75" s="13"/>
      <x:c r="J75" s="13"/>
      <x:c r="K75" s="13"/>
      <x:c r="L75" s="14" t="str">
        <x:f>IF(O75="OK",SUM(I75:K75),"")</x:f>
      </x:c>
      <x:c r="M75" s="14" t="str">
        <x:f>IF(O75="OK",0.006165375*G75^2,"")</x:f>
      </x:c>
      <x:c r="N75" s="14" t="str">
        <x:f>IF(O75="OK",H75*L75*M75,"")</x:f>
      </x:c>
      <x:c r="O75" s="2" t="str">
        <x:f>IF(COUNTA(A75:K75,P75)=0,"",IF(OR('Auto mensal'!$B$5="",'Auto mensal'!$D$5="",'Auto mensal'!$D$5&lt;'Auto mensal'!$B$5),"Pendente: período",IF(OR(A75="",NOT(ISNUMBER(A75))),"Pendente: data",IF(OR(A75&lt;'Auto mensal'!$B$5,A75&gt;'Auto mensal'!$D$5),"Fora do período",IF(OR(B75="",C75="",D75="",E75=""),"Pendente: identificação",IF(COUNTIFS('Auto mensal'!$A$13:$A$42,B75,'Auto mensal'!$C$13:$C$42,"Aço")&lt;&gt;1,"Pendente: artigo / material",IF(AND(F75&lt;&gt;"",ISNUMBER(G75),G75&gt;0,ISNUMBER(H75),H75&gt;0,H75=INT(H75),ISNUMBER(I75),I75&gt;0,OR(J75="",AND(ISNUMBER(J75),J75&gt;=0)),OR(K75="",AND(ISNUMBER(K75),K75&gt;=0))),"OK","Pendente: dimensões")))))))</x:f>
      </x:c>
      <x:c r="P75" s="5"/>
    </x:row>
    <x:row r="76" ht="23" customHeight="1">
      <x:c r="A76" s="6"/>
      <x:c r="B76" s="12"/>
      <x:c r="C76" s="5"/>
      <x:c r="D76" s="5"/>
      <x:c r="E76" s="5"/>
      <x:c r="F76" s="13"/>
      <x:c r="G76" s="13"/>
      <x:c r="H76" s="13"/>
      <x:c r="I76" s="13"/>
      <x:c r="J76" s="13"/>
      <x:c r="K76" s="13"/>
      <x:c r="L76" s="14" t="str">
        <x:f>IF(O76="OK",SUM(I76:K76),"")</x:f>
      </x:c>
      <x:c r="M76" s="14" t="str">
        <x:f>IF(O76="OK",0.006165375*G76^2,"")</x:f>
      </x:c>
      <x:c r="N76" s="14" t="str">
        <x:f>IF(O76="OK",H76*L76*M76,"")</x:f>
      </x:c>
      <x:c r="O76" s="2" t="str">
        <x:f>IF(COUNTA(A76:K76,P76)=0,"",IF(OR('Auto mensal'!$B$5="",'Auto mensal'!$D$5="",'Auto mensal'!$D$5&lt;'Auto mensal'!$B$5),"Pendente: período",IF(OR(A76="",NOT(ISNUMBER(A76))),"Pendente: data",IF(OR(A76&lt;'Auto mensal'!$B$5,A76&gt;'Auto mensal'!$D$5),"Fora do período",IF(OR(B76="",C76="",D76="",E76=""),"Pendente: identificação",IF(COUNTIFS('Auto mensal'!$A$13:$A$42,B76,'Auto mensal'!$C$13:$C$42,"Aço")&lt;&gt;1,"Pendente: artigo / material",IF(AND(F76&lt;&gt;"",ISNUMBER(G76),G76&gt;0,ISNUMBER(H76),H76&gt;0,H76=INT(H76),ISNUMBER(I76),I76&gt;0,OR(J76="",AND(ISNUMBER(J76),J76&gt;=0)),OR(K76="",AND(ISNUMBER(K76),K76&gt;=0))),"OK","Pendente: dimensões")))))))</x:f>
      </x:c>
      <x:c r="P76" s="5"/>
    </x:row>
    <x:row r="77" ht="23" customHeight="1">
      <x:c r="A77" s="6"/>
      <x:c r="B77" s="12"/>
      <x:c r="C77" s="5"/>
      <x:c r="D77" s="5"/>
      <x:c r="E77" s="5"/>
      <x:c r="F77" s="13"/>
      <x:c r="G77" s="13"/>
      <x:c r="H77" s="13"/>
      <x:c r="I77" s="13"/>
      <x:c r="J77" s="13"/>
      <x:c r="K77" s="13"/>
      <x:c r="L77" s="14" t="str">
        <x:f>IF(O77="OK",SUM(I77:K77),"")</x:f>
      </x:c>
      <x:c r="M77" s="14" t="str">
        <x:f>IF(O77="OK",0.006165375*G77^2,"")</x:f>
      </x:c>
      <x:c r="N77" s="14" t="str">
        <x:f>IF(O77="OK",H77*L77*M77,"")</x:f>
      </x:c>
      <x:c r="O77" s="2" t="str">
        <x:f>IF(COUNTA(A77:K77,P77)=0,"",IF(OR('Auto mensal'!$B$5="",'Auto mensal'!$D$5="",'Auto mensal'!$D$5&lt;'Auto mensal'!$B$5),"Pendente: período",IF(OR(A77="",NOT(ISNUMBER(A77))),"Pendente: data",IF(OR(A77&lt;'Auto mensal'!$B$5,A77&gt;'Auto mensal'!$D$5),"Fora do período",IF(OR(B77="",C77="",D77="",E77=""),"Pendente: identificação",IF(COUNTIFS('Auto mensal'!$A$13:$A$42,B77,'Auto mensal'!$C$13:$C$42,"Aço")&lt;&gt;1,"Pendente: artigo / material",IF(AND(F77&lt;&gt;"",ISNUMBER(G77),G77&gt;0,ISNUMBER(H77),H77&gt;0,H77=INT(H77),ISNUMBER(I77),I77&gt;0,OR(J77="",AND(ISNUMBER(J77),J77&gt;=0)),OR(K77="",AND(ISNUMBER(K77),K77&gt;=0))),"OK","Pendente: dimensões")))))))</x:f>
      </x:c>
      <x:c r="P77" s="5"/>
    </x:row>
    <x:row r="78" ht="23" customHeight="1">
      <x:c r="A78" s="6"/>
      <x:c r="B78" s="12"/>
      <x:c r="C78" s="5"/>
      <x:c r="D78" s="5"/>
      <x:c r="E78" s="5"/>
      <x:c r="F78" s="13"/>
      <x:c r="G78" s="13"/>
      <x:c r="H78" s="13"/>
      <x:c r="I78" s="13"/>
      <x:c r="J78" s="13"/>
      <x:c r="K78" s="13"/>
      <x:c r="L78" s="14" t="str">
        <x:f>IF(O78="OK",SUM(I78:K78),"")</x:f>
      </x:c>
      <x:c r="M78" s="14" t="str">
        <x:f>IF(O78="OK",0.006165375*G78^2,"")</x:f>
      </x:c>
      <x:c r="N78" s="14" t="str">
        <x:f>IF(O78="OK",H78*L78*M78,"")</x:f>
      </x:c>
      <x:c r="O78" s="2" t="str">
        <x:f>IF(COUNTA(A78:K78,P78)=0,"",IF(OR('Auto mensal'!$B$5="",'Auto mensal'!$D$5="",'Auto mensal'!$D$5&lt;'Auto mensal'!$B$5),"Pendente: período",IF(OR(A78="",NOT(ISNUMBER(A78))),"Pendente: data",IF(OR(A78&lt;'Auto mensal'!$B$5,A78&gt;'Auto mensal'!$D$5),"Fora do período",IF(OR(B78="",C78="",D78="",E78=""),"Pendente: identificação",IF(COUNTIFS('Auto mensal'!$A$13:$A$42,B78,'Auto mensal'!$C$13:$C$42,"Aço")&lt;&gt;1,"Pendente: artigo / material",IF(AND(F78&lt;&gt;"",ISNUMBER(G78),G78&gt;0,ISNUMBER(H78),H78&gt;0,H78=INT(H78),ISNUMBER(I78),I78&gt;0,OR(J78="",AND(ISNUMBER(J78),J78&gt;=0)),OR(K78="",AND(ISNUMBER(K78),K78&gt;=0))),"OK","Pendente: dimensões")))))))</x:f>
      </x:c>
      <x:c r="P78" s="5"/>
    </x:row>
    <x:row r="79" ht="23" customHeight="1">
      <x:c r="A79" s="6"/>
      <x:c r="B79" s="12"/>
      <x:c r="C79" s="5"/>
      <x:c r="D79" s="5"/>
      <x:c r="E79" s="5"/>
      <x:c r="F79" s="13"/>
      <x:c r="G79" s="13"/>
      <x:c r="H79" s="13"/>
      <x:c r="I79" s="13"/>
      <x:c r="J79" s="13"/>
      <x:c r="K79" s="13"/>
      <x:c r="L79" s="14" t="str">
        <x:f>IF(O79="OK",SUM(I79:K79),"")</x:f>
      </x:c>
      <x:c r="M79" s="14" t="str">
        <x:f>IF(O79="OK",0.006165375*G79^2,"")</x:f>
      </x:c>
      <x:c r="N79" s="14" t="str">
        <x:f>IF(O79="OK",H79*L79*M79,"")</x:f>
      </x:c>
      <x:c r="O79" s="2" t="str">
        <x:f>IF(COUNTA(A79:K79,P79)=0,"",IF(OR('Auto mensal'!$B$5="",'Auto mensal'!$D$5="",'Auto mensal'!$D$5&lt;'Auto mensal'!$B$5),"Pendente: período",IF(OR(A79="",NOT(ISNUMBER(A79))),"Pendente: data",IF(OR(A79&lt;'Auto mensal'!$B$5,A79&gt;'Auto mensal'!$D$5),"Fora do período",IF(OR(B79="",C79="",D79="",E79=""),"Pendente: identificação",IF(COUNTIFS('Auto mensal'!$A$13:$A$42,B79,'Auto mensal'!$C$13:$C$42,"Aço")&lt;&gt;1,"Pendente: artigo / material",IF(AND(F79&lt;&gt;"",ISNUMBER(G79),G79&gt;0,ISNUMBER(H79),H79&gt;0,H79=INT(H79),ISNUMBER(I79),I79&gt;0,OR(J79="",AND(ISNUMBER(J79),J79&gt;=0)),OR(K79="",AND(ISNUMBER(K79),K79&gt;=0))),"OK","Pendente: dimensões")))))))</x:f>
      </x:c>
      <x:c r="P79" s="5"/>
    </x:row>
    <x:row r="80" ht="23" customHeight="1">
      <x:c r="A80" s="6"/>
      <x:c r="B80" s="12"/>
      <x:c r="C80" s="5"/>
      <x:c r="D80" s="5"/>
      <x:c r="E80" s="5"/>
      <x:c r="F80" s="13"/>
      <x:c r="G80" s="13"/>
      <x:c r="H80" s="13"/>
      <x:c r="I80" s="13"/>
      <x:c r="J80" s="13"/>
      <x:c r="K80" s="13"/>
      <x:c r="L80" s="14" t="str">
        <x:f>IF(O80="OK",SUM(I80:K80),"")</x:f>
      </x:c>
      <x:c r="M80" s="14" t="str">
        <x:f>IF(O80="OK",0.006165375*G80^2,"")</x:f>
      </x:c>
      <x:c r="N80" s="14" t="str">
        <x:f>IF(O80="OK",H80*L80*M80,"")</x:f>
      </x:c>
      <x:c r="O80" s="2" t="str">
        <x:f>IF(COUNTA(A80:K80,P80)=0,"",IF(OR('Auto mensal'!$B$5="",'Auto mensal'!$D$5="",'Auto mensal'!$D$5&lt;'Auto mensal'!$B$5),"Pendente: período",IF(OR(A80="",NOT(ISNUMBER(A80))),"Pendente: data",IF(OR(A80&lt;'Auto mensal'!$B$5,A80&gt;'Auto mensal'!$D$5),"Fora do período",IF(OR(B80="",C80="",D80="",E80=""),"Pendente: identificação",IF(COUNTIFS('Auto mensal'!$A$13:$A$42,B80,'Auto mensal'!$C$13:$C$42,"Aço")&lt;&gt;1,"Pendente: artigo / material",IF(AND(F80&lt;&gt;"",ISNUMBER(G80),G80&gt;0,ISNUMBER(H80),H80&gt;0,H80=INT(H80),ISNUMBER(I80),I80&gt;0,OR(J80="",AND(ISNUMBER(J80),J80&gt;=0)),OR(K80="",AND(ISNUMBER(K80),K80&gt;=0))),"OK","Pendente: dimensões")))))))</x:f>
      </x:c>
      <x:c r="P80" s="5"/>
    </x:row>
    <x:row r="81" ht="23" customHeight="1">
      <x:c r="A81" s="6"/>
      <x:c r="B81" s="12"/>
      <x:c r="C81" s="5"/>
      <x:c r="D81" s="5"/>
      <x:c r="E81" s="5"/>
      <x:c r="F81" s="13"/>
      <x:c r="G81" s="13"/>
      <x:c r="H81" s="13"/>
      <x:c r="I81" s="13"/>
      <x:c r="J81" s="13"/>
      <x:c r="K81" s="13"/>
      <x:c r="L81" s="14" t="str">
        <x:f>IF(O81="OK",SUM(I81:K81),"")</x:f>
      </x:c>
      <x:c r="M81" s="14" t="str">
        <x:f>IF(O81="OK",0.006165375*G81^2,"")</x:f>
      </x:c>
      <x:c r="N81" s="14" t="str">
        <x:f>IF(O81="OK",H81*L81*M81,"")</x:f>
      </x:c>
      <x:c r="O81" s="2" t="str">
        <x:f>IF(COUNTA(A81:K81,P81)=0,"",IF(OR('Auto mensal'!$B$5="",'Auto mensal'!$D$5="",'Auto mensal'!$D$5&lt;'Auto mensal'!$B$5),"Pendente: período",IF(OR(A81="",NOT(ISNUMBER(A81))),"Pendente: data",IF(OR(A81&lt;'Auto mensal'!$B$5,A81&gt;'Auto mensal'!$D$5),"Fora do período",IF(OR(B81="",C81="",D81="",E81=""),"Pendente: identificação",IF(COUNTIFS('Auto mensal'!$A$13:$A$42,B81,'Auto mensal'!$C$13:$C$42,"Aço")&lt;&gt;1,"Pendente: artigo / material",IF(AND(F81&lt;&gt;"",ISNUMBER(G81),G81&gt;0,ISNUMBER(H81),H81&gt;0,H81=INT(H81),ISNUMBER(I81),I81&gt;0,OR(J81="",AND(ISNUMBER(J81),J81&gt;=0)),OR(K81="",AND(ISNUMBER(K81),K81&gt;=0))),"OK","Pendente: dimensões")))))))</x:f>
      </x:c>
      <x:c r="P81" s="5"/>
    </x:row>
    <x:row r="82" ht="23" customHeight="1">
      <x:c r="A82" s="6"/>
      <x:c r="B82" s="12"/>
      <x:c r="C82" s="5"/>
      <x:c r="D82" s="5"/>
      <x:c r="E82" s="5"/>
      <x:c r="F82" s="13"/>
      <x:c r="G82" s="13"/>
      <x:c r="H82" s="13"/>
      <x:c r="I82" s="13"/>
      <x:c r="J82" s="13"/>
      <x:c r="K82" s="13"/>
      <x:c r="L82" s="14" t="str">
        <x:f>IF(O82="OK",SUM(I82:K82),"")</x:f>
      </x:c>
      <x:c r="M82" s="14" t="str">
        <x:f>IF(O82="OK",0.006165375*G82^2,"")</x:f>
      </x:c>
      <x:c r="N82" s="14" t="str">
        <x:f>IF(O82="OK",H82*L82*M82,"")</x:f>
      </x:c>
      <x:c r="O82" s="2" t="str">
        <x:f>IF(COUNTA(A82:K82,P82)=0,"",IF(OR('Auto mensal'!$B$5="",'Auto mensal'!$D$5="",'Auto mensal'!$D$5&lt;'Auto mensal'!$B$5),"Pendente: período",IF(OR(A82="",NOT(ISNUMBER(A82))),"Pendente: data",IF(OR(A82&lt;'Auto mensal'!$B$5,A82&gt;'Auto mensal'!$D$5),"Fora do período",IF(OR(B82="",C82="",D82="",E82=""),"Pendente: identificação",IF(COUNTIFS('Auto mensal'!$A$13:$A$42,B82,'Auto mensal'!$C$13:$C$42,"Aço")&lt;&gt;1,"Pendente: artigo / material",IF(AND(F82&lt;&gt;"",ISNUMBER(G82),G82&gt;0,ISNUMBER(H82),H82&gt;0,H82=INT(H82),ISNUMBER(I82),I82&gt;0,OR(J82="",AND(ISNUMBER(J82),J82&gt;=0)),OR(K82="",AND(ISNUMBER(K82),K82&gt;=0))),"OK","Pendente: dimensões")))))))</x:f>
      </x:c>
      <x:c r="P82" s="5"/>
    </x:row>
    <x:row r="83" ht="23" customHeight="1">
      <x:c r="A83" s="6"/>
      <x:c r="B83" s="12"/>
      <x:c r="C83" s="5"/>
      <x:c r="D83" s="5"/>
      <x:c r="E83" s="5"/>
      <x:c r="F83" s="13"/>
      <x:c r="G83" s="13"/>
      <x:c r="H83" s="13"/>
      <x:c r="I83" s="13"/>
      <x:c r="J83" s="13"/>
      <x:c r="K83" s="13"/>
      <x:c r="L83" s="14" t="str">
        <x:f>IF(O83="OK",SUM(I83:K83),"")</x:f>
      </x:c>
      <x:c r="M83" s="14" t="str">
        <x:f>IF(O83="OK",0.006165375*G83^2,"")</x:f>
      </x:c>
      <x:c r="N83" s="14" t="str">
        <x:f>IF(O83="OK",H83*L83*M83,"")</x:f>
      </x:c>
      <x:c r="O83" s="2" t="str">
        <x:f>IF(COUNTA(A83:K83,P83)=0,"",IF(OR('Auto mensal'!$B$5="",'Auto mensal'!$D$5="",'Auto mensal'!$D$5&lt;'Auto mensal'!$B$5),"Pendente: período",IF(OR(A83="",NOT(ISNUMBER(A83))),"Pendente: data",IF(OR(A83&lt;'Auto mensal'!$B$5,A83&gt;'Auto mensal'!$D$5),"Fora do período",IF(OR(B83="",C83="",D83="",E83=""),"Pendente: identificação",IF(COUNTIFS('Auto mensal'!$A$13:$A$42,B83,'Auto mensal'!$C$13:$C$42,"Aço")&lt;&gt;1,"Pendente: artigo / material",IF(AND(F83&lt;&gt;"",ISNUMBER(G83),G83&gt;0,ISNUMBER(H83),H83&gt;0,H83=INT(H83),ISNUMBER(I83),I83&gt;0,OR(J83="",AND(ISNUMBER(J83),J83&gt;=0)),OR(K83="",AND(ISNUMBER(K83),K83&gt;=0))),"OK","Pendente: dimensões")))))))</x:f>
      </x:c>
      <x:c r="P83" s="5"/>
    </x:row>
    <x:row r="84" ht="23" customHeight="1">
      <x:c r="A84" s="6"/>
      <x:c r="B84" s="12"/>
      <x:c r="C84" s="5"/>
      <x:c r="D84" s="5"/>
      <x:c r="E84" s="5"/>
      <x:c r="F84" s="13"/>
      <x:c r="G84" s="13"/>
      <x:c r="H84" s="13"/>
      <x:c r="I84" s="13"/>
      <x:c r="J84" s="13"/>
      <x:c r="K84" s="13"/>
      <x:c r="L84" s="14" t="str">
        <x:f>IF(O84="OK",SUM(I84:K84),"")</x:f>
      </x:c>
      <x:c r="M84" s="14" t="str">
        <x:f>IF(O84="OK",0.006165375*G84^2,"")</x:f>
      </x:c>
      <x:c r="N84" s="14" t="str">
        <x:f>IF(O84="OK",H84*L84*M84,"")</x:f>
      </x:c>
      <x:c r="O84" s="2" t="str">
        <x:f>IF(COUNTA(A84:K84,P84)=0,"",IF(OR('Auto mensal'!$B$5="",'Auto mensal'!$D$5="",'Auto mensal'!$D$5&lt;'Auto mensal'!$B$5),"Pendente: período",IF(OR(A84="",NOT(ISNUMBER(A84))),"Pendente: data",IF(OR(A84&lt;'Auto mensal'!$B$5,A84&gt;'Auto mensal'!$D$5),"Fora do período",IF(OR(B84="",C84="",D84="",E84=""),"Pendente: identificação",IF(COUNTIFS('Auto mensal'!$A$13:$A$42,B84,'Auto mensal'!$C$13:$C$42,"Aço")&lt;&gt;1,"Pendente: artigo / material",IF(AND(F84&lt;&gt;"",ISNUMBER(G84),G84&gt;0,ISNUMBER(H84),H84&gt;0,H84=INT(H84),ISNUMBER(I84),I84&gt;0,OR(J84="",AND(ISNUMBER(J84),J84&gt;=0)),OR(K84="",AND(ISNUMBER(K84),K84&gt;=0))),"OK","Pendente: dimensões")))))))</x:f>
      </x:c>
      <x:c r="P84" s="5"/>
    </x:row>
    <x:row r="85" ht="23" customHeight="1">
      <x:c r="A85" s="6"/>
      <x:c r="B85" s="12"/>
      <x:c r="C85" s="5"/>
      <x:c r="D85" s="5"/>
      <x:c r="E85" s="5"/>
      <x:c r="F85" s="13"/>
      <x:c r="G85" s="13"/>
      <x:c r="H85" s="13"/>
      <x:c r="I85" s="13"/>
      <x:c r="J85" s="13"/>
      <x:c r="K85" s="13"/>
      <x:c r="L85" s="14" t="str">
        <x:f>IF(O85="OK",SUM(I85:K85),"")</x:f>
      </x:c>
      <x:c r="M85" s="14" t="str">
        <x:f>IF(O85="OK",0.006165375*G85^2,"")</x:f>
      </x:c>
      <x:c r="N85" s="14" t="str">
        <x:f>IF(O85="OK",H85*L85*M85,"")</x:f>
      </x:c>
      <x:c r="O85" s="2" t="str">
        <x:f>IF(COUNTA(A85:K85,P85)=0,"",IF(OR('Auto mensal'!$B$5="",'Auto mensal'!$D$5="",'Auto mensal'!$D$5&lt;'Auto mensal'!$B$5),"Pendente: período",IF(OR(A85="",NOT(ISNUMBER(A85))),"Pendente: data",IF(OR(A85&lt;'Auto mensal'!$B$5,A85&gt;'Auto mensal'!$D$5),"Fora do período",IF(OR(B85="",C85="",D85="",E85=""),"Pendente: identificação",IF(COUNTIFS('Auto mensal'!$A$13:$A$42,B85,'Auto mensal'!$C$13:$C$42,"Aço")&lt;&gt;1,"Pendente: artigo / material",IF(AND(F85&lt;&gt;"",ISNUMBER(G85),G85&gt;0,ISNUMBER(H85),H85&gt;0,H85=INT(H85),ISNUMBER(I85),I85&gt;0,OR(J85="",AND(ISNUMBER(J85),J85&gt;=0)),OR(K85="",AND(ISNUMBER(K85),K85&gt;=0))),"OK","Pendente: dimensões")))))))</x:f>
      </x:c>
      <x:c r="P85" s="5"/>
    </x:row>
    <x:row r="86" ht="23" customHeight="1">
      <x:c r="A86" s="6"/>
      <x:c r="B86" s="12"/>
      <x:c r="C86" s="5"/>
      <x:c r="D86" s="5"/>
      <x:c r="E86" s="5"/>
      <x:c r="F86" s="13"/>
      <x:c r="G86" s="13"/>
      <x:c r="H86" s="13"/>
      <x:c r="I86" s="13"/>
      <x:c r="J86" s="13"/>
      <x:c r="K86" s="13"/>
      <x:c r="L86" s="14" t="str">
        <x:f>IF(O86="OK",SUM(I86:K86),"")</x:f>
      </x:c>
      <x:c r="M86" s="14" t="str">
        <x:f>IF(O86="OK",0.006165375*G86^2,"")</x:f>
      </x:c>
      <x:c r="N86" s="14" t="str">
        <x:f>IF(O86="OK",H86*L86*M86,"")</x:f>
      </x:c>
      <x:c r="O86" s="2" t="str">
        <x:f>IF(COUNTA(A86:K86,P86)=0,"",IF(OR('Auto mensal'!$B$5="",'Auto mensal'!$D$5="",'Auto mensal'!$D$5&lt;'Auto mensal'!$B$5),"Pendente: período",IF(OR(A86="",NOT(ISNUMBER(A86))),"Pendente: data",IF(OR(A86&lt;'Auto mensal'!$B$5,A86&gt;'Auto mensal'!$D$5),"Fora do período",IF(OR(B86="",C86="",D86="",E86=""),"Pendente: identificação",IF(COUNTIFS('Auto mensal'!$A$13:$A$42,B86,'Auto mensal'!$C$13:$C$42,"Aço")&lt;&gt;1,"Pendente: artigo / material",IF(AND(F86&lt;&gt;"",ISNUMBER(G86),G86&gt;0,ISNUMBER(H86),H86&gt;0,H86=INT(H86),ISNUMBER(I86),I86&gt;0,OR(J86="",AND(ISNUMBER(J86),J86&gt;=0)),OR(K86="",AND(ISNUMBER(K86),K86&gt;=0))),"OK","Pendente: dimensões")))))))</x:f>
      </x:c>
      <x:c r="P86" s="5"/>
    </x:row>
    <x:row r="87" ht="23" customHeight="1">
      <x:c r="A87" s="6"/>
      <x:c r="B87" s="12"/>
      <x:c r="C87" s="5"/>
      <x:c r="D87" s="5"/>
      <x:c r="E87" s="5"/>
      <x:c r="F87" s="13"/>
      <x:c r="G87" s="13"/>
      <x:c r="H87" s="13"/>
      <x:c r="I87" s="13"/>
      <x:c r="J87" s="13"/>
      <x:c r="K87" s="13"/>
      <x:c r="L87" s="14" t="str">
        <x:f>IF(O87="OK",SUM(I87:K87),"")</x:f>
      </x:c>
      <x:c r="M87" s="14" t="str">
        <x:f>IF(O87="OK",0.006165375*G87^2,"")</x:f>
      </x:c>
      <x:c r="N87" s="14" t="str">
        <x:f>IF(O87="OK",H87*L87*M87,"")</x:f>
      </x:c>
      <x:c r="O87" s="2" t="str">
        <x:f>IF(COUNTA(A87:K87,P87)=0,"",IF(OR('Auto mensal'!$B$5="",'Auto mensal'!$D$5="",'Auto mensal'!$D$5&lt;'Auto mensal'!$B$5),"Pendente: período",IF(OR(A87="",NOT(ISNUMBER(A87))),"Pendente: data",IF(OR(A87&lt;'Auto mensal'!$B$5,A87&gt;'Auto mensal'!$D$5),"Fora do período",IF(OR(B87="",C87="",D87="",E87=""),"Pendente: identificação",IF(COUNTIFS('Auto mensal'!$A$13:$A$42,B87,'Auto mensal'!$C$13:$C$42,"Aço")&lt;&gt;1,"Pendente: artigo / material",IF(AND(F87&lt;&gt;"",ISNUMBER(G87),G87&gt;0,ISNUMBER(H87),H87&gt;0,H87=INT(H87),ISNUMBER(I87),I87&gt;0,OR(J87="",AND(ISNUMBER(J87),J87&gt;=0)),OR(K87="",AND(ISNUMBER(K87),K87&gt;=0))),"OK","Pendente: dimensões")))))))</x:f>
      </x:c>
      <x:c r="P87" s="5"/>
    </x:row>
    <x:row r="88" ht="23" customHeight="1">
      <x:c r="A88" s="6"/>
      <x:c r="B88" s="12"/>
      <x:c r="C88" s="5"/>
      <x:c r="D88" s="5"/>
      <x:c r="E88" s="5"/>
      <x:c r="F88" s="13"/>
      <x:c r="G88" s="13"/>
      <x:c r="H88" s="13"/>
      <x:c r="I88" s="13"/>
      <x:c r="J88" s="13"/>
      <x:c r="K88" s="13"/>
      <x:c r="L88" s="14" t="str">
        <x:f>IF(O88="OK",SUM(I88:K88),"")</x:f>
      </x:c>
      <x:c r="M88" s="14" t="str">
        <x:f>IF(O88="OK",0.006165375*G88^2,"")</x:f>
      </x:c>
      <x:c r="N88" s="14" t="str">
        <x:f>IF(O88="OK",H88*L88*M88,"")</x:f>
      </x:c>
      <x:c r="O88" s="2" t="str">
        <x:f>IF(COUNTA(A88:K88,P88)=0,"",IF(OR('Auto mensal'!$B$5="",'Auto mensal'!$D$5="",'Auto mensal'!$D$5&lt;'Auto mensal'!$B$5),"Pendente: período",IF(OR(A88="",NOT(ISNUMBER(A88))),"Pendente: data",IF(OR(A88&lt;'Auto mensal'!$B$5,A88&gt;'Auto mensal'!$D$5),"Fora do período",IF(OR(B88="",C88="",D88="",E88=""),"Pendente: identificação",IF(COUNTIFS('Auto mensal'!$A$13:$A$42,B88,'Auto mensal'!$C$13:$C$42,"Aço")&lt;&gt;1,"Pendente: artigo / material",IF(AND(F88&lt;&gt;"",ISNUMBER(G88),G88&gt;0,ISNUMBER(H88),H88&gt;0,H88=INT(H88),ISNUMBER(I88),I88&gt;0,OR(J88="",AND(ISNUMBER(J88),J88&gt;=0)),OR(K88="",AND(ISNUMBER(K88),K88&gt;=0))),"OK","Pendente: dimensões")))))))</x:f>
      </x:c>
      <x:c r="P88" s="5"/>
    </x:row>
    <x:row r="89" ht="23" customHeight="1">
      <x:c r="A89" s="6"/>
      <x:c r="B89" s="12"/>
      <x:c r="C89" s="5"/>
      <x:c r="D89" s="5"/>
      <x:c r="E89" s="5"/>
      <x:c r="F89" s="13"/>
      <x:c r="G89" s="13"/>
      <x:c r="H89" s="13"/>
      <x:c r="I89" s="13"/>
      <x:c r="J89" s="13"/>
      <x:c r="K89" s="13"/>
      <x:c r="L89" s="14" t="str">
        <x:f>IF(O89="OK",SUM(I89:K89),"")</x:f>
      </x:c>
      <x:c r="M89" s="14" t="str">
        <x:f>IF(O89="OK",0.006165375*G89^2,"")</x:f>
      </x:c>
      <x:c r="N89" s="14" t="str">
        <x:f>IF(O89="OK",H89*L89*M89,"")</x:f>
      </x:c>
      <x:c r="O89" s="2" t="str">
        <x:f>IF(COUNTA(A89:K89,P89)=0,"",IF(OR('Auto mensal'!$B$5="",'Auto mensal'!$D$5="",'Auto mensal'!$D$5&lt;'Auto mensal'!$B$5),"Pendente: período",IF(OR(A89="",NOT(ISNUMBER(A89))),"Pendente: data",IF(OR(A89&lt;'Auto mensal'!$B$5,A89&gt;'Auto mensal'!$D$5),"Fora do período",IF(OR(B89="",C89="",D89="",E89=""),"Pendente: identificação",IF(COUNTIFS('Auto mensal'!$A$13:$A$42,B89,'Auto mensal'!$C$13:$C$42,"Aço")&lt;&gt;1,"Pendente: artigo / material",IF(AND(F89&lt;&gt;"",ISNUMBER(G89),G89&gt;0,ISNUMBER(H89),H89&gt;0,H89=INT(H89),ISNUMBER(I89),I89&gt;0,OR(J89="",AND(ISNUMBER(J89),J89&gt;=0)),OR(K89="",AND(ISNUMBER(K89),K89&gt;=0))),"OK","Pendente: dimensões")))))))</x:f>
      </x:c>
      <x:c r="P89" s="5"/>
    </x:row>
    <x:row r="90" ht="23" customHeight="1">
      <x:c r="A90" s="6"/>
      <x:c r="B90" s="12"/>
      <x:c r="C90" s="5"/>
      <x:c r="D90" s="5"/>
      <x:c r="E90" s="5"/>
      <x:c r="F90" s="13"/>
      <x:c r="G90" s="13"/>
      <x:c r="H90" s="13"/>
      <x:c r="I90" s="13"/>
      <x:c r="J90" s="13"/>
      <x:c r="K90" s="13"/>
      <x:c r="L90" s="14" t="str">
        <x:f>IF(O90="OK",SUM(I90:K90),"")</x:f>
      </x:c>
      <x:c r="M90" s="14" t="str">
        <x:f>IF(O90="OK",0.006165375*G90^2,"")</x:f>
      </x:c>
      <x:c r="N90" s="14" t="str">
        <x:f>IF(O90="OK",H90*L90*M90,"")</x:f>
      </x:c>
      <x:c r="O90" s="2" t="str">
        <x:f>IF(COUNTA(A90:K90,P90)=0,"",IF(OR('Auto mensal'!$B$5="",'Auto mensal'!$D$5="",'Auto mensal'!$D$5&lt;'Auto mensal'!$B$5),"Pendente: período",IF(OR(A90="",NOT(ISNUMBER(A90))),"Pendente: data",IF(OR(A90&lt;'Auto mensal'!$B$5,A90&gt;'Auto mensal'!$D$5),"Fora do período",IF(OR(B90="",C90="",D90="",E90=""),"Pendente: identificação",IF(COUNTIFS('Auto mensal'!$A$13:$A$42,B90,'Auto mensal'!$C$13:$C$42,"Aço")&lt;&gt;1,"Pendente: artigo / material",IF(AND(F90&lt;&gt;"",ISNUMBER(G90),G90&gt;0,ISNUMBER(H90),H90&gt;0,H90=INT(H90),ISNUMBER(I90),I90&gt;0,OR(J90="",AND(ISNUMBER(J90),J90&gt;=0)),OR(K90="",AND(ISNUMBER(K90),K90&gt;=0))),"OK","Pendente: dimensões")))))))</x:f>
      </x:c>
      <x:c r="P90" s="5"/>
    </x:row>
    <x:row r="91" ht="23" customHeight="1">
      <x:c r="A91" s="6"/>
      <x:c r="B91" s="12"/>
      <x:c r="C91" s="5"/>
      <x:c r="D91" s="5"/>
      <x:c r="E91" s="5"/>
      <x:c r="F91" s="13"/>
      <x:c r="G91" s="13"/>
      <x:c r="H91" s="13"/>
      <x:c r="I91" s="13"/>
      <x:c r="J91" s="13"/>
      <x:c r="K91" s="13"/>
      <x:c r="L91" s="14" t="str">
        <x:f>IF(O91="OK",SUM(I91:K91),"")</x:f>
      </x:c>
      <x:c r="M91" s="14" t="str">
        <x:f>IF(O91="OK",0.006165375*G91^2,"")</x:f>
      </x:c>
      <x:c r="N91" s="14" t="str">
        <x:f>IF(O91="OK",H91*L91*M91,"")</x:f>
      </x:c>
      <x:c r="O91" s="2" t="str">
        <x:f>IF(COUNTA(A91:K91,P91)=0,"",IF(OR('Auto mensal'!$B$5="",'Auto mensal'!$D$5="",'Auto mensal'!$D$5&lt;'Auto mensal'!$B$5),"Pendente: período",IF(OR(A91="",NOT(ISNUMBER(A91))),"Pendente: data",IF(OR(A91&lt;'Auto mensal'!$B$5,A91&gt;'Auto mensal'!$D$5),"Fora do período",IF(OR(B91="",C91="",D91="",E91=""),"Pendente: identificação",IF(COUNTIFS('Auto mensal'!$A$13:$A$42,B91,'Auto mensal'!$C$13:$C$42,"Aço")&lt;&gt;1,"Pendente: artigo / material",IF(AND(F91&lt;&gt;"",ISNUMBER(G91),G91&gt;0,ISNUMBER(H91),H91&gt;0,H91=INT(H91),ISNUMBER(I91),I91&gt;0,OR(J91="",AND(ISNUMBER(J91),J91&gt;=0)),OR(K91="",AND(ISNUMBER(K91),K91&gt;=0))),"OK","Pendente: dimensões")))))))</x:f>
      </x:c>
      <x:c r="P91" s="5"/>
    </x:row>
    <x:row r="92" ht="23" customHeight="1">
      <x:c r="A92" s="6"/>
      <x:c r="B92" s="12"/>
      <x:c r="C92" s="5"/>
      <x:c r="D92" s="5"/>
      <x:c r="E92" s="5"/>
      <x:c r="F92" s="13"/>
      <x:c r="G92" s="13"/>
      <x:c r="H92" s="13"/>
      <x:c r="I92" s="13"/>
      <x:c r="J92" s="13"/>
      <x:c r="K92" s="13"/>
      <x:c r="L92" s="14" t="str">
        <x:f>IF(O92="OK",SUM(I92:K92),"")</x:f>
      </x:c>
      <x:c r="M92" s="14" t="str">
        <x:f>IF(O92="OK",0.006165375*G92^2,"")</x:f>
      </x:c>
      <x:c r="N92" s="14" t="str">
        <x:f>IF(O92="OK",H92*L92*M92,"")</x:f>
      </x:c>
      <x:c r="O92" s="2" t="str">
        <x:f>IF(COUNTA(A92:K92,P92)=0,"",IF(OR('Auto mensal'!$B$5="",'Auto mensal'!$D$5="",'Auto mensal'!$D$5&lt;'Auto mensal'!$B$5),"Pendente: período",IF(OR(A92="",NOT(ISNUMBER(A92))),"Pendente: data",IF(OR(A92&lt;'Auto mensal'!$B$5,A92&gt;'Auto mensal'!$D$5),"Fora do período",IF(OR(B92="",C92="",D92="",E92=""),"Pendente: identificação",IF(COUNTIFS('Auto mensal'!$A$13:$A$42,B92,'Auto mensal'!$C$13:$C$42,"Aço")&lt;&gt;1,"Pendente: artigo / material",IF(AND(F92&lt;&gt;"",ISNUMBER(G92),G92&gt;0,ISNUMBER(H92),H92&gt;0,H92=INT(H92),ISNUMBER(I92),I92&gt;0,OR(J92="",AND(ISNUMBER(J92),J92&gt;=0)),OR(K92="",AND(ISNUMBER(K92),K92&gt;=0))),"OK","Pendente: dimensões")))))))</x:f>
      </x:c>
      <x:c r="P92" s="5"/>
    </x:row>
    <x:row r="93" ht="23" customHeight="1">
      <x:c r="A93" s="6"/>
      <x:c r="B93" s="12"/>
      <x:c r="C93" s="5"/>
      <x:c r="D93" s="5"/>
      <x:c r="E93" s="5"/>
      <x:c r="F93" s="13"/>
      <x:c r="G93" s="13"/>
      <x:c r="H93" s="13"/>
      <x:c r="I93" s="13"/>
      <x:c r="J93" s="13"/>
      <x:c r="K93" s="13"/>
      <x:c r="L93" s="14" t="str">
        <x:f>IF(O93="OK",SUM(I93:K93),"")</x:f>
      </x:c>
      <x:c r="M93" s="14" t="str">
        <x:f>IF(O93="OK",0.006165375*G93^2,"")</x:f>
      </x:c>
      <x:c r="N93" s="14" t="str">
        <x:f>IF(O93="OK",H93*L93*M93,"")</x:f>
      </x:c>
      <x:c r="O93" s="2" t="str">
        <x:f>IF(COUNTA(A93:K93,P93)=0,"",IF(OR('Auto mensal'!$B$5="",'Auto mensal'!$D$5="",'Auto mensal'!$D$5&lt;'Auto mensal'!$B$5),"Pendente: período",IF(OR(A93="",NOT(ISNUMBER(A93))),"Pendente: data",IF(OR(A93&lt;'Auto mensal'!$B$5,A93&gt;'Auto mensal'!$D$5),"Fora do período",IF(OR(B93="",C93="",D93="",E93=""),"Pendente: identificação",IF(COUNTIFS('Auto mensal'!$A$13:$A$42,B93,'Auto mensal'!$C$13:$C$42,"Aço")&lt;&gt;1,"Pendente: artigo / material",IF(AND(F93&lt;&gt;"",ISNUMBER(G93),G93&gt;0,ISNUMBER(H93),H93&gt;0,H93=INT(H93),ISNUMBER(I93),I93&gt;0,OR(J93="",AND(ISNUMBER(J93),J93&gt;=0)),OR(K93="",AND(ISNUMBER(K93),K93&gt;=0))),"OK","Pendente: dimensões")))))))</x:f>
      </x:c>
      <x:c r="P93" s="5"/>
    </x:row>
    <x:row r="94" ht="23" customHeight="1">
      <x:c r="A94" s="6"/>
      <x:c r="B94" s="12"/>
      <x:c r="C94" s="5"/>
      <x:c r="D94" s="5"/>
      <x:c r="E94" s="5"/>
      <x:c r="F94" s="13"/>
      <x:c r="G94" s="13"/>
      <x:c r="H94" s="13"/>
      <x:c r="I94" s="13"/>
      <x:c r="J94" s="13"/>
      <x:c r="K94" s="13"/>
      <x:c r="L94" s="14" t="str">
        <x:f>IF(O94="OK",SUM(I94:K94),"")</x:f>
      </x:c>
      <x:c r="M94" s="14" t="str">
        <x:f>IF(O94="OK",0.006165375*G94^2,"")</x:f>
      </x:c>
      <x:c r="N94" s="14" t="str">
        <x:f>IF(O94="OK",H94*L94*M94,"")</x:f>
      </x:c>
      <x:c r="O94" s="2" t="str">
        <x:f>IF(COUNTA(A94:K94,P94)=0,"",IF(OR('Auto mensal'!$B$5="",'Auto mensal'!$D$5="",'Auto mensal'!$D$5&lt;'Auto mensal'!$B$5),"Pendente: período",IF(OR(A94="",NOT(ISNUMBER(A94))),"Pendente: data",IF(OR(A94&lt;'Auto mensal'!$B$5,A94&gt;'Auto mensal'!$D$5),"Fora do período",IF(OR(B94="",C94="",D94="",E94=""),"Pendente: identificação",IF(COUNTIFS('Auto mensal'!$A$13:$A$42,B94,'Auto mensal'!$C$13:$C$42,"Aço")&lt;&gt;1,"Pendente: artigo / material",IF(AND(F94&lt;&gt;"",ISNUMBER(G94),G94&gt;0,ISNUMBER(H94),H94&gt;0,H94=INT(H94),ISNUMBER(I94),I94&gt;0,OR(J94="",AND(ISNUMBER(J94),J94&gt;=0)),OR(K94="",AND(ISNUMBER(K94),K94&gt;=0))),"OK","Pendente: dimensões")))))))</x:f>
      </x:c>
      <x:c r="P94" s="5"/>
    </x:row>
    <x:row r="95" ht="23" customHeight="1">
      <x:c r="A95" s="6"/>
      <x:c r="B95" s="12"/>
      <x:c r="C95" s="5"/>
      <x:c r="D95" s="5"/>
      <x:c r="E95" s="5"/>
      <x:c r="F95" s="13"/>
      <x:c r="G95" s="13"/>
      <x:c r="H95" s="13"/>
      <x:c r="I95" s="13"/>
      <x:c r="J95" s="13"/>
      <x:c r="K95" s="13"/>
      <x:c r="L95" s="14" t="str">
        <x:f>IF(O95="OK",SUM(I95:K95),"")</x:f>
      </x:c>
      <x:c r="M95" s="14" t="str">
        <x:f>IF(O95="OK",0.006165375*G95^2,"")</x:f>
      </x:c>
      <x:c r="N95" s="14" t="str">
        <x:f>IF(O95="OK",H95*L95*M95,"")</x:f>
      </x:c>
      <x:c r="O95" s="2" t="str">
        <x:f>IF(COUNTA(A95:K95,P95)=0,"",IF(OR('Auto mensal'!$B$5="",'Auto mensal'!$D$5="",'Auto mensal'!$D$5&lt;'Auto mensal'!$B$5),"Pendente: período",IF(OR(A95="",NOT(ISNUMBER(A95))),"Pendente: data",IF(OR(A95&lt;'Auto mensal'!$B$5,A95&gt;'Auto mensal'!$D$5),"Fora do período",IF(OR(B95="",C95="",D95="",E95=""),"Pendente: identificação",IF(COUNTIFS('Auto mensal'!$A$13:$A$42,B95,'Auto mensal'!$C$13:$C$42,"Aço")&lt;&gt;1,"Pendente: artigo / material",IF(AND(F95&lt;&gt;"",ISNUMBER(G95),G95&gt;0,ISNUMBER(H95),H95&gt;0,H95=INT(H95),ISNUMBER(I95),I95&gt;0,OR(J95="",AND(ISNUMBER(J95),J95&gt;=0)),OR(K95="",AND(ISNUMBER(K95),K95&gt;=0))),"OK","Pendente: dimensões")))))))</x:f>
      </x:c>
      <x:c r="P95" s="5"/>
    </x:row>
    <x:row r="96" ht="23" customHeight="1">
      <x:c r="A96" s="6"/>
      <x:c r="B96" s="12"/>
      <x:c r="C96" s="5"/>
      <x:c r="D96" s="5"/>
      <x:c r="E96" s="5"/>
      <x:c r="F96" s="13"/>
      <x:c r="G96" s="13"/>
      <x:c r="H96" s="13"/>
      <x:c r="I96" s="13"/>
      <x:c r="J96" s="13"/>
      <x:c r="K96" s="13"/>
      <x:c r="L96" s="14" t="str">
        <x:f>IF(O96="OK",SUM(I96:K96),"")</x:f>
      </x:c>
      <x:c r="M96" s="14" t="str">
        <x:f>IF(O96="OK",0.006165375*G96^2,"")</x:f>
      </x:c>
      <x:c r="N96" s="14" t="str">
        <x:f>IF(O96="OK",H96*L96*M96,"")</x:f>
      </x:c>
      <x:c r="O96" s="2" t="str">
        <x:f>IF(COUNTA(A96:K96,P96)=0,"",IF(OR('Auto mensal'!$B$5="",'Auto mensal'!$D$5="",'Auto mensal'!$D$5&lt;'Auto mensal'!$B$5),"Pendente: período",IF(OR(A96="",NOT(ISNUMBER(A96))),"Pendente: data",IF(OR(A96&lt;'Auto mensal'!$B$5,A96&gt;'Auto mensal'!$D$5),"Fora do período",IF(OR(B96="",C96="",D96="",E96=""),"Pendente: identificação",IF(COUNTIFS('Auto mensal'!$A$13:$A$42,B96,'Auto mensal'!$C$13:$C$42,"Aço")&lt;&gt;1,"Pendente: artigo / material",IF(AND(F96&lt;&gt;"",ISNUMBER(G96),G96&gt;0,ISNUMBER(H96),H96&gt;0,H96=INT(H96),ISNUMBER(I96),I96&gt;0,OR(J96="",AND(ISNUMBER(J96),J96&gt;=0)),OR(K96="",AND(ISNUMBER(K96),K96&gt;=0))),"OK","Pendente: dimensões")))))))</x:f>
      </x:c>
      <x:c r="P96" s="5"/>
    </x:row>
    <x:row r="97" ht="23" customHeight="1">
      <x:c r="A97" s="6"/>
      <x:c r="B97" s="12"/>
      <x:c r="C97" s="5"/>
      <x:c r="D97" s="5"/>
      <x:c r="E97" s="5"/>
      <x:c r="F97" s="13"/>
      <x:c r="G97" s="13"/>
      <x:c r="H97" s="13"/>
      <x:c r="I97" s="13"/>
      <x:c r="J97" s="13"/>
      <x:c r="K97" s="13"/>
      <x:c r="L97" s="14" t="str">
        <x:f>IF(O97="OK",SUM(I97:K97),"")</x:f>
      </x:c>
      <x:c r="M97" s="14" t="str">
        <x:f>IF(O97="OK",0.006165375*G97^2,"")</x:f>
      </x:c>
      <x:c r="N97" s="14" t="str">
        <x:f>IF(O97="OK",H97*L97*M97,"")</x:f>
      </x:c>
      <x:c r="O97" s="2" t="str">
        <x:f>IF(COUNTA(A97:K97,P97)=0,"",IF(OR('Auto mensal'!$B$5="",'Auto mensal'!$D$5="",'Auto mensal'!$D$5&lt;'Auto mensal'!$B$5),"Pendente: período",IF(OR(A97="",NOT(ISNUMBER(A97))),"Pendente: data",IF(OR(A97&lt;'Auto mensal'!$B$5,A97&gt;'Auto mensal'!$D$5),"Fora do período",IF(OR(B97="",C97="",D97="",E97=""),"Pendente: identificação",IF(COUNTIFS('Auto mensal'!$A$13:$A$42,B97,'Auto mensal'!$C$13:$C$42,"Aço")&lt;&gt;1,"Pendente: artigo / material",IF(AND(F97&lt;&gt;"",ISNUMBER(G97),G97&gt;0,ISNUMBER(H97),H97&gt;0,H97=INT(H97),ISNUMBER(I97),I97&gt;0,OR(J97="",AND(ISNUMBER(J97),J97&gt;=0)),OR(K97="",AND(ISNUMBER(K97),K97&gt;=0))),"OK","Pendente: dimensões")))))))</x:f>
      </x:c>
      <x:c r="P97" s="5"/>
    </x:row>
    <x:row r="98" ht="23" customHeight="1">
      <x:c r="A98" s="6"/>
      <x:c r="B98" s="12"/>
      <x:c r="C98" s="5"/>
      <x:c r="D98" s="5"/>
      <x:c r="E98" s="5"/>
      <x:c r="F98" s="13"/>
      <x:c r="G98" s="13"/>
      <x:c r="H98" s="13"/>
      <x:c r="I98" s="13"/>
      <x:c r="J98" s="13"/>
      <x:c r="K98" s="13"/>
      <x:c r="L98" s="14" t="str">
        <x:f>IF(O98="OK",SUM(I98:K98),"")</x:f>
      </x:c>
      <x:c r="M98" s="14" t="str">
        <x:f>IF(O98="OK",0.006165375*G98^2,"")</x:f>
      </x:c>
      <x:c r="N98" s="14" t="str">
        <x:f>IF(O98="OK",H98*L98*M98,"")</x:f>
      </x:c>
      <x:c r="O98" s="2" t="str">
        <x:f>IF(COUNTA(A98:K98,P98)=0,"",IF(OR('Auto mensal'!$B$5="",'Auto mensal'!$D$5="",'Auto mensal'!$D$5&lt;'Auto mensal'!$B$5),"Pendente: período",IF(OR(A98="",NOT(ISNUMBER(A98))),"Pendente: data",IF(OR(A98&lt;'Auto mensal'!$B$5,A98&gt;'Auto mensal'!$D$5),"Fora do período",IF(OR(B98="",C98="",D98="",E98=""),"Pendente: identificação",IF(COUNTIFS('Auto mensal'!$A$13:$A$42,B98,'Auto mensal'!$C$13:$C$42,"Aço")&lt;&gt;1,"Pendente: artigo / material",IF(AND(F98&lt;&gt;"",ISNUMBER(G98),G98&gt;0,ISNUMBER(H98),H98&gt;0,H98=INT(H98),ISNUMBER(I98),I98&gt;0,OR(J98="",AND(ISNUMBER(J98),J98&gt;=0)),OR(K98="",AND(ISNUMBER(K98),K98&gt;=0))),"OK","Pendente: dimensões")))))))</x:f>
      </x:c>
      <x:c r="P98" s="5"/>
    </x:row>
    <x:row r="99" ht="23" customHeight="1">
      <x:c r="A99" s="6"/>
      <x:c r="B99" s="12"/>
      <x:c r="C99" s="5"/>
      <x:c r="D99" s="5"/>
      <x:c r="E99" s="5"/>
      <x:c r="F99" s="13"/>
      <x:c r="G99" s="13"/>
      <x:c r="H99" s="13"/>
      <x:c r="I99" s="13"/>
      <x:c r="J99" s="13"/>
      <x:c r="K99" s="13"/>
      <x:c r="L99" s="14" t="str">
        <x:f>IF(O99="OK",SUM(I99:K99),"")</x:f>
      </x:c>
      <x:c r="M99" s="14" t="str">
        <x:f>IF(O99="OK",0.006165375*G99^2,"")</x:f>
      </x:c>
      <x:c r="N99" s="14" t="str">
        <x:f>IF(O99="OK",H99*L99*M99,"")</x:f>
      </x:c>
      <x:c r="O99" s="2" t="str">
        <x:f>IF(COUNTA(A99:K99,P99)=0,"",IF(OR('Auto mensal'!$B$5="",'Auto mensal'!$D$5="",'Auto mensal'!$D$5&lt;'Auto mensal'!$B$5),"Pendente: período",IF(OR(A99="",NOT(ISNUMBER(A99))),"Pendente: data",IF(OR(A99&lt;'Auto mensal'!$B$5,A99&gt;'Auto mensal'!$D$5),"Fora do período",IF(OR(B99="",C99="",D99="",E99=""),"Pendente: identificação",IF(COUNTIFS('Auto mensal'!$A$13:$A$42,B99,'Auto mensal'!$C$13:$C$42,"Aço")&lt;&gt;1,"Pendente: artigo / material",IF(AND(F99&lt;&gt;"",ISNUMBER(G99),G99&gt;0,ISNUMBER(H99),H99&gt;0,H99=INT(H99),ISNUMBER(I99),I99&gt;0,OR(J99="",AND(ISNUMBER(J99),J99&gt;=0)),OR(K99="",AND(ISNUMBER(K99),K99&gt;=0))),"OK","Pendente: dimensões")))))))</x:f>
      </x:c>
      <x:c r="P99" s="5"/>
    </x:row>
    <x:row r="100" ht="23" customHeight="1">
      <x:c r="A100" s="6"/>
      <x:c r="B100" s="12"/>
      <x:c r="C100" s="5"/>
      <x:c r="D100" s="5"/>
      <x:c r="E100" s="5"/>
      <x:c r="F100" s="13"/>
      <x:c r="G100" s="13"/>
      <x:c r="H100" s="13"/>
      <x:c r="I100" s="13"/>
      <x:c r="J100" s="13"/>
      <x:c r="K100" s="13"/>
      <x:c r="L100" s="14" t="str">
        <x:f>IF(O100="OK",SUM(I100:K100),"")</x:f>
      </x:c>
      <x:c r="M100" s="14" t="str">
        <x:f>IF(O100="OK",0.006165375*G100^2,"")</x:f>
      </x:c>
      <x:c r="N100" s="14" t="str">
        <x:f>IF(O100="OK",H100*L100*M100,"")</x:f>
      </x:c>
      <x:c r="O100" s="2" t="str">
        <x:f>IF(COUNTA(A100:K100,P100)=0,"",IF(OR('Auto mensal'!$B$5="",'Auto mensal'!$D$5="",'Auto mensal'!$D$5&lt;'Auto mensal'!$B$5),"Pendente: período",IF(OR(A100="",NOT(ISNUMBER(A100))),"Pendente: data",IF(OR(A100&lt;'Auto mensal'!$B$5,A100&gt;'Auto mensal'!$D$5),"Fora do período",IF(OR(B100="",C100="",D100="",E100=""),"Pendente: identificação",IF(COUNTIFS('Auto mensal'!$A$13:$A$42,B100,'Auto mensal'!$C$13:$C$42,"Aço")&lt;&gt;1,"Pendente: artigo / material",IF(AND(F100&lt;&gt;"",ISNUMBER(G100),G100&gt;0,ISNUMBER(H100),H100&gt;0,H100=INT(H100),ISNUMBER(I100),I100&gt;0,OR(J100="",AND(ISNUMBER(J100),J100&gt;=0)),OR(K100="",AND(ISNUMBER(K100),K100&gt;=0))),"OK","Pendente: dimensões")))))))</x:f>
      </x:c>
      <x:c r="P100" s="5"/>
    </x:row>
    <x:row r="101" ht="23" customHeight="1">
      <x:c r="A101" s="6"/>
      <x:c r="B101" s="12"/>
      <x:c r="C101" s="5"/>
      <x:c r="D101" s="5"/>
      <x:c r="E101" s="5"/>
      <x:c r="F101" s="13"/>
      <x:c r="G101" s="13"/>
      <x:c r="H101" s="13"/>
      <x:c r="I101" s="13"/>
      <x:c r="J101" s="13"/>
      <x:c r="K101" s="13"/>
      <x:c r="L101" s="14" t="str">
        <x:f>IF(O101="OK",SUM(I101:K101),"")</x:f>
      </x:c>
      <x:c r="M101" s="14" t="str">
        <x:f>IF(O101="OK",0.006165375*G101^2,"")</x:f>
      </x:c>
      <x:c r="N101" s="14" t="str">
        <x:f>IF(O101="OK",H101*L101*M101,"")</x:f>
      </x:c>
      <x:c r="O101" s="2" t="str">
        <x:f>IF(COUNTA(A101:K101,P101)=0,"",IF(OR('Auto mensal'!$B$5="",'Auto mensal'!$D$5="",'Auto mensal'!$D$5&lt;'Auto mensal'!$B$5),"Pendente: período",IF(OR(A101="",NOT(ISNUMBER(A101))),"Pendente: data",IF(OR(A101&lt;'Auto mensal'!$B$5,A101&gt;'Auto mensal'!$D$5),"Fora do período",IF(OR(B101="",C101="",D101="",E101=""),"Pendente: identificação",IF(COUNTIFS('Auto mensal'!$A$13:$A$42,B101,'Auto mensal'!$C$13:$C$42,"Aço")&lt;&gt;1,"Pendente: artigo / material",IF(AND(F101&lt;&gt;"",ISNUMBER(G101),G101&gt;0,ISNUMBER(H101),H101&gt;0,H101=INT(H101),ISNUMBER(I101),I101&gt;0,OR(J101="",AND(ISNUMBER(J101),J101&gt;=0)),OR(K101="",AND(ISNUMBER(K101),K101&gt;=0))),"OK","Pendente: dimensões")))))))</x:f>
      </x:c>
      <x:c r="P101" s="5"/>
    </x:row>
    <x:row r="102" ht="23" customHeight="1">
      <x:c r="A102" s="6"/>
      <x:c r="B102" s="12"/>
      <x:c r="C102" s="5"/>
      <x:c r="D102" s="5"/>
      <x:c r="E102" s="5"/>
      <x:c r="F102" s="13"/>
      <x:c r="G102" s="13"/>
      <x:c r="H102" s="13"/>
      <x:c r="I102" s="13"/>
      <x:c r="J102" s="13"/>
      <x:c r="K102" s="13"/>
      <x:c r="L102" s="14" t="str">
        <x:f>IF(O102="OK",SUM(I102:K102),"")</x:f>
      </x:c>
      <x:c r="M102" s="14" t="str">
        <x:f>IF(O102="OK",0.006165375*G102^2,"")</x:f>
      </x:c>
      <x:c r="N102" s="14" t="str">
        <x:f>IF(O102="OK",H102*L102*M102,"")</x:f>
      </x:c>
      <x:c r="O102" s="2" t="str">
        <x:f>IF(COUNTA(A102:K102,P102)=0,"",IF(OR('Auto mensal'!$B$5="",'Auto mensal'!$D$5="",'Auto mensal'!$D$5&lt;'Auto mensal'!$B$5),"Pendente: período",IF(OR(A102="",NOT(ISNUMBER(A102))),"Pendente: data",IF(OR(A102&lt;'Auto mensal'!$B$5,A102&gt;'Auto mensal'!$D$5),"Fora do período",IF(OR(B102="",C102="",D102="",E102=""),"Pendente: identificação",IF(COUNTIFS('Auto mensal'!$A$13:$A$42,B102,'Auto mensal'!$C$13:$C$42,"Aço")&lt;&gt;1,"Pendente: artigo / material",IF(AND(F102&lt;&gt;"",ISNUMBER(G102),G102&gt;0,ISNUMBER(H102),H102&gt;0,H102=INT(H102),ISNUMBER(I102),I102&gt;0,OR(J102="",AND(ISNUMBER(J102),J102&gt;=0)),OR(K102="",AND(ISNUMBER(K102),K102&gt;=0))),"OK","Pendente: dimensões")))))))</x:f>
      </x:c>
      <x:c r="P102" s="5"/>
    </x:row>
    <x:row r="103" ht="23" customHeight="1">
      <x:c r="A103" s="6"/>
      <x:c r="B103" s="12"/>
      <x:c r="C103" s="5"/>
      <x:c r="D103" s="5"/>
      <x:c r="E103" s="5"/>
      <x:c r="F103" s="13"/>
      <x:c r="G103" s="13"/>
      <x:c r="H103" s="13"/>
      <x:c r="I103" s="13"/>
      <x:c r="J103" s="13"/>
      <x:c r="K103" s="13"/>
      <x:c r="L103" s="14" t="str">
        <x:f>IF(O103="OK",SUM(I103:K103),"")</x:f>
      </x:c>
      <x:c r="M103" s="14" t="str">
        <x:f>IF(O103="OK",0.006165375*G103^2,"")</x:f>
      </x:c>
      <x:c r="N103" s="14" t="str">
        <x:f>IF(O103="OK",H103*L103*M103,"")</x:f>
      </x:c>
      <x:c r="O103" s="2" t="str">
        <x:f>IF(COUNTA(A103:K103,P103)=0,"",IF(OR('Auto mensal'!$B$5="",'Auto mensal'!$D$5="",'Auto mensal'!$D$5&lt;'Auto mensal'!$B$5),"Pendente: período",IF(OR(A103="",NOT(ISNUMBER(A103))),"Pendente: data",IF(OR(A103&lt;'Auto mensal'!$B$5,A103&gt;'Auto mensal'!$D$5),"Fora do período",IF(OR(B103="",C103="",D103="",E103=""),"Pendente: identificação",IF(COUNTIFS('Auto mensal'!$A$13:$A$42,B103,'Auto mensal'!$C$13:$C$42,"Aço")&lt;&gt;1,"Pendente: artigo / material",IF(AND(F103&lt;&gt;"",ISNUMBER(G103),G103&gt;0,ISNUMBER(H103),H103&gt;0,H103=INT(H103),ISNUMBER(I103),I103&gt;0,OR(J103="",AND(ISNUMBER(J103),J103&gt;=0)),OR(K103="",AND(ISNUMBER(K103),K103&gt;=0))),"OK","Pendente: dimensões")))))))</x:f>
      </x:c>
      <x:c r="P103" s="5"/>
    </x:row>
    <x:row r="104" ht="23" customHeight="1">
      <x:c r="A104" s="6"/>
      <x:c r="B104" s="12"/>
      <x:c r="C104" s="5"/>
      <x:c r="D104" s="5"/>
      <x:c r="E104" s="5"/>
      <x:c r="F104" s="13"/>
      <x:c r="G104" s="13"/>
      <x:c r="H104" s="13"/>
      <x:c r="I104" s="13"/>
      <x:c r="J104" s="13"/>
      <x:c r="K104" s="13"/>
      <x:c r="L104" s="14" t="str">
        <x:f>IF(O104="OK",SUM(I104:K104),"")</x:f>
      </x:c>
      <x:c r="M104" s="14" t="str">
        <x:f>IF(O104="OK",0.006165375*G104^2,"")</x:f>
      </x:c>
      <x:c r="N104" s="14" t="str">
        <x:f>IF(O104="OK",H104*L104*M104,"")</x:f>
      </x:c>
      <x:c r="O104" s="2" t="str">
        <x:f>IF(COUNTA(A104:K104,P104)=0,"",IF(OR('Auto mensal'!$B$5="",'Auto mensal'!$D$5="",'Auto mensal'!$D$5&lt;'Auto mensal'!$B$5),"Pendente: período",IF(OR(A104="",NOT(ISNUMBER(A104))),"Pendente: data",IF(OR(A104&lt;'Auto mensal'!$B$5,A104&gt;'Auto mensal'!$D$5),"Fora do período",IF(OR(B104="",C104="",D104="",E104=""),"Pendente: identificação",IF(COUNTIFS('Auto mensal'!$A$13:$A$42,B104,'Auto mensal'!$C$13:$C$42,"Aço")&lt;&gt;1,"Pendente: artigo / material",IF(AND(F104&lt;&gt;"",ISNUMBER(G104),G104&gt;0,ISNUMBER(H104),H104&gt;0,H104=INT(H104),ISNUMBER(I104),I104&gt;0,OR(J104="",AND(ISNUMBER(J104),J104&gt;=0)),OR(K104="",AND(ISNUMBER(K104),K104&gt;=0))),"OK","Pendente: dimensões")))))))</x:f>
      </x:c>
      <x:c r="P104" s="5"/>
    </x:row>
    <x:row r="105" ht="23" customHeight="1">
      <x:c r="A105" s="6"/>
      <x:c r="B105" s="12"/>
      <x:c r="C105" s="5"/>
      <x:c r="D105" s="5"/>
      <x:c r="E105" s="5"/>
      <x:c r="F105" s="13"/>
      <x:c r="G105" s="13"/>
      <x:c r="H105" s="13"/>
      <x:c r="I105" s="13"/>
      <x:c r="J105" s="13"/>
      <x:c r="K105" s="13"/>
      <x:c r="L105" s="14" t="str">
        <x:f>IF(O105="OK",SUM(I105:K105),"")</x:f>
      </x:c>
      <x:c r="M105" s="14" t="str">
        <x:f>IF(O105="OK",0.006165375*G105^2,"")</x:f>
      </x:c>
      <x:c r="N105" s="14" t="str">
        <x:f>IF(O105="OK",H105*L105*M105,"")</x:f>
      </x:c>
      <x:c r="O105" s="2" t="str">
        <x:f>IF(COUNTA(A105:K105,P105)=0,"",IF(OR('Auto mensal'!$B$5="",'Auto mensal'!$D$5="",'Auto mensal'!$D$5&lt;'Auto mensal'!$B$5),"Pendente: período",IF(OR(A105="",NOT(ISNUMBER(A105))),"Pendente: data",IF(OR(A105&lt;'Auto mensal'!$B$5,A105&gt;'Auto mensal'!$D$5),"Fora do período",IF(OR(B105="",C105="",D105="",E105=""),"Pendente: identificação",IF(COUNTIFS('Auto mensal'!$A$13:$A$42,B105,'Auto mensal'!$C$13:$C$42,"Aço")&lt;&gt;1,"Pendente: artigo / material",IF(AND(F105&lt;&gt;"",ISNUMBER(G105),G105&gt;0,ISNUMBER(H105),H105&gt;0,H105=INT(H105),ISNUMBER(I105),I105&gt;0,OR(J105="",AND(ISNUMBER(J105),J105&gt;=0)),OR(K105="",AND(ISNUMBER(K105),K105&gt;=0))),"OK","Pendente: dimensões")))))))</x:f>
      </x:c>
      <x:c r="P105" s="5"/>
    </x:row>
    <x:row r="106" ht="23" customHeight="1">
      <x:c r="A106" s="6"/>
      <x:c r="B106" s="12"/>
      <x:c r="C106" s="5"/>
      <x:c r="D106" s="5"/>
      <x:c r="E106" s="5"/>
      <x:c r="F106" s="13"/>
      <x:c r="G106" s="13"/>
      <x:c r="H106" s="13"/>
      <x:c r="I106" s="13"/>
      <x:c r="J106" s="13"/>
      <x:c r="K106" s="13"/>
      <x:c r="L106" s="14" t="str">
        <x:f>IF(O106="OK",SUM(I106:K106),"")</x:f>
      </x:c>
      <x:c r="M106" s="14" t="str">
        <x:f>IF(O106="OK",0.006165375*G106^2,"")</x:f>
      </x:c>
      <x:c r="N106" s="14" t="str">
        <x:f>IF(O106="OK",H106*L106*M106,"")</x:f>
      </x:c>
      <x:c r="O106" s="2" t="str">
        <x:f>IF(COUNTA(A106:K106,P106)=0,"",IF(OR('Auto mensal'!$B$5="",'Auto mensal'!$D$5="",'Auto mensal'!$D$5&lt;'Auto mensal'!$B$5),"Pendente: período",IF(OR(A106="",NOT(ISNUMBER(A106))),"Pendente: data",IF(OR(A106&lt;'Auto mensal'!$B$5,A106&gt;'Auto mensal'!$D$5),"Fora do período",IF(OR(B106="",C106="",D106="",E106=""),"Pendente: identificação",IF(COUNTIFS('Auto mensal'!$A$13:$A$42,B106,'Auto mensal'!$C$13:$C$42,"Aço")&lt;&gt;1,"Pendente: artigo / material",IF(AND(F106&lt;&gt;"",ISNUMBER(G106),G106&gt;0,ISNUMBER(H106),H106&gt;0,H106=INT(H106),ISNUMBER(I106),I106&gt;0,OR(J106="",AND(ISNUMBER(J106),J106&gt;=0)),OR(K106="",AND(ISNUMBER(K106),K106&gt;=0))),"OK","Pendente: dimensões")))))))</x:f>
      </x:c>
      <x:c r="P106" s="5"/>
    </x:row>
    <x:row r="107" ht="23" customHeight="1">
      <x:c r="A107" s="6"/>
      <x:c r="B107" s="12"/>
      <x:c r="C107" s="5"/>
      <x:c r="D107" s="5"/>
      <x:c r="E107" s="5"/>
      <x:c r="F107" s="13"/>
      <x:c r="G107" s="13"/>
      <x:c r="H107" s="13"/>
      <x:c r="I107" s="13"/>
      <x:c r="J107" s="13"/>
      <x:c r="K107" s="13"/>
      <x:c r="L107" s="14" t="str">
        <x:f>IF(O107="OK",SUM(I107:K107),"")</x:f>
      </x:c>
      <x:c r="M107" s="14" t="str">
        <x:f>IF(O107="OK",0.006165375*G107^2,"")</x:f>
      </x:c>
      <x:c r="N107" s="14" t="str">
        <x:f>IF(O107="OK",H107*L107*M107,"")</x:f>
      </x:c>
      <x:c r="O107" s="2" t="str">
        <x:f>IF(COUNTA(A107:K107,P107)=0,"",IF(OR('Auto mensal'!$B$5="",'Auto mensal'!$D$5="",'Auto mensal'!$D$5&lt;'Auto mensal'!$B$5),"Pendente: período",IF(OR(A107="",NOT(ISNUMBER(A107))),"Pendente: data",IF(OR(A107&lt;'Auto mensal'!$B$5,A107&gt;'Auto mensal'!$D$5),"Fora do período",IF(OR(B107="",C107="",D107="",E107=""),"Pendente: identificação",IF(COUNTIFS('Auto mensal'!$A$13:$A$42,B107,'Auto mensal'!$C$13:$C$42,"Aço")&lt;&gt;1,"Pendente: artigo / material",IF(AND(F107&lt;&gt;"",ISNUMBER(G107),G107&gt;0,ISNUMBER(H107),H107&gt;0,H107=INT(H107),ISNUMBER(I107),I107&gt;0,OR(J107="",AND(ISNUMBER(J107),J107&gt;=0)),OR(K107="",AND(ISNUMBER(K107),K107&gt;=0))),"OK","Pendente: dimensões")))))))</x:f>
      </x:c>
      <x:c r="P107" s="5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</x:sheetData>
  <x:conditionalFormatting sqref="O8:O107">
    <x:cfRule type="containsText" dxfId="2" priority="1" operator="containsText" text="Pendente"/>
    <x:cfRule type="containsText" dxfId="3" priority="2" operator="containsText" text="Rever"/>
  </x:conditionalFormatting>
  <x:dataValidations count="1">
    <x:dataValidation type="list" sqref="F8:F107">
      <x:formula1>"Longitudinal,Estribos / cintas,Reforço,Malha (por varão)"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2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Memória de cálculo — betão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3" customHeight="1">
      <x:c r="A4" s="2" t="str">
        <x:v>Início</x:v>
      </x:c>
      <x:c r="B4" s="18" t="str">
        <x:f>IF('Auto mensal'!B5="","",'Auto mensal'!B5)</x:f>
      </x:c>
      <x:c r="C4" s="2" t="str">
        <x:v>Fim</x:v>
      </x:c>
      <x:c r="D4" s="18" t="str">
        <x:f>IF('Auto mensal'!D5="","",'Auto mensal'!D5)</x:f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 t="str">
        <x:v>Dimensões em m. Retangular: n × B × H × L. Circular: n × π × Ø² / 4 × L (H não se aplica). Dedução total da linha em m³.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1" t="str">
        <x:v>Data execução</x:v>
      </x:c>
      <x:c r="B7" s="11" t="str">
        <x:v>Código artigo</x:v>
      </x:c>
      <x:c r="C7" s="11" t="str">
        <x:v>Elemento / troço</x:v>
      </x:c>
      <x:c r="D7" s="11" t="str">
        <x:v>Piso / zona</x:v>
      </x:c>
      <x:c r="E7" s="11" t="str">
        <x:v>Desenho / guia</x:v>
      </x:c>
      <x:c r="F7" s="11" t="str">
        <x:v>N.º elementos</x:v>
      </x:c>
      <x:c r="G7" s="11" t="str">
        <x:v>Secção</x:v>
      </x:c>
      <x:c r="H7" s="11" t="str">
        <x:v>B ou Ø m</x:v>
      </x:c>
      <x:c r="I7" s="11" t="str">
        <x:v>H secção m</x:v>
      </x:c>
      <x:c r="J7" s="11" t="str">
        <x:v>L / altura executada m</x:v>
      </x:c>
      <x:c r="K7" s="11" t="str">
        <x:v>Dedução m³</x:v>
      </x:c>
      <x:c r="L7" s="11" t="str">
        <x:v>Betão aplicado m³</x:v>
      </x:c>
      <x:c r="M7" s="11" t="str">
        <x:v>Conferência</x:v>
      </x:c>
      <x:c r="N7" s="11" t="str">
        <x:v>Observações</x:v>
      </x:c>
    </x:row>
    <x:row r="8" ht="23" customHeight="1">
      <x:c r="A8" s="6"/>
      <x:c r="B8" s="12"/>
      <x:c r="C8" s="5"/>
      <x:c r="D8" s="5"/>
      <x:c r="E8" s="5"/>
      <x:c r="F8" s="13"/>
      <x:c r="G8" s="13"/>
      <x:c r="H8" s="13"/>
      <x:c r="I8" s="13"/>
      <x:c r="J8" s="13"/>
      <x:c r="K8" s="13"/>
      <x:c r="L8" s="14" t="str">
        <x:f>IF(M8="OK",F8*IF(G8="Circular",PI()*H8^2/4,H8*I8)*J8-N(K8),"")</x:f>
      </x:c>
      <x:c r="M8" s="2" t="str">
        <x:f>IF(COUNTA(A8:K8,N8)=0,"",IF(OR('Auto mensal'!$B$5="",'Auto mensal'!$D$5="",'Auto mensal'!$D$5&lt;'Auto mensal'!$B$5),"Pendente: período",IF(OR(A8="",NOT(ISNUMBER(A8))),"Pendente: data",IF(OR(A8&lt;'Auto mensal'!$B$5,A8&gt;'Auto mensal'!$D$5),"Fora do período",IF(OR(B8="",C8="",D8="",E8=""),"Pendente: identificação",IF(COUNTIFS('Auto mensal'!$A$13:$A$42,B8,'Auto mensal'!$C$13:$C$42,"Betão")&lt;&gt;1,"Pendente: artigo / material",IF(AND(ISNUMBER(F8),F8&gt;0,F8=INT(F8),OR(G8="Retangular",G8="Circular"),ISNUMBER(H8),H8&gt;0,OR(G8="Circular",AND(ISNUMBER(I8),I8&gt;0)),ISNUMBER(J8),J8&gt;0,OR(K8="",AND(ISNUMBER(K8),K8&gt;=0)),N(K8)&lt;=F8*IF(G8="Circular",PI()*H8^2/4,H8*I8)*J8),"OK","Pendente: dimensões")))))))</x:f>
      </x:c>
      <x:c r="N8" s="5"/>
    </x:row>
    <x:row r="9" ht="23" customHeight="1">
      <x:c r="A9" s="6"/>
      <x:c r="B9" s="12"/>
      <x:c r="C9" s="5"/>
      <x:c r="D9" s="5"/>
      <x:c r="E9" s="5"/>
      <x:c r="F9" s="13"/>
      <x:c r="G9" s="13"/>
      <x:c r="H9" s="13"/>
      <x:c r="I9" s="13"/>
      <x:c r="J9" s="13"/>
      <x:c r="K9" s="13"/>
      <x:c r="L9" s="14" t="str">
        <x:f>IF(M9="OK",F9*IF(G9="Circular",PI()*H9^2/4,H9*I9)*J9-N(K9),"")</x:f>
      </x:c>
      <x:c r="M9" s="2" t="str">
        <x:f>IF(COUNTA(A9:K9,N9)=0,"",IF(OR('Auto mensal'!$B$5="",'Auto mensal'!$D$5="",'Auto mensal'!$D$5&lt;'Auto mensal'!$B$5),"Pendente: período",IF(OR(A9="",NOT(ISNUMBER(A9))),"Pendente: data",IF(OR(A9&lt;'Auto mensal'!$B$5,A9&gt;'Auto mensal'!$D$5),"Fora do período",IF(OR(B9="",C9="",D9="",E9=""),"Pendente: identificação",IF(COUNTIFS('Auto mensal'!$A$13:$A$42,B9,'Auto mensal'!$C$13:$C$42,"Betão")&lt;&gt;1,"Pendente: artigo / material",IF(AND(ISNUMBER(F9),F9&gt;0,F9=INT(F9),OR(G9="Retangular",G9="Circular"),ISNUMBER(H9),H9&gt;0,OR(G9="Circular",AND(ISNUMBER(I9),I9&gt;0)),ISNUMBER(J9),J9&gt;0,OR(K9="",AND(ISNUMBER(K9),K9&gt;=0)),N(K9)&lt;=F9*IF(G9="Circular",PI()*H9^2/4,H9*I9)*J9),"OK","Pendente: dimensões")))))))</x:f>
      </x:c>
      <x:c r="N9" s="5"/>
    </x:row>
    <x:row r="10" ht="23" customHeight="1">
      <x:c r="A10" s="6"/>
      <x:c r="B10" s="12"/>
      <x:c r="C10" s="5"/>
      <x:c r="D10" s="5"/>
      <x:c r="E10" s="5"/>
      <x:c r="F10" s="13"/>
      <x:c r="G10" s="13"/>
      <x:c r="H10" s="13"/>
      <x:c r="I10" s="13"/>
      <x:c r="J10" s="13"/>
      <x:c r="K10" s="13"/>
      <x:c r="L10" s="14" t="str">
        <x:f>IF(M10="OK",F10*IF(G10="Circular",PI()*H10^2/4,H10*I10)*J10-N(K10),"")</x:f>
      </x:c>
      <x:c r="M10" s="2" t="str">
        <x:f>IF(COUNTA(A10:K10,N10)=0,"",IF(OR('Auto mensal'!$B$5="",'Auto mensal'!$D$5="",'Auto mensal'!$D$5&lt;'Auto mensal'!$B$5),"Pendente: período",IF(OR(A10="",NOT(ISNUMBER(A10))),"Pendente: data",IF(OR(A10&lt;'Auto mensal'!$B$5,A10&gt;'Auto mensal'!$D$5),"Fora do período",IF(OR(B10="",C10="",D10="",E10=""),"Pendente: identificação",IF(COUNTIFS('Auto mensal'!$A$13:$A$42,B10,'Auto mensal'!$C$13:$C$42,"Betão")&lt;&gt;1,"Pendente: artigo / material",IF(AND(ISNUMBER(F10),F10&gt;0,F10=INT(F10),OR(G10="Retangular",G10="Circular"),ISNUMBER(H10),H10&gt;0,OR(G10="Circular",AND(ISNUMBER(I10),I10&gt;0)),ISNUMBER(J10),J10&gt;0,OR(K10="",AND(ISNUMBER(K10),K10&gt;=0)),N(K10)&lt;=F10*IF(G10="Circular",PI()*H10^2/4,H10*I10)*J10),"OK","Pendente: dimensões")))))))</x:f>
      </x:c>
      <x:c r="N10" s="5"/>
    </x:row>
    <x:row r="11" ht="23" customHeight="1">
      <x:c r="A11" s="6"/>
      <x:c r="B11" s="12"/>
      <x:c r="C11" s="5"/>
      <x:c r="D11" s="5"/>
      <x:c r="E11" s="5"/>
      <x:c r="F11" s="13"/>
      <x:c r="G11" s="13"/>
      <x:c r="H11" s="13"/>
      <x:c r="I11" s="13"/>
      <x:c r="J11" s="13"/>
      <x:c r="K11" s="13"/>
      <x:c r="L11" s="14" t="str">
        <x:f>IF(M11="OK",F11*IF(G11="Circular",PI()*H11^2/4,H11*I11)*J11-N(K11),"")</x:f>
      </x:c>
      <x:c r="M11" s="2" t="str">
        <x:f>IF(COUNTA(A11:K11,N11)=0,"",IF(OR('Auto mensal'!$B$5="",'Auto mensal'!$D$5="",'Auto mensal'!$D$5&lt;'Auto mensal'!$B$5),"Pendente: período",IF(OR(A11="",NOT(ISNUMBER(A11))),"Pendente: data",IF(OR(A11&lt;'Auto mensal'!$B$5,A11&gt;'Auto mensal'!$D$5),"Fora do período",IF(OR(B11="",C11="",D11="",E11=""),"Pendente: identificação",IF(COUNTIFS('Auto mensal'!$A$13:$A$42,B11,'Auto mensal'!$C$13:$C$42,"Betão")&lt;&gt;1,"Pendente: artigo / material",IF(AND(ISNUMBER(F11),F11&gt;0,F11=INT(F11),OR(G11="Retangular",G11="Circular"),ISNUMBER(H11),H11&gt;0,OR(G11="Circular",AND(ISNUMBER(I11),I11&gt;0)),ISNUMBER(J11),J11&gt;0,OR(K11="",AND(ISNUMBER(K11),K11&gt;=0)),N(K11)&lt;=F11*IF(G11="Circular",PI()*H11^2/4,H11*I11)*J11),"OK","Pendente: dimensões")))))))</x:f>
      </x:c>
      <x:c r="N11" s="5"/>
    </x:row>
    <x:row r="12" ht="23" customHeight="1">
      <x:c r="A12" s="6"/>
      <x:c r="B12" s="12"/>
      <x:c r="C12" s="5"/>
      <x:c r="D12" s="5"/>
      <x:c r="E12" s="5"/>
      <x:c r="F12" s="13"/>
      <x:c r="G12" s="13"/>
      <x:c r="H12" s="13"/>
      <x:c r="I12" s="13"/>
      <x:c r="J12" s="13"/>
      <x:c r="K12" s="13"/>
      <x:c r="L12" s="14" t="str">
        <x:f>IF(M12="OK",F12*IF(G12="Circular",PI()*H12^2/4,H12*I12)*J12-N(K12),"")</x:f>
      </x:c>
      <x:c r="M12" s="2" t="str">
        <x:f>IF(COUNTA(A12:K12,N12)=0,"",IF(OR('Auto mensal'!$B$5="",'Auto mensal'!$D$5="",'Auto mensal'!$D$5&lt;'Auto mensal'!$B$5),"Pendente: período",IF(OR(A12="",NOT(ISNUMBER(A12))),"Pendente: data",IF(OR(A12&lt;'Auto mensal'!$B$5,A12&gt;'Auto mensal'!$D$5),"Fora do período",IF(OR(B12="",C12="",D12="",E12=""),"Pendente: identificação",IF(COUNTIFS('Auto mensal'!$A$13:$A$42,B12,'Auto mensal'!$C$13:$C$42,"Betão")&lt;&gt;1,"Pendente: artigo / material",IF(AND(ISNUMBER(F12),F12&gt;0,F12=INT(F12),OR(G12="Retangular",G12="Circular"),ISNUMBER(H12),H12&gt;0,OR(G12="Circular",AND(ISNUMBER(I12),I12&gt;0)),ISNUMBER(J12),J12&gt;0,OR(K12="",AND(ISNUMBER(K12),K12&gt;=0)),N(K12)&lt;=F12*IF(G12="Circular",PI()*H12^2/4,H12*I12)*J12),"OK","Pendente: dimensões")))))))</x:f>
      </x:c>
      <x:c r="N12" s="5"/>
    </x:row>
    <x:row r="13" ht="23" customHeight="1">
      <x:c r="A13" s="6"/>
      <x:c r="B13" s="12"/>
      <x:c r="C13" s="5"/>
      <x:c r="D13" s="5"/>
      <x:c r="E13" s="5"/>
      <x:c r="F13" s="13"/>
      <x:c r="G13" s="13"/>
      <x:c r="H13" s="13"/>
      <x:c r="I13" s="13"/>
      <x:c r="J13" s="13"/>
      <x:c r="K13" s="13"/>
      <x:c r="L13" s="14" t="str">
        <x:f>IF(M13="OK",F13*IF(G13="Circular",PI()*H13^2/4,H13*I13)*J13-N(K13),"")</x:f>
      </x:c>
      <x:c r="M13" s="2" t="str">
        <x:f>IF(COUNTA(A13:K13,N13)=0,"",IF(OR('Auto mensal'!$B$5="",'Auto mensal'!$D$5="",'Auto mensal'!$D$5&lt;'Auto mensal'!$B$5),"Pendente: período",IF(OR(A13="",NOT(ISNUMBER(A13))),"Pendente: data",IF(OR(A13&lt;'Auto mensal'!$B$5,A13&gt;'Auto mensal'!$D$5),"Fora do período",IF(OR(B13="",C13="",D13="",E13=""),"Pendente: identificação",IF(COUNTIFS('Auto mensal'!$A$13:$A$42,B13,'Auto mensal'!$C$13:$C$42,"Betão")&lt;&gt;1,"Pendente: artigo / material",IF(AND(ISNUMBER(F13),F13&gt;0,F13=INT(F13),OR(G13="Retangular",G13="Circular"),ISNUMBER(H13),H13&gt;0,OR(G13="Circular",AND(ISNUMBER(I13),I13&gt;0)),ISNUMBER(J13),J13&gt;0,OR(K13="",AND(ISNUMBER(K13),K13&gt;=0)),N(K13)&lt;=F13*IF(G13="Circular",PI()*H13^2/4,H13*I13)*J13),"OK","Pendente: dimensões")))))))</x:f>
      </x:c>
      <x:c r="N13" s="5"/>
    </x:row>
    <x:row r="14" ht="23" customHeight="1">
      <x:c r="A14" s="6"/>
      <x:c r="B14" s="12"/>
      <x:c r="C14" s="5"/>
      <x:c r="D14" s="5"/>
      <x:c r="E14" s="5"/>
      <x:c r="F14" s="13"/>
      <x:c r="G14" s="13"/>
      <x:c r="H14" s="13"/>
      <x:c r="I14" s="13"/>
      <x:c r="J14" s="13"/>
      <x:c r="K14" s="13"/>
      <x:c r="L14" s="14" t="str">
        <x:f>IF(M14="OK",F14*IF(G14="Circular",PI()*H14^2/4,H14*I14)*J14-N(K14),"")</x:f>
      </x:c>
      <x:c r="M14" s="2" t="str">
        <x:f>IF(COUNTA(A14:K14,N14)=0,"",IF(OR('Auto mensal'!$B$5="",'Auto mensal'!$D$5="",'Auto mensal'!$D$5&lt;'Auto mensal'!$B$5),"Pendente: período",IF(OR(A14="",NOT(ISNUMBER(A14))),"Pendente: data",IF(OR(A14&lt;'Auto mensal'!$B$5,A14&gt;'Auto mensal'!$D$5),"Fora do período",IF(OR(B14="",C14="",D14="",E14=""),"Pendente: identificação",IF(COUNTIFS('Auto mensal'!$A$13:$A$42,B14,'Auto mensal'!$C$13:$C$42,"Betão")&lt;&gt;1,"Pendente: artigo / material",IF(AND(ISNUMBER(F14),F14&gt;0,F14=INT(F14),OR(G14="Retangular",G14="Circular"),ISNUMBER(H14),H14&gt;0,OR(G14="Circular",AND(ISNUMBER(I14),I14&gt;0)),ISNUMBER(J14),J14&gt;0,OR(K14="",AND(ISNUMBER(K14),K14&gt;=0)),N(K14)&lt;=F14*IF(G14="Circular",PI()*H14^2/4,H14*I14)*J14),"OK","Pendente: dimensões")))))))</x:f>
      </x:c>
      <x:c r="N14" s="5"/>
    </x:row>
    <x:row r="15" ht="23" customHeight="1">
      <x:c r="A15" s="6"/>
      <x:c r="B15" s="12"/>
      <x:c r="C15" s="5"/>
      <x:c r="D15" s="5"/>
      <x:c r="E15" s="5"/>
      <x:c r="F15" s="13"/>
      <x:c r="G15" s="13"/>
      <x:c r="H15" s="13"/>
      <x:c r="I15" s="13"/>
      <x:c r="J15" s="13"/>
      <x:c r="K15" s="13"/>
      <x:c r="L15" s="14" t="str">
        <x:f>IF(M15="OK",F15*IF(G15="Circular",PI()*H15^2/4,H15*I15)*J15-N(K15),"")</x:f>
      </x:c>
      <x:c r="M15" s="2" t="str">
        <x:f>IF(COUNTA(A15:K15,N15)=0,"",IF(OR('Auto mensal'!$B$5="",'Auto mensal'!$D$5="",'Auto mensal'!$D$5&lt;'Auto mensal'!$B$5),"Pendente: período",IF(OR(A15="",NOT(ISNUMBER(A15))),"Pendente: data",IF(OR(A15&lt;'Auto mensal'!$B$5,A15&gt;'Auto mensal'!$D$5),"Fora do período",IF(OR(B15="",C15="",D15="",E15=""),"Pendente: identificação",IF(COUNTIFS('Auto mensal'!$A$13:$A$42,B15,'Auto mensal'!$C$13:$C$42,"Betão")&lt;&gt;1,"Pendente: artigo / material",IF(AND(ISNUMBER(F15),F15&gt;0,F15=INT(F15),OR(G15="Retangular",G15="Circular"),ISNUMBER(H15),H15&gt;0,OR(G15="Circular",AND(ISNUMBER(I15),I15&gt;0)),ISNUMBER(J15),J15&gt;0,OR(K15="",AND(ISNUMBER(K15),K15&gt;=0)),N(K15)&lt;=F15*IF(G15="Circular",PI()*H15^2/4,H15*I15)*J15),"OK","Pendente: dimensões")))))))</x:f>
      </x:c>
      <x:c r="N15" s="5"/>
    </x:row>
    <x:row r="16" ht="23" customHeight="1">
      <x:c r="A16" s="6"/>
      <x:c r="B16" s="12"/>
      <x:c r="C16" s="5"/>
      <x:c r="D16" s="5"/>
      <x:c r="E16" s="5"/>
      <x:c r="F16" s="13"/>
      <x:c r="G16" s="13"/>
      <x:c r="H16" s="13"/>
      <x:c r="I16" s="13"/>
      <x:c r="J16" s="13"/>
      <x:c r="K16" s="13"/>
      <x:c r="L16" s="14" t="str">
        <x:f>IF(M16="OK",F16*IF(G16="Circular",PI()*H16^2/4,H16*I16)*J16-N(K16),"")</x:f>
      </x:c>
      <x:c r="M16" s="2" t="str">
        <x:f>IF(COUNTA(A16:K16,N16)=0,"",IF(OR('Auto mensal'!$B$5="",'Auto mensal'!$D$5="",'Auto mensal'!$D$5&lt;'Auto mensal'!$B$5),"Pendente: período",IF(OR(A16="",NOT(ISNUMBER(A16))),"Pendente: data",IF(OR(A16&lt;'Auto mensal'!$B$5,A16&gt;'Auto mensal'!$D$5),"Fora do período",IF(OR(B16="",C16="",D16="",E16=""),"Pendente: identificação",IF(COUNTIFS('Auto mensal'!$A$13:$A$42,B16,'Auto mensal'!$C$13:$C$42,"Betão")&lt;&gt;1,"Pendente: artigo / material",IF(AND(ISNUMBER(F16),F16&gt;0,F16=INT(F16),OR(G16="Retangular",G16="Circular"),ISNUMBER(H16),H16&gt;0,OR(G16="Circular",AND(ISNUMBER(I16),I16&gt;0)),ISNUMBER(J16),J16&gt;0,OR(K16="",AND(ISNUMBER(K16),K16&gt;=0)),N(K16)&lt;=F16*IF(G16="Circular",PI()*H16^2/4,H16*I16)*J16),"OK","Pendente: dimensões")))))))</x:f>
      </x:c>
      <x:c r="N16" s="5"/>
    </x:row>
    <x:row r="17" ht="23" customHeight="1">
      <x:c r="A17" s="6"/>
      <x:c r="B17" s="12"/>
      <x:c r="C17" s="5"/>
      <x:c r="D17" s="5"/>
      <x:c r="E17" s="5"/>
      <x:c r="F17" s="13"/>
      <x:c r="G17" s="13"/>
      <x:c r="H17" s="13"/>
      <x:c r="I17" s="13"/>
      <x:c r="J17" s="13"/>
      <x:c r="K17" s="13"/>
      <x:c r="L17" s="14" t="str">
        <x:f>IF(M17="OK",F17*IF(G17="Circular",PI()*H17^2/4,H17*I17)*J17-N(K17),"")</x:f>
      </x:c>
      <x:c r="M17" s="2" t="str">
        <x:f>IF(COUNTA(A17:K17,N17)=0,"",IF(OR('Auto mensal'!$B$5="",'Auto mensal'!$D$5="",'Auto mensal'!$D$5&lt;'Auto mensal'!$B$5),"Pendente: período",IF(OR(A17="",NOT(ISNUMBER(A17))),"Pendente: data",IF(OR(A17&lt;'Auto mensal'!$B$5,A17&gt;'Auto mensal'!$D$5),"Fora do período",IF(OR(B17="",C17="",D17="",E17=""),"Pendente: identificação",IF(COUNTIFS('Auto mensal'!$A$13:$A$42,B17,'Auto mensal'!$C$13:$C$42,"Betão")&lt;&gt;1,"Pendente: artigo / material",IF(AND(ISNUMBER(F17),F17&gt;0,F17=INT(F17),OR(G17="Retangular",G17="Circular"),ISNUMBER(H17),H17&gt;0,OR(G17="Circular",AND(ISNUMBER(I17),I17&gt;0)),ISNUMBER(J17),J17&gt;0,OR(K17="",AND(ISNUMBER(K17),K17&gt;=0)),N(K17)&lt;=F17*IF(G17="Circular",PI()*H17^2/4,H17*I17)*J17),"OK","Pendente: dimensões")))))))</x:f>
      </x:c>
      <x:c r="N17" s="5"/>
    </x:row>
    <x:row r="18" ht="23" customHeight="1">
      <x:c r="A18" s="6"/>
      <x:c r="B18" s="12"/>
      <x:c r="C18" s="5"/>
      <x:c r="D18" s="5"/>
      <x:c r="E18" s="5"/>
      <x:c r="F18" s="13"/>
      <x:c r="G18" s="13"/>
      <x:c r="H18" s="13"/>
      <x:c r="I18" s="13"/>
      <x:c r="J18" s="13"/>
      <x:c r="K18" s="13"/>
      <x:c r="L18" s="14" t="str">
        <x:f>IF(M18="OK",F18*IF(G18="Circular",PI()*H18^2/4,H18*I18)*J18-N(K18),"")</x:f>
      </x:c>
      <x:c r="M18" s="2" t="str">
        <x:f>IF(COUNTA(A18:K18,N18)=0,"",IF(OR('Auto mensal'!$B$5="",'Auto mensal'!$D$5="",'Auto mensal'!$D$5&lt;'Auto mensal'!$B$5),"Pendente: período",IF(OR(A18="",NOT(ISNUMBER(A18))),"Pendente: data",IF(OR(A18&lt;'Auto mensal'!$B$5,A18&gt;'Auto mensal'!$D$5),"Fora do período",IF(OR(B18="",C18="",D18="",E18=""),"Pendente: identificação",IF(COUNTIFS('Auto mensal'!$A$13:$A$42,B18,'Auto mensal'!$C$13:$C$42,"Betão")&lt;&gt;1,"Pendente: artigo / material",IF(AND(ISNUMBER(F18),F18&gt;0,F18=INT(F18),OR(G18="Retangular",G18="Circular"),ISNUMBER(H18),H18&gt;0,OR(G18="Circular",AND(ISNUMBER(I18),I18&gt;0)),ISNUMBER(J18),J18&gt;0,OR(K18="",AND(ISNUMBER(K18),K18&gt;=0)),N(K18)&lt;=F18*IF(G18="Circular",PI()*H18^2/4,H18*I18)*J18),"OK","Pendente: dimensões")))))))</x:f>
      </x:c>
      <x:c r="N18" s="5"/>
    </x:row>
    <x:row r="19" ht="23" customHeight="1">
      <x:c r="A19" s="6"/>
      <x:c r="B19" s="12"/>
      <x:c r="C19" s="5"/>
      <x:c r="D19" s="5"/>
      <x:c r="E19" s="5"/>
      <x:c r="F19" s="13"/>
      <x:c r="G19" s="13"/>
      <x:c r="H19" s="13"/>
      <x:c r="I19" s="13"/>
      <x:c r="J19" s="13"/>
      <x:c r="K19" s="13"/>
      <x:c r="L19" s="14" t="str">
        <x:f>IF(M19="OK",F19*IF(G19="Circular",PI()*H19^2/4,H19*I19)*J19-N(K19),"")</x:f>
      </x:c>
      <x:c r="M19" s="2" t="str">
        <x:f>IF(COUNTA(A19:K19,N19)=0,"",IF(OR('Auto mensal'!$B$5="",'Auto mensal'!$D$5="",'Auto mensal'!$D$5&lt;'Auto mensal'!$B$5),"Pendente: período",IF(OR(A19="",NOT(ISNUMBER(A19))),"Pendente: data",IF(OR(A19&lt;'Auto mensal'!$B$5,A19&gt;'Auto mensal'!$D$5),"Fora do período",IF(OR(B19="",C19="",D19="",E19=""),"Pendente: identificação",IF(COUNTIFS('Auto mensal'!$A$13:$A$42,B19,'Auto mensal'!$C$13:$C$42,"Betão")&lt;&gt;1,"Pendente: artigo / material",IF(AND(ISNUMBER(F19),F19&gt;0,F19=INT(F19),OR(G19="Retangular",G19="Circular"),ISNUMBER(H19),H19&gt;0,OR(G19="Circular",AND(ISNUMBER(I19),I19&gt;0)),ISNUMBER(J19),J19&gt;0,OR(K19="",AND(ISNUMBER(K19),K19&gt;=0)),N(K19)&lt;=F19*IF(G19="Circular",PI()*H19^2/4,H19*I19)*J19),"OK","Pendente: dimensões")))))))</x:f>
      </x:c>
      <x:c r="N19" s="5"/>
    </x:row>
    <x:row r="20" ht="23" customHeight="1">
      <x:c r="A20" s="6"/>
      <x:c r="B20" s="12"/>
      <x:c r="C20" s="5"/>
      <x:c r="D20" s="5"/>
      <x:c r="E20" s="5"/>
      <x:c r="F20" s="13"/>
      <x:c r="G20" s="13"/>
      <x:c r="H20" s="13"/>
      <x:c r="I20" s="13"/>
      <x:c r="J20" s="13"/>
      <x:c r="K20" s="13"/>
      <x:c r="L20" s="14" t="str">
        <x:f>IF(M20="OK",F20*IF(G20="Circular",PI()*H20^2/4,H20*I20)*J20-N(K20),"")</x:f>
      </x:c>
      <x:c r="M20" s="2" t="str">
        <x:f>IF(COUNTA(A20:K20,N20)=0,"",IF(OR('Auto mensal'!$B$5="",'Auto mensal'!$D$5="",'Auto mensal'!$D$5&lt;'Auto mensal'!$B$5),"Pendente: período",IF(OR(A20="",NOT(ISNUMBER(A20))),"Pendente: data",IF(OR(A20&lt;'Auto mensal'!$B$5,A20&gt;'Auto mensal'!$D$5),"Fora do período",IF(OR(B20="",C20="",D20="",E20=""),"Pendente: identificação",IF(COUNTIFS('Auto mensal'!$A$13:$A$42,B20,'Auto mensal'!$C$13:$C$42,"Betão")&lt;&gt;1,"Pendente: artigo / material",IF(AND(ISNUMBER(F20),F20&gt;0,F20=INT(F20),OR(G20="Retangular",G20="Circular"),ISNUMBER(H20),H20&gt;0,OR(G20="Circular",AND(ISNUMBER(I20),I20&gt;0)),ISNUMBER(J20),J20&gt;0,OR(K20="",AND(ISNUMBER(K20),K20&gt;=0)),N(K20)&lt;=F20*IF(G20="Circular",PI()*H20^2/4,H20*I20)*J20),"OK","Pendente: dimensões")))))))</x:f>
      </x:c>
      <x:c r="N20" s="5"/>
    </x:row>
    <x:row r="21" ht="23" customHeight="1">
      <x:c r="A21" s="6"/>
      <x:c r="B21" s="12"/>
      <x:c r="C21" s="5"/>
      <x:c r="D21" s="5"/>
      <x:c r="E21" s="5"/>
      <x:c r="F21" s="13"/>
      <x:c r="G21" s="13"/>
      <x:c r="H21" s="13"/>
      <x:c r="I21" s="13"/>
      <x:c r="J21" s="13"/>
      <x:c r="K21" s="13"/>
      <x:c r="L21" s="14" t="str">
        <x:f>IF(M21="OK",F21*IF(G21="Circular",PI()*H21^2/4,H21*I21)*J21-N(K21),"")</x:f>
      </x:c>
      <x:c r="M21" s="2" t="str">
        <x:f>IF(COUNTA(A21:K21,N21)=0,"",IF(OR('Auto mensal'!$B$5="",'Auto mensal'!$D$5="",'Auto mensal'!$D$5&lt;'Auto mensal'!$B$5),"Pendente: período",IF(OR(A21="",NOT(ISNUMBER(A21))),"Pendente: data",IF(OR(A21&lt;'Auto mensal'!$B$5,A21&gt;'Auto mensal'!$D$5),"Fora do período",IF(OR(B21="",C21="",D21="",E21=""),"Pendente: identificação",IF(COUNTIFS('Auto mensal'!$A$13:$A$42,B21,'Auto mensal'!$C$13:$C$42,"Betão")&lt;&gt;1,"Pendente: artigo / material",IF(AND(ISNUMBER(F21),F21&gt;0,F21=INT(F21),OR(G21="Retangular",G21="Circular"),ISNUMBER(H21),H21&gt;0,OR(G21="Circular",AND(ISNUMBER(I21),I21&gt;0)),ISNUMBER(J21),J21&gt;0,OR(K21="",AND(ISNUMBER(K21),K21&gt;=0)),N(K21)&lt;=F21*IF(G21="Circular",PI()*H21^2/4,H21*I21)*J21),"OK","Pendente: dimensões")))))))</x:f>
      </x:c>
      <x:c r="N21" s="5"/>
    </x:row>
    <x:row r="22" ht="23" customHeight="1">
      <x:c r="A22" s="6"/>
      <x:c r="B22" s="12"/>
      <x:c r="C22" s="5"/>
      <x:c r="D22" s="5"/>
      <x:c r="E22" s="5"/>
      <x:c r="F22" s="13"/>
      <x:c r="G22" s="13"/>
      <x:c r="H22" s="13"/>
      <x:c r="I22" s="13"/>
      <x:c r="J22" s="13"/>
      <x:c r="K22" s="13"/>
      <x:c r="L22" s="14" t="str">
        <x:f>IF(M22="OK",F22*IF(G22="Circular",PI()*H22^2/4,H22*I22)*J22-N(K22),"")</x:f>
      </x:c>
      <x:c r="M22" s="2" t="str">
        <x:f>IF(COUNTA(A22:K22,N22)=0,"",IF(OR('Auto mensal'!$B$5="",'Auto mensal'!$D$5="",'Auto mensal'!$D$5&lt;'Auto mensal'!$B$5),"Pendente: período",IF(OR(A22="",NOT(ISNUMBER(A22))),"Pendente: data",IF(OR(A22&lt;'Auto mensal'!$B$5,A22&gt;'Auto mensal'!$D$5),"Fora do período",IF(OR(B22="",C22="",D22="",E22=""),"Pendente: identificação",IF(COUNTIFS('Auto mensal'!$A$13:$A$42,B22,'Auto mensal'!$C$13:$C$42,"Betão")&lt;&gt;1,"Pendente: artigo / material",IF(AND(ISNUMBER(F22),F22&gt;0,F22=INT(F22),OR(G22="Retangular",G22="Circular"),ISNUMBER(H22),H22&gt;0,OR(G22="Circular",AND(ISNUMBER(I22),I22&gt;0)),ISNUMBER(J22),J22&gt;0,OR(K22="",AND(ISNUMBER(K22),K22&gt;=0)),N(K22)&lt;=F22*IF(G22="Circular",PI()*H22^2/4,H22*I22)*J22),"OK","Pendente: dimensões")))))))</x:f>
      </x:c>
      <x:c r="N22" s="5"/>
    </x:row>
    <x:row r="23" ht="23" customHeight="1">
      <x:c r="A23" s="6"/>
      <x:c r="B23" s="12"/>
      <x:c r="C23" s="5"/>
      <x:c r="D23" s="5"/>
      <x:c r="E23" s="5"/>
      <x:c r="F23" s="13"/>
      <x:c r="G23" s="13"/>
      <x:c r="H23" s="13"/>
      <x:c r="I23" s="13"/>
      <x:c r="J23" s="13"/>
      <x:c r="K23" s="13"/>
      <x:c r="L23" s="14" t="str">
        <x:f>IF(M23="OK",F23*IF(G23="Circular",PI()*H23^2/4,H23*I23)*J23-N(K23),"")</x:f>
      </x:c>
      <x:c r="M23" s="2" t="str">
        <x:f>IF(COUNTA(A23:K23,N23)=0,"",IF(OR('Auto mensal'!$B$5="",'Auto mensal'!$D$5="",'Auto mensal'!$D$5&lt;'Auto mensal'!$B$5),"Pendente: período",IF(OR(A23="",NOT(ISNUMBER(A23))),"Pendente: data",IF(OR(A23&lt;'Auto mensal'!$B$5,A23&gt;'Auto mensal'!$D$5),"Fora do período",IF(OR(B23="",C23="",D23="",E23=""),"Pendente: identificação",IF(COUNTIFS('Auto mensal'!$A$13:$A$42,B23,'Auto mensal'!$C$13:$C$42,"Betão")&lt;&gt;1,"Pendente: artigo / material",IF(AND(ISNUMBER(F23),F23&gt;0,F23=INT(F23),OR(G23="Retangular",G23="Circular"),ISNUMBER(H23),H23&gt;0,OR(G23="Circular",AND(ISNUMBER(I23),I23&gt;0)),ISNUMBER(J23),J23&gt;0,OR(K23="",AND(ISNUMBER(K23),K23&gt;=0)),N(K23)&lt;=F23*IF(G23="Circular",PI()*H23^2/4,H23*I23)*J23),"OK","Pendente: dimensões")))))))</x:f>
      </x:c>
      <x:c r="N23" s="5"/>
    </x:row>
    <x:row r="24" ht="23" customHeight="1">
      <x:c r="A24" s="6"/>
      <x:c r="B24" s="12"/>
      <x:c r="C24" s="5"/>
      <x:c r="D24" s="5"/>
      <x:c r="E24" s="5"/>
      <x:c r="F24" s="13"/>
      <x:c r="G24" s="13"/>
      <x:c r="H24" s="13"/>
      <x:c r="I24" s="13"/>
      <x:c r="J24" s="13"/>
      <x:c r="K24" s="13"/>
      <x:c r="L24" s="14" t="str">
        <x:f>IF(M24="OK",F24*IF(G24="Circular",PI()*H24^2/4,H24*I24)*J24-N(K24),"")</x:f>
      </x:c>
      <x:c r="M24" s="2" t="str">
        <x:f>IF(COUNTA(A24:K24,N24)=0,"",IF(OR('Auto mensal'!$B$5="",'Auto mensal'!$D$5="",'Auto mensal'!$D$5&lt;'Auto mensal'!$B$5),"Pendente: período",IF(OR(A24="",NOT(ISNUMBER(A24))),"Pendente: data",IF(OR(A24&lt;'Auto mensal'!$B$5,A24&gt;'Auto mensal'!$D$5),"Fora do período",IF(OR(B24="",C24="",D24="",E24=""),"Pendente: identificação",IF(COUNTIFS('Auto mensal'!$A$13:$A$42,B24,'Auto mensal'!$C$13:$C$42,"Betão")&lt;&gt;1,"Pendente: artigo / material",IF(AND(ISNUMBER(F24),F24&gt;0,F24=INT(F24),OR(G24="Retangular",G24="Circular"),ISNUMBER(H24),H24&gt;0,OR(G24="Circular",AND(ISNUMBER(I24),I24&gt;0)),ISNUMBER(J24),J24&gt;0,OR(K24="",AND(ISNUMBER(K24),K24&gt;=0)),N(K24)&lt;=F24*IF(G24="Circular",PI()*H24^2/4,H24*I24)*J24),"OK","Pendente: dimensões")))))))</x:f>
      </x:c>
      <x:c r="N24" s="5"/>
    </x:row>
    <x:row r="25" ht="23" customHeight="1">
      <x:c r="A25" s="6"/>
      <x:c r="B25" s="12"/>
      <x:c r="C25" s="5"/>
      <x:c r="D25" s="5"/>
      <x:c r="E25" s="5"/>
      <x:c r="F25" s="13"/>
      <x:c r="G25" s="13"/>
      <x:c r="H25" s="13"/>
      <x:c r="I25" s="13"/>
      <x:c r="J25" s="13"/>
      <x:c r="K25" s="13"/>
      <x:c r="L25" s="14" t="str">
        <x:f>IF(M25="OK",F25*IF(G25="Circular",PI()*H25^2/4,H25*I25)*J25-N(K25),"")</x:f>
      </x:c>
      <x:c r="M25" s="2" t="str">
        <x:f>IF(COUNTA(A25:K25,N25)=0,"",IF(OR('Auto mensal'!$B$5="",'Auto mensal'!$D$5="",'Auto mensal'!$D$5&lt;'Auto mensal'!$B$5),"Pendente: período",IF(OR(A25="",NOT(ISNUMBER(A25))),"Pendente: data",IF(OR(A25&lt;'Auto mensal'!$B$5,A25&gt;'Auto mensal'!$D$5),"Fora do período",IF(OR(B25="",C25="",D25="",E25=""),"Pendente: identificação",IF(COUNTIFS('Auto mensal'!$A$13:$A$42,B25,'Auto mensal'!$C$13:$C$42,"Betão")&lt;&gt;1,"Pendente: artigo / material",IF(AND(ISNUMBER(F25),F25&gt;0,F25=INT(F25),OR(G25="Retangular",G25="Circular"),ISNUMBER(H25),H25&gt;0,OR(G25="Circular",AND(ISNUMBER(I25),I25&gt;0)),ISNUMBER(J25),J25&gt;0,OR(K25="",AND(ISNUMBER(K25),K25&gt;=0)),N(K25)&lt;=F25*IF(G25="Circular",PI()*H25^2/4,H25*I25)*J25),"OK","Pendente: dimensões")))))))</x:f>
      </x:c>
      <x:c r="N25" s="5"/>
    </x:row>
    <x:row r="26" ht="23" customHeight="1">
      <x:c r="A26" s="6"/>
      <x:c r="B26" s="12"/>
      <x:c r="C26" s="5"/>
      <x:c r="D26" s="5"/>
      <x:c r="E26" s="5"/>
      <x:c r="F26" s="13"/>
      <x:c r="G26" s="13"/>
      <x:c r="H26" s="13"/>
      <x:c r="I26" s="13"/>
      <x:c r="J26" s="13"/>
      <x:c r="K26" s="13"/>
      <x:c r="L26" s="14" t="str">
        <x:f>IF(M26="OK",F26*IF(G26="Circular",PI()*H26^2/4,H26*I26)*J26-N(K26),"")</x:f>
      </x:c>
      <x:c r="M26" s="2" t="str">
        <x:f>IF(COUNTA(A26:K26,N26)=0,"",IF(OR('Auto mensal'!$B$5="",'Auto mensal'!$D$5="",'Auto mensal'!$D$5&lt;'Auto mensal'!$B$5),"Pendente: período",IF(OR(A26="",NOT(ISNUMBER(A26))),"Pendente: data",IF(OR(A26&lt;'Auto mensal'!$B$5,A26&gt;'Auto mensal'!$D$5),"Fora do período",IF(OR(B26="",C26="",D26="",E26=""),"Pendente: identificação",IF(COUNTIFS('Auto mensal'!$A$13:$A$42,B26,'Auto mensal'!$C$13:$C$42,"Betão")&lt;&gt;1,"Pendente: artigo / material",IF(AND(ISNUMBER(F26),F26&gt;0,F26=INT(F26),OR(G26="Retangular",G26="Circular"),ISNUMBER(H26),H26&gt;0,OR(G26="Circular",AND(ISNUMBER(I26),I26&gt;0)),ISNUMBER(J26),J26&gt;0,OR(K26="",AND(ISNUMBER(K26),K26&gt;=0)),N(K26)&lt;=F26*IF(G26="Circular",PI()*H26^2/4,H26*I26)*J26),"OK","Pendente: dimensões")))))))</x:f>
      </x:c>
      <x:c r="N26" s="5"/>
    </x:row>
    <x:row r="27" ht="23" customHeight="1">
      <x:c r="A27" s="6"/>
      <x:c r="B27" s="12"/>
      <x:c r="C27" s="5"/>
      <x:c r="D27" s="5"/>
      <x:c r="E27" s="5"/>
      <x:c r="F27" s="13"/>
      <x:c r="G27" s="13"/>
      <x:c r="H27" s="13"/>
      <x:c r="I27" s="13"/>
      <x:c r="J27" s="13"/>
      <x:c r="K27" s="13"/>
      <x:c r="L27" s="14" t="str">
        <x:f>IF(M27="OK",F27*IF(G27="Circular",PI()*H27^2/4,H27*I27)*J27-N(K27),"")</x:f>
      </x:c>
      <x:c r="M27" s="2" t="str">
        <x:f>IF(COUNTA(A27:K27,N27)=0,"",IF(OR('Auto mensal'!$B$5="",'Auto mensal'!$D$5="",'Auto mensal'!$D$5&lt;'Auto mensal'!$B$5),"Pendente: período",IF(OR(A27="",NOT(ISNUMBER(A27))),"Pendente: data",IF(OR(A27&lt;'Auto mensal'!$B$5,A27&gt;'Auto mensal'!$D$5),"Fora do período",IF(OR(B27="",C27="",D27="",E27=""),"Pendente: identificação",IF(COUNTIFS('Auto mensal'!$A$13:$A$42,B27,'Auto mensal'!$C$13:$C$42,"Betão")&lt;&gt;1,"Pendente: artigo / material",IF(AND(ISNUMBER(F27),F27&gt;0,F27=INT(F27),OR(G27="Retangular",G27="Circular"),ISNUMBER(H27),H27&gt;0,OR(G27="Circular",AND(ISNUMBER(I27),I27&gt;0)),ISNUMBER(J27),J27&gt;0,OR(K27="",AND(ISNUMBER(K27),K27&gt;=0)),N(K27)&lt;=F27*IF(G27="Circular",PI()*H27^2/4,H27*I27)*J27),"OK","Pendente: dimensões")))))))</x:f>
      </x:c>
      <x:c r="N27" s="5"/>
    </x:row>
    <x:row r="28" ht="23" customHeight="1">
      <x:c r="A28" s="6"/>
      <x:c r="B28" s="12"/>
      <x:c r="C28" s="5"/>
      <x:c r="D28" s="5"/>
      <x:c r="E28" s="5"/>
      <x:c r="F28" s="13"/>
      <x:c r="G28" s="13"/>
      <x:c r="H28" s="13"/>
      <x:c r="I28" s="13"/>
      <x:c r="J28" s="13"/>
      <x:c r="K28" s="13"/>
      <x:c r="L28" s="14" t="str">
        <x:f>IF(M28="OK",F28*IF(G28="Circular",PI()*H28^2/4,H28*I28)*J28-N(K28),"")</x:f>
      </x:c>
      <x:c r="M28" s="2" t="str">
        <x:f>IF(COUNTA(A28:K28,N28)=0,"",IF(OR('Auto mensal'!$B$5="",'Auto mensal'!$D$5="",'Auto mensal'!$D$5&lt;'Auto mensal'!$B$5),"Pendente: período",IF(OR(A28="",NOT(ISNUMBER(A28))),"Pendente: data",IF(OR(A28&lt;'Auto mensal'!$B$5,A28&gt;'Auto mensal'!$D$5),"Fora do período",IF(OR(B28="",C28="",D28="",E28=""),"Pendente: identificação",IF(COUNTIFS('Auto mensal'!$A$13:$A$42,B28,'Auto mensal'!$C$13:$C$42,"Betão")&lt;&gt;1,"Pendente: artigo / material",IF(AND(ISNUMBER(F28),F28&gt;0,F28=INT(F28),OR(G28="Retangular",G28="Circular"),ISNUMBER(H28),H28&gt;0,OR(G28="Circular",AND(ISNUMBER(I28),I28&gt;0)),ISNUMBER(J28),J28&gt;0,OR(K28="",AND(ISNUMBER(K28),K28&gt;=0)),N(K28)&lt;=F28*IF(G28="Circular",PI()*H28^2/4,H28*I28)*J28),"OK","Pendente: dimensões")))))))</x:f>
      </x:c>
      <x:c r="N28" s="5"/>
    </x:row>
    <x:row r="29" ht="23" customHeight="1">
      <x:c r="A29" s="6"/>
      <x:c r="B29" s="12"/>
      <x:c r="C29" s="5"/>
      <x:c r="D29" s="5"/>
      <x:c r="E29" s="5"/>
      <x:c r="F29" s="13"/>
      <x:c r="G29" s="13"/>
      <x:c r="H29" s="13"/>
      <x:c r="I29" s="13"/>
      <x:c r="J29" s="13"/>
      <x:c r="K29" s="13"/>
      <x:c r="L29" s="14" t="str">
        <x:f>IF(M29="OK",F29*IF(G29="Circular",PI()*H29^2/4,H29*I29)*J29-N(K29),"")</x:f>
      </x:c>
      <x:c r="M29" s="2" t="str">
        <x:f>IF(COUNTA(A29:K29,N29)=0,"",IF(OR('Auto mensal'!$B$5="",'Auto mensal'!$D$5="",'Auto mensal'!$D$5&lt;'Auto mensal'!$B$5),"Pendente: período",IF(OR(A29="",NOT(ISNUMBER(A29))),"Pendente: data",IF(OR(A29&lt;'Auto mensal'!$B$5,A29&gt;'Auto mensal'!$D$5),"Fora do período",IF(OR(B29="",C29="",D29="",E29=""),"Pendente: identificação",IF(COUNTIFS('Auto mensal'!$A$13:$A$42,B29,'Auto mensal'!$C$13:$C$42,"Betão")&lt;&gt;1,"Pendente: artigo / material",IF(AND(ISNUMBER(F29),F29&gt;0,F29=INT(F29),OR(G29="Retangular",G29="Circular"),ISNUMBER(H29),H29&gt;0,OR(G29="Circular",AND(ISNUMBER(I29),I29&gt;0)),ISNUMBER(J29),J29&gt;0,OR(K29="",AND(ISNUMBER(K29),K29&gt;=0)),N(K29)&lt;=F29*IF(G29="Circular",PI()*H29^2/4,H29*I29)*J29),"OK","Pendente: dimensões")))))))</x:f>
      </x:c>
      <x:c r="N29" s="5"/>
    </x:row>
    <x:row r="30" ht="23" customHeight="1">
      <x:c r="A30" s="6"/>
      <x:c r="B30" s="12"/>
      <x:c r="C30" s="5"/>
      <x:c r="D30" s="5"/>
      <x:c r="E30" s="5"/>
      <x:c r="F30" s="13"/>
      <x:c r="G30" s="13"/>
      <x:c r="H30" s="13"/>
      <x:c r="I30" s="13"/>
      <x:c r="J30" s="13"/>
      <x:c r="K30" s="13"/>
      <x:c r="L30" s="14" t="str">
        <x:f>IF(M30="OK",F30*IF(G30="Circular",PI()*H30^2/4,H30*I30)*J30-N(K30),"")</x:f>
      </x:c>
      <x:c r="M30" s="2" t="str">
        <x:f>IF(COUNTA(A30:K30,N30)=0,"",IF(OR('Auto mensal'!$B$5="",'Auto mensal'!$D$5="",'Auto mensal'!$D$5&lt;'Auto mensal'!$B$5),"Pendente: período",IF(OR(A30="",NOT(ISNUMBER(A30))),"Pendente: data",IF(OR(A30&lt;'Auto mensal'!$B$5,A30&gt;'Auto mensal'!$D$5),"Fora do período",IF(OR(B30="",C30="",D30="",E30=""),"Pendente: identificação",IF(COUNTIFS('Auto mensal'!$A$13:$A$42,B30,'Auto mensal'!$C$13:$C$42,"Betão")&lt;&gt;1,"Pendente: artigo / material",IF(AND(ISNUMBER(F30),F30&gt;0,F30=INT(F30),OR(G30="Retangular",G30="Circular"),ISNUMBER(H30),H30&gt;0,OR(G30="Circular",AND(ISNUMBER(I30),I30&gt;0)),ISNUMBER(J30),J30&gt;0,OR(K30="",AND(ISNUMBER(K30),K30&gt;=0)),N(K30)&lt;=F30*IF(G30="Circular",PI()*H30^2/4,H30*I30)*J30),"OK","Pendente: dimensões")))))))</x:f>
      </x:c>
      <x:c r="N30" s="5"/>
    </x:row>
    <x:row r="31" ht="23" customHeight="1">
      <x:c r="A31" s="6"/>
      <x:c r="B31" s="12"/>
      <x:c r="C31" s="5"/>
      <x:c r="D31" s="5"/>
      <x:c r="E31" s="5"/>
      <x:c r="F31" s="13"/>
      <x:c r="G31" s="13"/>
      <x:c r="H31" s="13"/>
      <x:c r="I31" s="13"/>
      <x:c r="J31" s="13"/>
      <x:c r="K31" s="13"/>
      <x:c r="L31" s="14" t="str">
        <x:f>IF(M31="OK",F31*IF(G31="Circular",PI()*H31^2/4,H31*I31)*J31-N(K31),"")</x:f>
      </x:c>
      <x:c r="M31" s="2" t="str">
        <x:f>IF(COUNTA(A31:K31,N31)=0,"",IF(OR('Auto mensal'!$B$5="",'Auto mensal'!$D$5="",'Auto mensal'!$D$5&lt;'Auto mensal'!$B$5),"Pendente: período",IF(OR(A31="",NOT(ISNUMBER(A31))),"Pendente: data",IF(OR(A31&lt;'Auto mensal'!$B$5,A31&gt;'Auto mensal'!$D$5),"Fora do período",IF(OR(B31="",C31="",D31="",E31=""),"Pendente: identificação",IF(COUNTIFS('Auto mensal'!$A$13:$A$42,B31,'Auto mensal'!$C$13:$C$42,"Betão")&lt;&gt;1,"Pendente: artigo / material",IF(AND(ISNUMBER(F31),F31&gt;0,F31=INT(F31),OR(G31="Retangular",G31="Circular"),ISNUMBER(H31),H31&gt;0,OR(G31="Circular",AND(ISNUMBER(I31),I31&gt;0)),ISNUMBER(J31),J31&gt;0,OR(K31="",AND(ISNUMBER(K31),K31&gt;=0)),N(K31)&lt;=F31*IF(G31="Circular",PI()*H31^2/4,H31*I31)*J31),"OK","Pendente: dimensões")))))))</x:f>
      </x:c>
      <x:c r="N31" s="5"/>
    </x:row>
    <x:row r="32" ht="23" customHeight="1">
      <x:c r="A32" s="6"/>
      <x:c r="B32" s="12"/>
      <x:c r="C32" s="5"/>
      <x:c r="D32" s="5"/>
      <x:c r="E32" s="5"/>
      <x:c r="F32" s="13"/>
      <x:c r="G32" s="13"/>
      <x:c r="H32" s="13"/>
      <x:c r="I32" s="13"/>
      <x:c r="J32" s="13"/>
      <x:c r="K32" s="13"/>
      <x:c r="L32" s="14" t="str">
        <x:f>IF(M32="OK",F32*IF(G32="Circular",PI()*H32^2/4,H32*I32)*J32-N(K32),"")</x:f>
      </x:c>
      <x:c r="M32" s="2" t="str">
        <x:f>IF(COUNTA(A32:K32,N32)=0,"",IF(OR('Auto mensal'!$B$5="",'Auto mensal'!$D$5="",'Auto mensal'!$D$5&lt;'Auto mensal'!$B$5),"Pendente: período",IF(OR(A32="",NOT(ISNUMBER(A32))),"Pendente: data",IF(OR(A32&lt;'Auto mensal'!$B$5,A32&gt;'Auto mensal'!$D$5),"Fora do período",IF(OR(B32="",C32="",D32="",E32=""),"Pendente: identificação",IF(COUNTIFS('Auto mensal'!$A$13:$A$42,B32,'Auto mensal'!$C$13:$C$42,"Betão")&lt;&gt;1,"Pendente: artigo / material",IF(AND(ISNUMBER(F32),F32&gt;0,F32=INT(F32),OR(G32="Retangular",G32="Circular"),ISNUMBER(H32),H32&gt;0,OR(G32="Circular",AND(ISNUMBER(I32),I32&gt;0)),ISNUMBER(J32),J32&gt;0,OR(K32="",AND(ISNUMBER(K32),K32&gt;=0)),N(K32)&lt;=F32*IF(G32="Circular",PI()*H32^2/4,H32*I32)*J32),"OK","Pendente: dimensões")))))))</x:f>
      </x:c>
      <x:c r="N32" s="5"/>
    </x:row>
    <x:row r="33" ht="23" customHeight="1">
      <x:c r="A33" s="6"/>
      <x:c r="B33" s="12"/>
      <x:c r="C33" s="5"/>
      <x:c r="D33" s="5"/>
      <x:c r="E33" s="5"/>
      <x:c r="F33" s="13"/>
      <x:c r="G33" s="13"/>
      <x:c r="H33" s="13"/>
      <x:c r="I33" s="13"/>
      <x:c r="J33" s="13"/>
      <x:c r="K33" s="13"/>
      <x:c r="L33" s="14" t="str">
        <x:f>IF(M33="OK",F33*IF(G33="Circular",PI()*H33^2/4,H33*I33)*J33-N(K33),"")</x:f>
      </x:c>
      <x:c r="M33" s="2" t="str">
        <x:f>IF(COUNTA(A33:K33,N33)=0,"",IF(OR('Auto mensal'!$B$5="",'Auto mensal'!$D$5="",'Auto mensal'!$D$5&lt;'Auto mensal'!$B$5),"Pendente: período",IF(OR(A33="",NOT(ISNUMBER(A33))),"Pendente: data",IF(OR(A33&lt;'Auto mensal'!$B$5,A33&gt;'Auto mensal'!$D$5),"Fora do período",IF(OR(B33="",C33="",D33="",E33=""),"Pendente: identificação",IF(COUNTIFS('Auto mensal'!$A$13:$A$42,B33,'Auto mensal'!$C$13:$C$42,"Betão")&lt;&gt;1,"Pendente: artigo / material",IF(AND(ISNUMBER(F33),F33&gt;0,F33=INT(F33),OR(G33="Retangular",G33="Circular"),ISNUMBER(H33),H33&gt;0,OR(G33="Circular",AND(ISNUMBER(I33),I33&gt;0)),ISNUMBER(J33),J33&gt;0,OR(K33="",AND(ISNUMBER(K33),K33&gt;=0)),N(K33)&lt;=F33*IF(G33="Circular",PI()*H33^2/4,H33*I33)*J33),"OK","Pendente: dimensões")))))))</x:f>
      </x:c>
      <x:c r="N33" s="5"/>
    </x:row>
    <x:row r="34" ht="23" customHeight="1">
      <x:c r="A34" s="6"/>
      <x:c r="B34" s="12"/>
      <x:c r="C34" s="5"/>
      <x:c r="D34" s="5"/>
      <x:c r="E34" s="5"/>
      <x:c r="F34" s="13"/>
      <x:c r="G34" s="13"/>
      <x:c r="H34" s="13"/>
      <x:c r="I34" s="13"/>
      <x:c r="J34" s="13"/>
      <x:c r="K34" s="13"/>
      <x:c r="L34" s="14" t="str">
        <x:f>IF(M34="OK",F34*IF(G34="Circular",PI()*H34^2/4,H34*I34)*J34-N(K34),"")</x:f>
      </x:c>
      <x:c r="M34" s="2" t="str">
        <x:f>IF(COUNTA(A34:K34,N34)=0,"",IF(OR('Auto mensal'!$B$5="",'Auto mensal'!$D$5="",'Auto mensal'!$D$5&lt;'Auto mensal'!$B$5),"Pendente: período",IF(OR(A34="",NOT(ISNUMBER(A34))),"Pendente: data",IF(OR(A34&lt;'Auto mensal'!$B$5,A34&gt;'Auto mensal'!$D$5),"Fora do período",IF(OR(B34="",C34="",D34="",E34=""),"Pendente: identificação",IF(COUNTIFS('Auto mensal'!$A$13:$A$42,B34,'Auto mensal'!$C$13:$C$42,"Betão")&lt;&gt;1,"Pendente: artigo / material",IF(AND(ISNUMBER(F34),F34&gt;0,F34=INT(F34),OR(G34="Retangular",G34="Circular"),ISNUMBER(H34),H34&gt;0,OR(G34="Circular",AND(ISNUMBER(I34),I34&gt;0)),ISNUMBER(J34),J34&gt;0,OR(K34="",AND(ISNUMBER(K34),K34&gt;=0)),N(K34)&lt;=F34*IF(G34="Circular",PI()*H34^2/4,H34*I34)*J34),"OK","Pendente: dimensões")))))))</x:f>
      </x:c>
      <x:c r="N34" s="5"/>
    </x:row>
    <x:row r="35" ht="23" customHeight="1">
      <x:c r="A35" s="6"/>
      <x:c r="B35" s="12"/>
      <x:c r="C35" s="5"/>
      <x:c r="D35" s="5"/>
      <x:c r="E35" s="5"/>
      <x:c r="F35" s="13"/>
      <x:c r="G35" s="13"/>
      <x:c r="H35" s="13"/>
      <x:c r="I35" s="13"/>
      <x:c r="J35" s="13"/>
      <x:c r="K35" s="13"/>
      <x:c r="L35" s="14" t="str">
        <x:f>IF(M35="OK",F35*IF(G35="Circular",PI()*H35^2/4,H35*I35)*J35-N(K35),"")</x:f>
      </x:c>
      <x:c r="M35" s="2" t="str">
        <x:f>IF(COUNTA(A35:K35,N35)=0,"",IF(OR('Auto mensal'!$B$5="",'Auto mensal'!$D$5="",'Auto mensal'!$D$5&lt;'Auto mensal'!$B$5),"Pendente: período",IF(OR(A35="",NOT(ISNUMBER(A35))),"Pendente: data",IF(OR(A35&lt;'Auto mensal'!$B$5,A35&gt;'Auto mensal'!$D$5),"Fora do período",IF(OR(B35="",C35="",D35="",E35=""),"Pendente: identificação",IF(COUNTIFS('Auto mensal'!$A$13:$A$42,B35,'Auto mensal'!$C$13:$C$42,"Betão")&lt;&gt;1,"Pendente: artigo / material",IF(AND(ISNUMBER(F35),F35&gt;0,F35=INT(F35),OR(G35="Retangular",G35="Circular"),ISNUMBER(H35),H35&gt;0,OR(G35="Circular",AND(ISNUMBER(I35),I35&gt;0)),ISNUMBER(J35),J35&gt;0,OR(K35="",AND(ISNUMBER(K35),K35&gt;=0)),N(K35)&lt;=F35*IF(G35="Circular",PI()*H35^2/4,H35*I35)*J35),"OK","Pendente: dimensões")))))))</x:f>
      </x:c>
      <x:c r="N35" s="5"/>
    </x:row>
    <x:row r="36" ht="23" customHeight="1">
      <x:c r="A36" s="6"/>
      <x:c r="B36" s="12"/>
      <x:c r="C36" s="5"/>
      <x:c r="D36" s="5"/>
      <x:c r="E36" s="5"/>
      <x:c r="F36" s="13"/>
      <x:c r="G36" s="13"/>
      <x:c r="H36" s="13"/>
      <x:c r="I36" s="13"/>
      <x:c r="J36" s="13"/>
      <x:c r="K36" s="13"/>
      <x:c r="L36" s="14" t="str">
        <x:f>IF(M36="OK",F36*IF(G36="Circular",PI()*H36^2/4,H36*I36)*J36-N(K36),"")</x:f>
      </x:c>
      <x:c r="M36" s="2" t="str">
        <x:f>IF(COUNTA(A36:K36,N36)=0,"",IF(OR('Auto mensal'!$B$5="",'Auto mensal'!$D$5="",'Auto mensal'!$D$5&lt;'Auto mensal'!$B$5),"Pendente: período",IF(OR(A36="",NOT(ISNUMBER(A36))),"Pendente: data",IF(OR(A36&lt;'Auto mensal'!$B$5,A36&gt;'Auto mensal'!$D$5),"Fora do período",IF(OR(B36="",C36="",D36="",E36=""),"Pendente: identificação",IF(COUNTIFS('Auto mensal'!$A$13:$A$42,B36,'Auto mensal'!$C$13:$C$42,"Betão")&lt;&gt;1,"Pendente: artigo / material",IF(AND(ISNUMBER(F36),F36&gt;0,F36=INT(F36),OR(G36="Retangular",G36="Circular"),ISNUMBER(H36),H36&gt;0,OR(G36="Circular",AND(ISNUMBER(I36),I36&gt;0)),ISNUMBER(J36),J36&gt;0,OR(K36="",AND(ISNUMBER(K36),K36&gt;=0)),N(K36)&lt;=F36*IF(G36="Circular",PI()*H36^2/4,H36*I36)*J36),"OK","Pendente: dimensões")))))))</x:f>
      </x:c>
      <x:c r="N36" s="5"/>
    </x:row>
    <x:row r="37" ht="23" customHeight="1">
      <x:c r="A37" s="6"/>
      <x:c r="B37" s="12"/>
      <x:c r="C37" s="5"/>
      <x:c r="D37" s="5"/>
      <x:c r="E37" s="5"/>
      <x:c r="F37" s="13"/>
      <x:c r="G37" s="13"/>
      <x:c r="H37" s="13"/>
      <x:c r="I37" s="13"/>
      <x:c r="J37" s="13"/>
      <x:c r="K37" s="13"/>
      <x:c r="L37" s="14" t="str">
        <x:f>IF(M37="OK",F37*IF(G37="Circular",PI()*H37^2/4,H37*I37)*J37-N(K37),"")</x:f>
      </x:c>
      <x:c r="M37" s="2" t="str">
        <x:f>IF(COUNTA(A37:K37,N37)=0,"",IF(OR('Auto mensal'!$B$5="",'Auto mensal'!$D$5="",'Auto mensal'!$D$5&lt;'Auto mensal'!$B$5),"Pendente: período",IF(OR(A37="",NOT(ISNUMBER(A37))),"Pendente: data",IF(OR(A37&lt;'Auto mensal'!$B$5,A37&gt;'Auto mensal'!$D$5),"Fora do período",IF(OR(B37="",C37="",D37="",E37=""),"Pendente: identificação",IF(COUNTIFS('Auto mensal'!$A$13:$A$42,B37,'Auto mensal'!$C$13:$C$42,"Betão")&lt;&gt;1,"Pendente: artigo / material",IF(AND(ISNUMBER(F37),F37&gt;0,F37=INT(F37),OR(G37="Retangular",G37="Circular"),ISNUMBER(H37),H37&gt;0,OR(G37="Circular",AND(ISNUMBER(I37),I37&gt;0)),ISNUMBER(J37),J37&gt;0,OR(K37="",AND(ISNUMBER(K37),K37&gt;=0)),N(K37)&lt;=F37*IF(G37="Circular",PI()*H37^2/4,H37*I37)*J37),"OK","Pendente: dimensões")))))))</x:f>
      </x:c>
      <x:c r="N37" s="5"/>
    </x:row>
    <x:row r="38" ht="23" customHeight="1">
      <x:c r="A38" s="6"/>
      <x:c r="B38" s="12"/>
      <x:c r="C38" s="5"/>
      <x:c r="D38" s="5"/>
      <x:c r="E38" s="5"/>
      <x:c r="F38" s="13"/>
      <x:c r="G38" s="13"/>
      <x:c r="H38" s="13"/>
      <x:c r="I38" s="13"/>
      <x:c r="J38" s="13"/>
      <x:c r="K38" s="13"/>
      <x:c r="L38" s="14" t="str">
        <x:f>IF(M38="OK",F38*IF(G38="Circular",PI()*H38^2/4,H38*I38)*J38-N(K38),"")</x:f>
      </x:c>
      <x:c r="M38" s="2" t="str">
        <x:f>IF(COUNTA(A38:K38,N38)=0,"",IF(OR('Auto mensal'!$B$5="",'Auto mensal'!$D$5="",'Auto mensal'!$D$5&lt;'Auto mensal'!$B$5),"Pendente: período",IF(OR(A38="",NOT(ISNUMBER(A38))),"Pendente: data",IF(OR(A38&lt;'Auto mensal'!$B$5,A38&gt;'Auto mensal'!$D$5),"Fora do período",IF(OR(B38="",C38="",D38="",E38=""),"Pendente: identificação",IF(COUNTIFS('Auto mensal'!$A$13:$A$42,B38,'Auto mensal'!$C$13:$C$42,"Betão")&lt;&gt;1,"Pendente: artigo / material",IF(AND(ISNUMBER(F38),F38&gt;0,F38=INT(F38),OR(G38="Retangular",G38="Circular"),ISNUMBER(H38),H38&gt;0,OR(G38="Circular",AND(ISNUMBER(I38),I38&gt;0)),ISNUMBER(J38),J38&gt;0,OR(K38="",AND(ISNUMBER(K38),K38&gt;=0)),N(K38)&lt;=F38*IF(G38="Circular",PI()*H38^2/4,H38*I38)*J38),"OK","Pendente: dimensões")))))))</x:f>
      </x:c>
      <x:c r="N38" s="5"/>
    </x:row>
    <x:row r="39" ht="23" customHeight="1">
      <x:c r="A39" s="6"/>
      <x:c r="B39" s="12"/>
      <x:c r="C39" s="5"/>
      <x:c r="D39" s="5"/>
      <x:c r="E39" s="5"/>
      <x:c r="F39" s="13"/>
      <x:c r="G39" s="13"/>
      <x:c r="H39" s="13"/>
      <x:c r="I39" s="13"/>
      <x:c r="J39" s="13"/>
      <x:c r="K39" s="13"/>
      <x:c r="L39" s="14" t="str">
        <x:f>IF(M39="OK",F39*IF(G39="Circular",PI()*H39^2/4,H39*I39)*J39-N(K39),"")</x:f>
      </x:c>
      <x:c r="M39" s="2" t="str">
        <x:f>IF(COUNTA(A39:K39,N39)=0,"",IF(OR('Auto mensal'!$B$5="",'Auto mensal'!$D$5="",'Auto mensal'!$D$5&lt;'Auto mensal'!$B$5),"Pendente: período",IF(OR(A39="",NOT(ISNUMBER(A39))),"Pendente: data",IF(OR(A39&lt;'Auto mensal'!$B$5,A39&gt;'Auto mensal'!$D$5),"Fora do período",IF(OR(B39="",C39="",D39="",E39=""),"Pendente: identificação",IF(COUNTIFS('Auto mensal'!$A$13:$A$42,B39,'Auto mensal'!$C$13:$C$42,"Betão")&lt;&gt;1,"Pendente: artigo / material",IF(AND(ISNUMBER(F39),F39&gt;0,F39=INT(F39),OR(G39="Retangular",G39="Circular"),ISNUMBER(H39),H39&gt;0,OR(G39="Circular",AND(ISNUMBER(I39),I39&gt;0)),ISNUMBER(J39),J39&gt;0,OR(K39="",AND(ISNUMBER(K39),K39&gt;=0)),N(K39)&lt;=F39*IF(G39="Circular",PI()*H39^2/4,H39*I39)*J39),"OK","Pendente: dimensões")))))))</x:f>
      </x:c>
      <x:c r="N39" s="5"/>
    </x:row>
    <x:row r="40" ht="23" customHeight="1">
      <x:c r="A40" s="6"/>
      <x:c r="B40" s="12"/>
      <x:c r="C40" s="5"/>
      <x:c r="D40" s="5"/>
      <x:c r="E40" s="5"/>
      <x:c r="F40" s="13"/>
      <x:c r="G40" s="13"/>
      <x:c r="H40" s="13"/>
      <x:c r="I40" s="13"/>
      <x:c r="J40" s="13"/>
      <x:c r="K40" s="13"/>
      <x:c r="L40" s="14" t="str">
        <x:f>IF(M40="OK",F40*IF(G40="Circular",PI()*H40^2/4,H40*I40)*J40-N(K40),"")</x:f>
      </x:c>
      <x:c r="M40" s="2" t="str">
        <x:f>IF(COUNTA(A40:K40,N40)=0,"",IF(OR('Auto mensal'!$B$5="",'Auto mensal'!$D$5="",'Auto mensal'!$D$5&lt;'Auto mensal'!$B$5),"Pendente: período",IF(OR(A40="",NOT(ISNUMBER(A40))),"Pendente: data",IF(OR(A40&lt;'Auto mensal'!$B$5,A40&gt;'Auto mensal'!$D$5),"Fora do período",IF(OR(B40="",C40="",D40="",E40=""),"Pendente: identificação",IF(COUNTIFS('Auto mensal'!$A$13:$A$42,B40,'Auto mensal'!$C$13:$C$42,"Betão")&lt;&gt;1,"Pendente: artigo / material",IF(AND(ISNUMBER(F40),F40&gt;0,F40=INT(F40),OR(G40="Retangular",G40="Circular"),ISNUMBER(H40),H40&gt;0,OR(G40="Circular",AND(ISNUMBER(I40),I40&gt;0)),ISNUMBER(J40),J40&gt;0,OR(K40="",AND(ISNUMBER(K40),K40&gt;=0)),N(K40)&lt;=F40*IF(G40="Circular",PI()*H40^2/4,H40*I40)*J40),"OK","Pendente: dimensões")))))))</x:f>
      </x:c>
      <x:c r="N40" s="5"/>
    </x:row>
    <x:row r="41" ht="23" customHeight="1">
      <x:c r="A41" s="6"/>
      <x:c r="B41" s="12"/>
      <x:c r="C41" s="5"/>
      <x:c r="D41" s="5"/>
      <x:c r="E41" s="5"/>
      <x:c r="F41" s="13"/>
      <x:c r="G41" s="13"/>
      <x:c r="H41" s="13"/>
      <x:c r="I41" s="13"/>
      <x:c r="J41" s="13"/>
      <x:c r="K41" s="13"/>
      <x:c r="L41" s="14" t="str">
        <x:f>IF(M41="OK",F41*IF(G41="Circular",PI()*H41^2/4,H41*I41)*J41-N(K41),"")</x:f>
      </x:c>
      <x:c r="M41" s="2" t="str">
        <x:f>IF(COUNTA(A41:K41,N41)=0,"",IF(OR('Auto mensal'!$B$5="",'Auto mensal'!$D$5="",'Auto mensal'!$D$5&lt;'Auto mensal'!$B$5),"Pendente: período",IF(OR(A41="",NOT(ISNUMBER(A41))),"Pendente: data",IF(OR(A41&lt;'Auto mensal'!$B$5,A41&gt;'Auto mensal'!$D$5),"Fora do período",IF(OR(B41="",C41="",D41="",E41=""),"Pendente: identificação",IF(COUNTIFS('Auto mensal'!$A$13:$A$42,B41,'Auto mensal'!$C$13:$C$42,"Betão")&lt;&gt;1,"Pendente: artigo / material",IF(AND(ISNUMBER(F41),F41&gt;0,F41=INT(F41),OR(G41="Retangular",G41="Circular"),ISNUMBER(H41),H41&gt;0,OR(G41="Circular",AND(ISNUMBER(I41),I41&gt;0)),ISNUMBER(J41),J41&gt;0,OR(K41="",AND(ISNUMBER(K41),K41&gt;=0)),N(K41)&lt;=F41*IF(G41="Circular",PI()*H41^2/4,H41*I41)*J41),"OK","Pendente: dimensões")))))))</x:f>
      </x:c>
      <x:c r="N41" s="5"/>
    </x:row>
    <x:row r="42" ht="23" customHeight="1">
      <x:c r="A42" s="6"/>
      <x:c r="B42" s="12"/>
      <x:c r="C42" s="5"/>
      <x:c r="D42" s="5"/>
      <x:c r="E42" s="5"/>
      <x:c r="F42" s="13"/>
      <x:c r="G42" s="13"/>
      <x:c r="H42" s="13"/>
      <x:c r="I42" s="13"/>
      <x:c r="J42" s="13"/>
      <x:c r="K42" s="13"/>
      <x:c r="L42" s="14" t="str">
        <x:f>IF(M42="OK",F42*IF(G42="Circular",PI()*H42^2/4,H42*I42)*J42-N(K42),"")</x:f>
      </x:c>
      <x:c r="M42" s="2" t="str">
        <x:f>IF(COUNTA(A42:K42,N42)=0,"",IF(OR('Auto mensal'!$B$5="",'Auto mensal'!$D$5="",'Auto mensal'!$D$5&lt;'Auto mensal'!$B$5),"Pendente: período",IF(OR(A42="",NOT(ISNUMBER(A42))),"Pendente: data",IF(OR(A42&lt;'Auto mensal'!$B$5,A42&gt;'Auto mensal'!$D$5),"Fora do período",IF(OR(B42="",C42="",D42="",E42=""),"Pendente: identificação",IF(COUNTIFS('Auto mensal'!$A$13:$A$42,B42,'Auto mensal'!$C$13:$C$42,"Betão")&lt;&gt;1,"Pendente: artigo / material",IF(AND(ISNUMBER(F42),F42&gt;0,F42=INT(F42),OR(G42="Retangular",G42="Circular"),ISNUMBER(H42),H42&gt;0,OR(G42="Circular",AND(ISNUMBER(I42),I42&gt;0)),ISNUMBER(J42),J42&gt;0,OR(K42="",AND(ISNUMBER(K42),K42&gt;=0)),N(K42)&lt;=F42*IF(G42="Circular",PI()*H42^2/4,H42*I42)*J42),"OK","Pendente: dimensões")))))))</x:f>
      </x:c>
      <x:c r="N42" s="5"/>
    </x:row>
    <x:row r="43" ht="23" customHeight="1">
      <x:c r="A43" s="6"/>
      <x:c r="B43" s="12"/>
      <x:c r="C43" s="5"/>
      <x:c r="D43" s="5"/>
      <x:c r="E43" s="5"/>
      <x:c r="F43" s="13"/>
      <x:c r="G43" s="13"/>
      <x:c r="H43" s="13"/>
      <x:c r="I43" s="13"/>
      <x:c r="J43" s="13"/>
      <x:c r="K43" s="13"/>
      <x:c r="L43" s="14" t="str">
        <x:f>IF(M43="OK",F43*IF(G43="Circular",PI()*H43^2/4,H43*I43)*J43-N(K43),"")</x:f>
      </x:c>
      <x:c r="M43" s="2" t="str">
        <x:f>IF(COUNTA(A43:K43,N43)=0,"",IF(OR('Auto mensal'!$B$5="",'Auto mensal'!$D$5="",'Auto mensal'!$D$5&lt;'Auto mensal'!$B$5),"Pendente: período",IF(OR(A43="",NOT(ISNUMBER(A43))),"Pendente: data",IF(OR(A43&lt;'Auto mensal'!$B$5,A43&gt;'Auto mensal'!$D$5),"Fora do período",IF(OR(B43="",C43="",D43="",E43=""),"Pendente: identificação",IF(COUNTIFS('Auto mensal'!$A$13:$A$42,B43,'Auto mensal'!$C$13:$C$42,"Betão")&lt;&gt;1,"Pendente: artigo / material",IF(AND(ISNUMBER(F43),F43&gt;0,F43=INT(F43),OR(G43="Retangular",G43="Circular"),ISNUMBER(H43),H43&gt;0,OR(G43="Circular",AND(ISNUMBER(I43),I43&gt;0)),ISNUMBER(J43),J43&gt;0,OR(K43="",AND(ISNUMBER(K43),K43&gt;=0)),N(K43)&lt;=F43*IF(G43="Circular",PI()*H43^2/4,H43*I43)*J43),"OK","Pendente: dimensões")))))))</x:f>
      </x:c>
      <x:c r="N43" s="5"/>
    </x:row>
    <x:row r="44" ht="23" customHeight="1">
      <x:c r="A44" s="6"/>
      <x:c r="B44" s="12"/>
      <x:c r="C44" s="5"/>
      <x:c r="D44" s="5"/>
      <x:c r="E44" s="5"/>
      <x:c r="F44" s="13"/>
      <x:c r="G44" s="13"/>
      <x:c r="H44" s="13"/>
      <x:c r="I44" s="13"/>
      <x:c r="J44" s="13"/>
      <x:c r="K44" s="13"/>
      <x:c r="L44" s="14" t="str">
        <x:f>IF(M44="OK",F44*IF(G44="Circular",PI()*H44^2/4,H44*I44)*J44-N(K44),"")</x:f>
      </x:c>
      <x:c r="M44" s="2" t="str">
        <x:f>IF(COUNTA(A44:K44,N44)=0,"",IF(OR('Auto mensal'!$B$5="",'Auto mensal'!$D$5="",'Auto mensal'!$D$5&lt;'Auto mensal'!$B$5),"Pendente: período",IF(OR(A44="",NOT(ISNUMBER(A44))),"Pendente: data",IF(OR(A44&lt;'Auto mensal'!$B$5,A44&gt;'Auto mensal'!$D$5),"Fora do período",IF(OR(B44="",C44="",D44="",E44=""),"Pendente: identificação",IF(COUNTIFS('Auto mensal'!$A$13:$A$42,B44,'Auto mensal'!$C$13:$C$42,"Betão")&lt;&gt;1,"Pendente: artigo / material",IF(AND(ISNUMBER(F44),F44&gt;0,F44=INT(F44),OR(G44="Retangular",G44="Circular"),ISNUMBER(H44),H44&gt;0,OR(G44="Circular",AND(ISNUMBER(I44),I44&gt;0)),ISNUMBER(J44),J44&gt;0,OR(K44="",AND(ISNUMBER(K44),K44&gt;=0)),N(K44)&lt;=F44*IF(G44="Circular",PI()*H44^2/4,H44*I44)*J44),"OK","Pendente: dimensões")))))))</x:f>
      </x:c>
      <x:c r="N44" s="5"/>
    </x:row>
    <x:row r="45" ht="23" customHeight="1">
      <x:c r="A45" s="6"/>
      <x:c r="B45" s="12"/>
      <x:c r="C45" s="5"/>
      <x:c r="D45" s="5"/>
      <x:c r="E45" s="5"/>
      <x:c r="F45" s="13"/>
      <x:c r="G45" s="13"/>
      <x:c r="H45" s="13"/>
      <x:c r="I45" s="13"/>
      <x:c r="J45" s="13"/>
      <x:c r="K45" s="13"/>
      <x:c r="L45" s="14" t="str">
        <x:f>IF(M45="OK",F45*IF(G45="Circular",PI()*H45^2/4,H45*I45)*J45-N(K45),"")</x:f>
      </x:c>
      <x:c r="M45" s="2" t="str">
        <x:f>IF(COUNTA(A45:K45,N45)=0,"",IF(OR('Auto mensal'!$B$5="",'Auto mensal'!$D$5="",'Auto mensal'!$D$5&lt;'Auto mensal'!$B$5),"Pendente: período",IF(OR(A45="",NOT(ISNUMBER(A45))),"Pendente: data",IF(OR(A45&lt;'Auto mensal'!$B$5,A45&gt;'Auto mensal'!$D$5),"Fora do período",IF(OR(B45="",C45="",D45="",E45=""),"Pendente: identificação",IF(COUNTIFS('Auto mensal'!$A$13:$A$42,B45,'Auto mensal'!$C$13:$C$42,"Betão")&lt;&gt;1,"Pendente: artigo / material",IF(AND(ISNUMBER(F45),F45&gt;0,F45=INT(F45),OR(G45="Retangular",G45="Circular"),ISNUMBER(H45),H45&gt;0,OR(G45="Circular",AND(ISNUMBER(I45),I45&gt;0)),ISNUMBER(J45),J45&gt;0,OR(K45="",AND(ISNUMBER(K45),K45&gt;=0)),N(K45)&lt;=F45*IF(G45="Circular",PI()*H45^2/4,H45*I45)*J45),"OK","Pendente: dimensões")))))))</x:f>
      </x:c>
      <x:c r="N45" s="5"/>
    </x:row>
    <x:row r="46" ht="23" customHeight="1">
      <x:c r="A46" s="6"/>
      <x:c r="B46" s="12"/>
      <x:c r="C46" s="5"/>
      <x:c r="D46" s="5"/>
      <x:c r="E46" s="5"/>
      <x:c r="F46" s="13"/>
      <x:c r="G46" s="13"/>
      <x:c r="H46" s="13"/>
      <x:c r="I46" s="13"/>
      <x:c r="J46" s="13"/>
      <x:c r="K46" s="13"/>
      <x:c r="L46" s="14" t="str">
        <x:f>IF(M46="OK",F46*IF(G46="Circular",PI()*H46^2/4,H46*I46)*J46-N(K46),"")</x:f>
      </x:c>
      <x:c r="M46" s="2" t="str">
        <x:f>IF(COUNTA(A46:K46,N46)=0,"",IF(OR('Auto mensal'!$B$5="",'Auto mensal'!$D$5="",'Auto mensal'!$D$5&lt;'Auto mensal'!$B$5),"Pendente: período",IF(OR(A46="",NOT(ISNUMBER(A46))),"Pendente: data",IF(OR(A46&lt;'Auto mensal'!$B$5,A46&gt;'Auto mensal'!$D$5),"Fora do período",IF(OR(B46="",C46="",D46="",E46=""),"Pendente: identificação",IF(COUNTIFS('Auto mensal'!$A$13:$A$42,B46,'Auto mensal'!$C$13:$C$42,"Betão")&lt;&gt;1,"Pendente: artigo / material",IF(AND(ISNUMBER(F46),F46&gt;0,F46=INT(F46),OR(G46="Retangular",G46="Circular"),ISNUMBER(H46),H46&gt;0,OR(G46="Circular",AND(ISNUMBER(I46),I46&gt;0)),ISNUMBER(J46),J46&gt;0,OR(K46="",AND(ISNUMBER(K46),K46&gt;=0)),N(K46)&lt;=F46*IF(G46="Circular",PI()*H46^2/4,H46*I46)*J46),"OK","Pendente: dimensões")))))))</x:f>
      </x:c>
      <x:c r="N46" s="5"/>
    </x:row>
    <x:row r="47" ht="23" customHeight="1">
      <x:c r="A47" s="6"/>
      <x:c r="B47" s="12"/>
      <x:c r="C47" s="5"/>
      <x:c r="D47" s="5"/>
      <x:c r="E47" s="5"/>
      <x:c r="F47" s="13"/>
      <x:c r="G47" s="13"/>
      <x:c r="H47" s="13"/>
      <x:c r="I47" s="13"/>
      <x:c r="J47" s="13"/>
      <x:c r="K47" s="13"/>
      <x:c r="L47" s="14" t="str">
        <x:f>IF(M47="OK",F47*IF(G47="Circular",PI()*H47^2/4,H47*I47)*J47-N(K47),"")</x:f>
      </x:c>
      <x:c r="M47" s="2" t="str">
        <x:f>IF(COUNTA(A47:K47,N47)=0,"",IF(OR('Auto mensal'!$B$5="",'Auto mensal'!$D$5="",'Auto mensal'!$D$5&lt;'Auto mensal'!$B$5),"Pendente: período",IF(OR(A47="",NOT(ISNUMBER(A47))),"Pendente: data",IF(OR(A47&lt;'Auto mensal'!$B$5,A47&gt;'Auto mensal'!$D$5),"Fora do período",IF(OR(B47="",C47="",D47="",E47=""),"Pendente: identificação",IF(COUNTIFS('Auto mensal'!$A$13:$A$42,B47,'Auto mensal'!$C$13:$C$42,"Betão")&lt;&gt;1,"Pendente: artigo / material",IF(AND(ISNUMBER(F47),F47&gt;0,F47=INT(F47),OR(G47="Retangular",G47="Circular"),ISNUMBER(H47),H47&gt;0,OR(G47="Circular",AND(ISNUMBER(I47),I47&gt;0)),ISNUMBER(J47),J47&gt;0,OR(K47="",AND(ISNUMBER(K47),K47&gt;=0)),N(K47)&lt;=F47*IF(G47="Circular",PI()*H47^2/4,H47*I47)*J47),"OK","Pendente: dimensões")))))))</x:f>
      </x:c>
      <x:c r="N47" s="5"/>
    </x:row>
    <x:row r="48" ht="23" customHeight="1">
      <x:c r="A48" s="6"/>
      <x:c r="B48" s="12"/>
      <x:c r="C48" s="5"/>
      <x:c r="D48" s="5"/>
      <x:c r="E48" s="5"/>
      <x:c r="F48" s="13"/>
      <x:c r="G48" s="13"/>
      <x:c r="H48" s="13"/>
      <x:c r="I48" s="13"/>
      <x:c r="J48" s="13"/>
      <x:c r="K48" s="13"/>
      <x:c r="L48" s="14" t="str">
        <x:f>IF(M48="OK",F48*IF(G48="Circular",PI()*H48^2/4,H48*I48)*J48-N(K48),"")</x:f>
      </x:c>
      <x:c r="M48" s="2" t="str">
        <x:f>IF(COUNTA(A48:K48,N48)=0,"",IF(OR('Auto mensal'!$B$5="",'Auto mensal'!$D$5="",'Auto mensal'!$D$5&lt;'Auto mensal'!$B$5),"Pendente: período",IF(OR(A48="",NOT(ISNUMBER(A48))),"Pendente: data",IF(OR(A48&lt;'Auto mensal'!$B$5,A48&gt;'Auto mensal'!$D$5),"Fora do período",IF(OR(B48="",C48="",D48="",E48=""),"Pendente: identificação",IF(COUNTIFS('Auto mensal'!$A$13:$A$42,B48,'Auto mensal'!$C$13:$C$42,"Betão")&lt;&gt;1,"Pendente: artigo / material",IF(AND(ISNUMBER(F48),F48&gt;0,F48=INT(F48),OR(G48="Retangular",G48="Circular"),ISNUMBER(H48),H48&gt;0,OR(G48="Circular",AND(ISNUMBER(I48),I48&gt;0)),ISNUMBER(J48),J48&gt;0,OR(K48="",AND(ISNUMBER(K48),K48&gt;=0)),N(K48)&lt;=F48*IF(G48="Circular",PI()*H48^2/4,H48*I48)*J48),"OK","Pendente: dimensões")))))))</x:f>
      </x:c>
      <x:c r="N48" s="5"/>
    </x:row>
    <x:row r="49" ht="23" customHeight="1">
      <x:c r="A49" s="6"/>
      <x:c r="B49" s="12"/>
      <x:c r="C49" s="5"/>
      <x:c r="D49" s="5"/>
      <x:c r="E49" s="5"/>
      <x:c r="F49" s="13"/>
      <x:c r="G49" s="13"/>
      <x:c r="H49" s="13"/>
      <x:c r="I49" s="13"/>
      <x:c r="J49" s="13"/>
      <x:c r="K49" s="13"/>
      <x:c r="L49" s="14" t="str">
        <x:f>IF(M49="OK",F49*IF(G49="Circular",PI()*H49^2/4,H49*I49)*J49-N(K49),"")</x:f>
      </x:c>
      <x:c r="M49" s="2" t="str">
        <x:f>IF(COUNTA(A49:K49,N49)=0,"",IF(OR('Auto mensal'!$B$5="",'Auto mensal'!$D$5="",'Auto mensal'!$D$5&lt;'Auto mensal'!$B$5),"Pendente: período",IF(OR(A49="",NOT(ISNUMBER(A49))),"Pendente: data",IF(OR(A49&lt;'Auto mensal'!$B$5,A49&gt;'Auto mensal'!$D$5),"Fora do período",IF(OR(B49="",C49="",D49="",E49=""),"Pendente: identificação",IF(COUNTIFS('Auto mensal'!$A$13:$A$42,B49,'Auto mensal'!$C$13:$C$42,"Betão")&lt;&gt;1,"Pendente: artigo / material",IF(AND(ISNUMBER(F49),F49&gt;0,F49=INT(F49),OR(G49="Retangular",G49="Circular"),ISNUMBER(H49),H49&gt;0,OR(G49="Circular",AND(ISNUMBER(I49),I49&gt;0)),ISNUMBER(J49),J49&gt;0,OR(K49="",AND(ISNUMBER(K49),K49&gt;=0)),N(K49)&lt;=F49*IF(G49="Circular",PI()*H49^2/4,H49*I49)*J49),"OK","Pendente: dimensões")))))))</x:f>
      </x:c>
      <x:c r="N49" s="5"/>
    </x:row>
    <x:row r="50" ht="23" customHeight="1">
      <x:c r="A50" s="6"/>
      <x:c r="B50" s="12"/>
      <x:c r="C50" s="5"/>
      <x:c r="D50" s="5"/>
      <x:c r="E50" s="5"/>
      <x:c r="F50" s="13"/>
      <x:c r="G50" s="13"/>
      <x:c r="H50" s="13"/>
      <x:c r="I50" s="13"/>
      <x:c r="J50" s="13"/>
      <x:c r="K50" s="13"/>
      <x:c r="L50" s="14" t="str">
        <x:f>IF(M50="OK",F50*IF(G50="Circular",PI()*H50^2/4,H50*I50)*J50-N(K50),"")</x:f>
      </x:c>
      <x:c r="M50" s="2" t="str">
        <x:f>IF(COUNTA(A50:K50,N50)=0,"",IF(OR('Auto mensal'!$B$5="",'Auto mensal'!$D$5="",'Auto mensal'!$D$5&lt;'Auto mensal'!$B$5),"Pendente: período",IF(OR(A50="",NOT(ISNUMBER(A50))),"Pendente: data",IF(OR(A50&lt;'Auto mensal'!$B$5,A50&gt;'Auto mensal'!$D$5),"Fora do período",IF(OR(B50="",C50="",D50="",E50=""),"Pendente: identificação",IF(COUNTIFS('Auto mensal'!$A$13:$A$42,B50,'Auto mensal'!$C$13:$C$42,"Betão")&lt;&gt;1,"Pendente: artigo / material",IF(AND(ISNUMBER(F50),F50&gt;0,F50=INT(F50),OR(G50="Retangular",G50="Circular"),ISNUMBER(H50),H50&gt;0,OR(G50="Circular",AND(ISNUMBER(I50),I50&gt;0)),ISNUMBER(J50),J50&gt;0,OR(K50="",AND(ISNUMBER(K50),K50&gt;=0)),N(K50)&lt;=F50*IF(G50="Circular",PI()*H50^2/4,H50*I50)*J50),"OK","Pendente: dimensões")))))))</x:f>
      </x:c>
      <x:c r="N50" s="5"/>
    </x:row>
    <x:row r="51" ht="23" customHeight="1">
      <x:c r="A51" s="6"/>
      <x:c r="B51" s="12"/>
      <x:c r="C51" s="5"/>
      <x:c r="D51" s="5"/>
      <x:c r="E51" s="5"/>
      <x:c r="F51" s="13"/>
      <x:c r="G51" s="13"/>
      <x:c r="H51" s="13"/>
      <x:c r="I51" s="13"/>
      <x:c r="J51" s="13"/>
      <x:c r="K51" s="13"/>
      <x:c r="L51" s="14" t="str">
        <x:f>IF(M51="OK",F51*IF(G51="Circular",PI()*H51^2/4,H51*I51)*J51-N(K51),"")</x:f>
      </x:c>
      <x:c r="M51" s="2" t="str">
        <x:f>IF(COUNTA(A51:K51,N51)=0,"",IF(OR('Auto mensal'!$B$5="",'Auto mensal'!$D$5="",'Auto mensal'!$D$5&lt;'Auto mensal'!$B$5),"Pendente: período",IF(OR(A51="",NOT(ISNUMBER(A51))),"Pendente: data",IF(OR(A51&lt;'Auto mensal'!$B$5,A51&gt;'Auto mensal'!$D$5),"Fora do período",IF(OR(B51="",C51="",D51="",E51=""),"Pendente: identificação",IF(COUNTIFS('Auto mensal'!$A$13:$A$42,B51,'Auto mensal'!$C$13:$C$42,"Betão")&lt;&gt;1,"Pendente: artigo / material",IF(AND(ISNUMBER(F51),F51&gt;0,F51=INT(F51),OR(G51="Retangular",G51="Circular"),ISNUMBER(H51),H51&gt;0,OR(G51="Circular",AND(ISNUMBER(I51),I51&gt;0)),ISNUMBER(J51),J51&gt;0,OR(K51="",AND(ISNUMBER(K51),K51&gt;=0)),N(K51)&lt;=F51*IF(G51="Circular",PI()*H51^2/4,H51*I51)*J51),"OK","Pendente: dimensões")))))))</x:f>
      </x:c>
      <x:c r="N51" s="5"/>
    </x:row>
    <x:row r="52" ht="23" customHeight="1">
      <x:c r="A52" s="6"/>
      <x:c r="B52" s="12"/>
      <x:c r="C52" s="5"/>
      <x:c r="D52" s="5"/>
      <x:c r="E52" s="5"/>
      <x:c r="F52" s="13"/>
      <x:c r="G52" s="13"/>
      <x:c r="H52" s="13"/>
      <x:c r="I52" s="13"/>
      <x:c r="J52" s="13"/>
      <x:c r="K52" s="13"/>
      <x:c r="L52" s="14" t="str">
        <x:f>IF(M52="OK",F52*IF(G52="Circular",PI()*H52^2/4,H52*I52)*J52-N(K52),"")</x:f>
      </x:c>
      <x:c r="M52" s="2" t="str">
        <x:f>IF(COUNTA(A52:K52,N52)=0,"",IF(OR('Auto mensal'!$B$5="",'Auto mensal'!$D$5="",'Auto mensal'!$D$5&lt;'Auto mensal'!$B$5),"Pendente: período",IF(OR(A52="",NOT(ISNUMBER(A52))),"Pendente: data",IF(OR(A52&lt;'Auto mensal'!$B$5,A52&gt;'Auto mensal'!$D$5),"Fora do período",IF(OR(B52="",C52="",D52="",E52=""),"Pendente: identificação",IF(COUNTIFS('Auto mensal'!$A$13:$A$42,B52,'Auto mensal'!$C$13:$C$42,"Betão")&lt;&gt;1,"Pendente: artigo / material",IF(AND(ISNUMBER(F52),F52&gt;0,F52=INT(F52),OR(G52="Retangular",G52="Circular"),ISNUMBER(H52),H52&gt;0,OR(G52="Circular",AND(ISNUMBER(I52),I52&gt;0)),ISNUMBER(J52),J52&gt;0,OR(K52="",AND(ISNUMBER(K52),K52&gt;=0)),N(K52)&lt;=F52*IF(G52="Circular",PI()*H52^2/4,H52*I52)*J52),"OK","Pendente: dimensões")))))))</x:f>
      </x:c>
      <x:c r="N52" s="5"/>
    </x:row>
    <x:row r="53" ht="23" customHeight="1">
      <x:c r="A53" s="6"/>
      <x:c r="B53" s="12"/>
      <x:c r="C53" s="5"/>
      <x:c r="D53" s="5"/>
      <x:c r="E53" s="5"/>
      <x:c r="F53" s="13"/>
      <x:c r="G53" s="13"/>
      <x:c r="H53" s="13"/>
      <x:c r="I53" s="13"/>
      <x:c r="J53" s="13"/>
      <x:c r="K53" s="13"/>
      <x:c r="L53" s="14" t="str">
        <x:f>IF(M53="OK",F53*IF(G53="Circular",PI()*H53^2/4,H53*I53)*J53-N(K53),"")</x:f>
      </x:c>
      <x:c r="M53" s="2" t="str">
        <x:f>IF(COUNTA(A53:K53,N53)=0,"",IF(OR('Auto mensal'!$B$5="",'Auto mensal'!$D$5="",'Auto mensal'!$D$5&lt;'Auto mensal'!$B$5),"Pendente: período",IF(OR(A53="",NOT(ISNUMBER(A53))),"Pendente: data",IF(OR(A53&lt;'Auto mensal'!$B$5,A53&gt;'Auto mensal'!$D$5),"Fora do período",IF(OR(B53="",C53="",D53="",E53=""),"Pendente: identificação",IF(COUNTIFS('Auto mensal'!$A$13:$A$42,B53,'Auto mensal'!$C$13:$C$42,"Betão")&lt;&gt;1,"Pendente: artigo / material",IF(AND(ISNUMBER(F53),F53&gt;0,F53=INT(F53),OR(G53="Retangular",G53="Circular"),ISNUMBER(H53),H53&gt;0,OR(G53="Circular",AND(ISNUMBER(I53),I53&gt;0)),ISNUMBER(J53),J53&gt;0,OR(K53="",AND(ISNUMBER(K53),K53&gt;=0)),N(K53)&lt;=F53*IF(G53="Circular",PI()*H53^2/4,H53*I53)*J53),"OK","Pendente: dimensões")))))))</x:f>
      </x:c>
      <x:c r="N53" s="5"/>
    </x:row>
    <x:row r="54" ht="23" customHeight="1">
      <x:c r="A54" s="6"/>
      <x:c r="B54" s="12"/>
      <x:c r="C54" s="5"/>
      <x:c r="D54" s="5"/>
      <x:c r="E54" s="5"/>
      <x:c r="F54" s="13"/>
      <x:c r="G54" s="13"/>
      <x:c r="H54" s="13"/>
      <x:c r="I54" s="13"/>
      <x:c r="J54" s="13"/>
      <x:c r="K54" s="13"/>
      <x:c r="L54" s="14" t="str">
        <x:f>IF(M54="OK",F54*IF(G54="Circular",PI()*H54^2/4,H54*I54)*J54-N(K54),"")</x:f>
      </x:c>
      <x:c r="M54" s="2" t="str">
        <x:f>IF(COUNTA(A54:K54,N54)=0,"",IF(OR('Auto mensal'!$B$5="",'Auto mensal'!$D$5="",'Auto mensal'!$D$5&lt;'Auto mensal'!$B$5),"Pendente: período",IF(OR(A54="",NOT(ISNUMBER(A54))),"Pendente: data",IF(OR(A54&lt;'Auto mensal'!$B$5,A54&gt;'Auto mensal'!$D$5),"Fora do período",IF(OR(B54="",C54="",D54="",E54=""),"Pendente: identificação",IF(COUNTIFS('Auto mensal'!$A$13:$A$42,B54,'Auto mensal'!$C$13:$C$42,"Betão")&lt;&gt;1,"Pendente: artigo / material",IF(AND(ISNUMBER(F54),F54&gt;0,F54=INT(F54),OR(G54="Retangular",G54="Circular"),ISNUMBER(H54),H54&gt;0,OR(G54="Circular",AND(ISNUMBER(I54),I54&gt;0)),ISNUMBER(J54),J54&gt;0,OR(K54="",AND(ISNUMBER(K54),K54&gt;=0)),N(K54)&lt;=F54*IF(G54="Circular",PI()*H54^2/4,H54*I54)*J54),"OK","Pendente: dimensões")))))))</x:f>
      </x:c>
      <x:c r="N54" s="5"/>
    </x:row>
    <x:row r="55" ht="23" customHeight="1">
      <x:c r="A55" s="6"/>
      <x:c r="B55" s="12"/>
      <x:c r="C55" s="5"/>
      <x:c r="D55" s="5"/>
      <x:c r="E55" s="5"/>
      <x:c r="F55" s="13"/>
      <x:c r="G55" s="13"/>
      <x:c r="H55" s="13"/>
      <x:c r="I55" s="13"/>
      <x:c r="J55" s="13"/>
      <x:c r="K55" s="13"/>
      <x:c r="L55" s="14" t="str">
        <x:f>IF(M55="OK",F55*IF(G55="Circular",PI()*H55^2/4,H55*I55)*J55-N(K55),"")</x:f>
      </x:c>
      <x:c r="M55" s="2" t="str">
        <x:f>IF(COUNTA(A55:K55,N55)=0,"",IF(OR('Auto mensal'!$B$5="",'Auto mensal'!$D$5="",'Auto mensal'!$D$5&lt;'Auto mensal'!$B$5),"Pendente: período",IF(OR(A55="",NOT(ISNUMBER(A55))),"Pendente: data",IF(OR(A55&lt;'Auto mensal'!$B$5,A55&gt;'Auto mensal'!$D$5),"Fora do período",IF(OR(B55="",C55="",D55="",E55=""),"Pendente: identificação",IF(COUNTIFS('Auto mensal'!$A$13:$A$42,B55,'Auto mensal'!$C$13:$C$42,"Betão")&lt;&gt;1,"Pendente: artigo / material",IF(AND(ISNUMBER(F55),F55&gt;0,F55=INT(F55),OR(G55="Retangular",G55="Circular"),ISNUMBER(H55),H55&gt;0,OR(G55="Circular",AND(ISNUMBER(I55),I55&gt;0)),ISNUMBER(J55),J55&gt;0,OR(K55="",AND(ISNUMBER(K55),K55&gt;=0)),N(K55)&lt;=F55*IF(G55="Circular",PI()*H55^2/4,H55*I55)*J55),"OK","Pendente: dimensões")))))))</x:f>
      </x:c>
      <x:c r="N55" s="5"/>
    </x:row>
    <x:row r="56" ht="23" customHeight="1">
      <x:c r="A56" s="6"/>
      <x:c r="B56" s="12"/>
      <x:c r="C56" s="5"/>
      <x:c r="D56" s="5"/>
      <x:c r="E56" s="5"/>
      <x:c r="F56" s="13"/>
      <x:c r="G56" s="13"/>
      <x:c r="H56" s="13"/>
      <x:c r="I56" s="13"/>
      <x:c r="J56" s="13"/>
      <x:c r="K56" s="13"/>
      <x:c r="L56" s="14" t="str">
        <x:f>IF(M56="OK",F56*IF(G56="Circular",PI()*H56^2/4,H56*I56)*J56-N(K56),"")</x:f>
      </x:c>
      <x:c r="M56" s="2" t="str">
        <x:f>IF(COUNTA(A56:K56,N56)=0,"",IF(OR('Auto mensal'!$B$5="",'Auto mensal'!$D$5="",'Auto mensal'!$D$5&lt;'Auto mensal'!$B$5),"Pendente: período",IF(OR(A56="",NOT(ISNUMBER(A56))),"Pendente: data",IF(OR(A56&lt;'Auto mensal'!$B$5,A56&gt;'Auto mensal'!$D$5),"Fora do período",IF(OR(B56="",C56="",D56="",E56=""),"Pendente: identificação",IF(COUNTIFS('Auto mensal'!$A$13:$A$42,B56,'Auto mensal'!$C$13:$C$42,"Betão")&lt;&gt;1,"Pendente: artigo / material",IF(AND(ISNUMBER(F56),F56&gt;0,F56=INT(F56),OR(G56="Retangular",G56="Circular"),ISNUMBER(H56),H56&gt;0,OR(G56="Circular",AND(ISNUMBER(I56),I56&gt;0)),ISNUMBER(J56),J56&gt;0,OR(K56="",AND(ISNUMBER(K56),K56&gt;=0)),N(K56)&lt;=F56*IF(G56="Circular",PI()*H56^2/4,H56*I56)*J56),"OK","Pendente: dimensões")))))))</x:f>
      </x:c>
      <x:c r="N56" s="5"/>
    </x:row>
    <x:row r="57" ht="23" customHeight="1">
      <x:c r="A57" s="6"/>
      <x:c r="B57" s="12"/>
      <x:c r="C57" s="5"/>
      <x:c r="D57" s="5"/>
      <x:c r="E57" s="5"/>
      <x:c r="F57" s="13"/>
      <x:c r="G57" s="13"/>
      <x:c r="H57" s="13"/>
      <x:c r="I57" s="13"/>
      <x:c r="J57" s="13"/>
      <x:c r="K57" s="13"/>
      <x:c r="L57" s="14" t="str">
        <x:f>IF(M57="OK",F57*IF(G57="Circular",PI()*H57^2/4,H57*I57)*J57-N(K57),"")</x:f>
      </x:c>
      <x:c r="M57" s="2" t="str">
        <x:f>IF(COUNTA(A57:K57,N57)=0,"",IF(OR('Auto mensal'!$B$5="",'Auto mensal'!$D$5="",'Auto mensal'!$D$5&lt;'Auto mensal'!$B$5),"Pendente: período",IF(OR(A57="",NOT(ISNUMBER(A57))),"Pendente: data",IF(OR(A57&lt;'Auto mensal'!$B$5,A57&gt;'Auto mensal'!$D$5),"Fora do período",IF(OR(B57="",C57="",D57="",E57=""),"Pendente: identificação",IF(COUNTIFS('Auto mensal'!$A$13:$A$42,B57,'Auto mensal'!$C$13:$C$42,"Betão")&lt;&gt;1,"Pendente: artigo / material",IF(AND(ISNUMBER(F57),F57&gt;0,F57=INT(F57),OR(G57="Retangular",G57="Circular"),ISNUMBER(H57),H57&gt;0,OR(G57="Circular",AND(ISNUMBER(I57),I57&gt;0)),ISNUMBER(J57),J57&gt;0,OR(K57="",AND(ISNUMBER(K57),K57&gt;=0)),N(K57)&lt;=F57*IF(G57="Circular",PI()*H57^2/4,H57*I57)*J57),"OK","Pendente: dimensões")))))))</x:f>
      </x:c>
      <x:c r="N57" s="5"/>
    </x:row>
    <x:row r="58" ht="23" customHeight="1">
      <x:c r="A58" s="6"/>
      <x:c r="B58" s="12"/>
      <x:c r="C58" s="5"/>
      <x:c r="D58" s="5"/>
      <x:c r="E58" s="5"/>
      <x:c r="F58" s="13"/>
      <x:c r="G58" s="13"/>
      <x:c r="H58" s="13"/>
      <x:c r="I58" s="13"/>
      <x:c r="J58" s="13"/>
      <x:c r="K58" s="13"/>
      <x:c r="L58" s="14" t="str">
        <x:f>IF(M58="OK",F58*IF(G58="Circular",PI()*H58^2/4,H58*I58)*J58-N(K58),"")</x:f>
      </x:c>
      <x:c r="M58" s="2" t="str">
        <x:f>IF(COUNTA(A58:K58,N58)=0,"",IF(OR('Auto mensal'!$B$5="",'Auto mensal'!$D$5="",'Auto mensal'!$D$5&lt;'Auto mensal'!$B$5),"Pendente: período",IF(OR(A58="",NOT(ISNUMBER(A58))),"Pendente: data",IF(OR(A58&lt;'Auto mensal'!$B$5,A58&gt;'Auto mensal'!$D$5),"Fora do período",IF(OR(B58="",C58="",D58="",E58=""),"Pendente: identificação",IF(COUNTIFS('Auto mensal'!$A$13:$A$42,B58,'Auto mensal'!$C$13:$C$42,"Betão")&lt;&gt;1,"Pendente: artigo / material",IF(AND(ISNUMBER(F58),F58&gt;0,F58=INT(F58),OR(G58="Retangular",G58="Circular"),ISNUMBER(H58),H58&gt;0,OR(G58="Circular",AND(ISNUMBER(I58),I58&gt;0)),ISNUMBER(J58),J58&gt;0,OR(K58="",AND(ISNUMBER(K58),K58&gt;=0)),N(K58)&lt;=F58*IF(G58="Circular",PI()*H58^2/4,H58*I58)*J58),"OK","Pendente: dimensões")))))))</x:f>
      </x:c>
      <x:c r="N58" s="5"/>
    </x:row>
    <x:row r="59" ht="23" customHeight="1">
      <x:c r="A59" s="6"/>
      <x:c r="B59" s="12"/>
      <x:c r="C59" s="5"/>
      <x:c r="D59" s="5"/>
      <x:c r="E59" s="5"/>
      <x:c r="F59" s="13"/>
      <x:c r="G59" s="13"/>
      <x:c r="H59" s="13"/>
      <x:c r="I59" s="13"/>
      <x:c r="J59" s="13"/>
      <x:c r="K59" s="13"/>
      <x:c r="L59" s="14" t="str">
        <x:f>IF(M59="OK",F59*IF(G59="Circular",PI()*H59^2/4,H59*I59)*J59-N(K59),"")</x:f>
      </x:c>
      <x:c r="M59" s="2" t="str">
        <x:f>IF(COUNTA(A59:K59,N59)=0,"",IF(OR('Auto mensal'!$B$5="",'Auto mensal'!$D$5="",'Auto mensal'!$D$5&lt;'Auto mensal'!$B$5),"Pendente: período",IF(OR(A59="",NOT(ISNUMBER(A59))),"Pendente: data",IF(OR(A59&lt;'Auto mensal'!$B$5,A59&gt;'Auto mensal'!$D$5),"Fora do período",IF(OR(B59="",C59="",D59="",E59=""),"Pendente: identificação",IF(COUNTIFS('Auto mensal'!$A$13:$A$42,B59,'Auto mensal'!$C$13:$C$42,"Betão")&lt;&gt;1,"Pendente: artigo / material",IF(AND(ISNUMBER(F59),F59&gt;0,F59=INT(F59),OR(G59="Retangular",G59="Circular"),ISNUMBER(H59),H59&gt;0,OR(G59="Circular",AND(ISNUMBER(I59),I59&gt;0)),ISNUMBER(J59),J59&gt;0,OR(K59="",AND(ISNUMBER(K59),K59&gt;=0)),N(K59)&lt;=F59*IF(G59="Circular",PI()*H59^2/4,H59*I59)*J59),"OK","Pendente: dimensões")))))))</x:f>
      </x:c>
      <x:c r="N59" s="5"/>
    </x:row>
    <x:row r="60" ht="23" customHeight="1">
      <x:c r="A60" s="6"/>
      <x:c r="B60" s="12"/>
      <x:c r="C60" s="5"/>
      <x:c r="D60" s="5"/>
      <x:c r="E60" s="5"/>
      <x:c r="F60" s="13"/>
      <x:c r="G60" s="13"/>
      <x:c r="H60" s="13"/>
      <x:c r="I60" s="13"/>
      <x:c r="J60" s="13"/>
      <x:c r="K60" s="13"/>
      <x:c r="L60" s="14" t="str">
        <x:f>IF(M60="OK",F60*IF(G60="Circular",PI()*H60^2/4,H60*I60)*J60-N(K60),"")</x:f>
      </x:c>
      <x:c r="M60" s="2" t="str">
        <x:f>IF(COUNTA(A60:K60,N60)=0,"",IF(OR('Auto mensal'!$B$5="",'Auto mensal'!$D$5="",'Auto mensal'!$D$5&lt;'Auto mensal'!$B$5),"Pendente: período",IF(OR(A60="",NOT(ISNUMBER(A60))),"Pendente: data",IF(OR(A60&lt;'Auto mensal'!$B$5,A60&gt;'Auto mensal'!$D$5),"Fora do período",IF(OR(B60="",C60="",D60="",E60=""),"Pendente: identificação",IF(COUNTIFS('Auto mensal'!$A$13:$A$42,B60,'Auto mensal'!$C$13:$C$42,"Betão")&lt;&gt;1,"Pendente: artigo / material",IF(AND(ISNUMBER(F60),F60&gt;0,F60=INT(F60),OR(G60="Retangular",G60="Circular"),ISNUMBER(H60),H60&gt;0,OR(G60="Circular",AND(ISNUMBER(I60),I60&gt;0)),ISNUMBER(J60),J60&gt;0,OR(K60="",AND(ISNUMBER(K60),K60&gt;=0)),N(K60)&lt;=F60*IF(G60="Circular",PI()*H60^2/4,H60*I60)*J60),"OK","Pendente: dimensões")))))))</x:f>
      </x:c>
      <x:c r="N60" s="5"/>
    </x:row>
    <x:row r="61" ht="23" customHeight="1">
      <x:c r="A61" s="6"/>
      <x:c r="B61" s="12"/>
      <x:c r="C61" s="5"/>
      <x:c r="D61" s="5"/>
      <x:c r="E61" s="5"/>
      <x:c r="F61" s="13"/>
      <x:c r="G61" s="13"/>
      <x:c r="H61" s="13"/>
      <x:c r="I61" s="13"/>
      <x:c r="J61" s="13"/>
      <x:c r="K61" s="13"/>
      <x:c r="L61" s="14" t="str">
        <x:f>IF(M61="OK",F61*IF(G61="Circular",PI()*H61^2/4,H61*I61)*J61-N(K61),"")</x:f>
      </x:c>
      <x:c r="M61" s="2" t="str">
        <x:f>IF(COUNTA(A61:K61,N61)=0,"",IF(OR('Auto mensal'!$B$5="",'Auto mensal'!$D$5="",'Auto mensal'!$D$5&lt;'Auto mensal'!$B$5),"Pendente: período",IF(OR(A61="",NOT(ISNUMBER(A61))),"Pendente: data",IF(OR(A61&lt;'Auto mensal'!$B$5,A61&gt;'Auto mensal'!$D$5),"Fora do período",IF(OR(B61="",C61="",D61="",E61=""),"Pendente: identificação",IF(COUNTIFS('Auto mensal'!$A$13:$A$42,B61,'Auto mensal'!$C$13:$C$42,"Betão")&lt;&gt;1,"Pendente: artigo / material",IF(AND(ISNUMBER(F61),F61&gt;0,F61=INT(F61),OR(G61="Retangular",G61="Circular"),ISNUMBER(H61),H61&gt;0,OR(G61="Circular",AND(ISNUMBER(I61),I61&gt;0)),ISNUMBER(J61),J61&gt;0,OR(K61="",AND(ISNUMBER(K61),K61&gt;=0)),N(K61)&lt;=F61*IF(G61="Circular",PI()*H61^2/4,H61*I61)*J61),"OK","Pendente: dimensões")))))))</x:f>
      </x:c>
      <x:c r="N61" s="5"/>
    </x:row>
    <x:row r="62" ht="23" customHeight="1">
      <x:c r="A62" s="6"/>
      <x:c r="B62" s="12"/>
      <x:c r="C62" s="5"/>
      <x:c r="D62" s="5"/>
      <x:c r="E62" s="5"/>
      <x:c r="F62" s="13"/>
      <x:c r="G62" s="13"/>
      <x:c r="H62" s="13"/>
      <x:c r="I62" s="13"/>
      <x:c r="J62" s="13"/>
      <x:c r="K62" s="13"/>
      <x:c r="L62" s="14" t="str">
        <x:f>IF(M62="OK",F62*IF(G62="Circular",PI()*H62^2/4,H62*I62)*J62-N(K62),"")</x:f>
      </x:c>
      <x:c r="M62" s="2" t="str">
        <x:f>IF(COUNTA(A62:K62,N62)=0,"",IF(OR('Auto mensal'!$B$5="",'Auto mensal'!$D$5="",'Auto mensal'!$D$5&lt;'Auto mensal'!$B$5),"Pendente: período",IF(OR(A62="",NOT(ISNUMBER(A62))),"Pendente: data",IF(OR(A62&lt;'Auto mensal'!$B$5,A62&gt;'Auto mensal'!$D$5),"Fora do período",IF(OR(B62="",C62="",D62="",E62=""),"Pendente: identificação",IF(COUNTIFS('Auto mensal'!$A$13:$A$42,B62,'Auto mensal'!$C$13:$C$42,"Betão")&lt;&gt;1,"Pendente: artigo / material",IF(AND(ISNUMBER(F62),F62&gt;0,F62=INT(F62),OR(G62="Retangular",G62="Circular"),ISNUMBER(H62),H62&gt;0,OR(G62="Circular",AND(ISNUMBER(I62),I62&gt;0)),ISNUMBER(J62),J62&gt;0,OR(K62="",AND(ISNUMBER(K62),K62&gt;=0)),N(K62)&lt;=F62*IF(G62="Circular",PI()*H62^2/4,H62*I62)*J62),"OK","Pendente: dimensões")))))))</x:f>
      </x:c>
      <x:c r="N62" s="5"/>
    </x:row>
    <x:row r="63" ht="23" customHeight="1">
      <x:c r="A63" s="6"/>
      <x:c r="B63" s="12"/>
      <x:c r="C63" s="5"/>
      <x:c r="D63" s="5"/>
      <x:c r="E63" s="5"/>
      <x:c r="F63" s="13"/>
      <x:c r="G63" s="13"/>
      <x:c r="H63" s="13"/>
      <x:c r="I63" s="13"/>
      <x:c r="J63" s="13"/>
      <x:c r="K63" s="13"/>
      <x:c r="L63" s="14" t="str">
        <x:f>IF(M63="OK",F63*IF(G63="Circular",PI()*H63^2/4,H63*I63)*J63-N(K63),"")</x:f>
      </x:c>
      <x:c r="M63" s="2" t="str">
        <x:f>IF(COUNTA(A63:K63,N63)=0,"",IF(OR('Auto mensal'!$B$5="",'Auto mensal'!$D$5="",'Auto mensal'!$D$5&lt;'Auto mensal'!$B$5),"Pendente: período",IF(OR(A63="",NOT(ISNUMBER(A63))),"Pendente: data",IF(OR(A63&lt;'Auto mensal'!$B$5,A63&gt;'Auto mensal'!$D$5),"Fora do período",IF(OR(B63="",C63="",D63="",E63=""),"Pendente: identificação",IF(COUNTIFS('Auto mensal'!$A$13:$A$42,B63,'Auto mensal'!$C$13:$C$42,"Betão")&lt;&gt;1,"Pendente: artigo / material",IF(AND(ISNUMBER(F63),F63&gt;0,F63=INT(F63),OR(G63="Retangular",G63="Circular"),ISNUMBER(H63),H63&gt;0,OR(G63="Circular",AND(ISNUMBER(I63),I63&gt;0)),ISNUMBER(J63),J63&gt;0,OR(K63="",AND(ISNUMBER(K63),K63&gt;=0)),N(K63)&lt;=F63*IF(G63="Circular",PI()*H63^2/4,H63*I63)*J63),"OK","Pendente: dimensões")))))))</x:f>
      </x:c>
      <x:c r="N63" s="5"/>
    </x:row>
    <x:row r="64" ht="23" customHeight="1">
      <x:c r="A64" s="6"/>
      <x:c r="B64" s="12"/>
      <x:c r="C64" s="5"/>
      <x:c r="D64" s="5"/>
      <x:c r="E64" s="5"/>
      <x:c r="F64" s="13"/>
      <x:c r="G64" s="13"/>
      <x:c r="H64" s="13"/>
      <x:c r="I64" s="13"/>
      <x:c r="J64" s="13"/>
      <x:c r="K64" s="13"/>
      <x:c r="L64" s="14" t="str">
        <x:f>IF(M64="OK",F64*IF(G64="Circular",PI()*H64^2/4,H64*I64)*J64-N(K64),"")</x:f>
      </x:c>
      <x:c r="M64" s="2" t="str">
        <x:f>IF(COUNTA(A64:K64,N64)=0,"",IF(OR('Auto mensal'!$B$5="",'Auto mensal'!$D$5="",'Auto mensal'!$D$5&lt;'Auto mensal'!$B$5),"Pendente: período",IF(OR(A64="",NOT(ISNUMBER(A64))),"Pendente: data",IF(OR(A64&lt;'Auto mensal'!$B$5,A64&gt;'Auto mensal'!$D$5),"Fora do período",IF(OR(B64="",C64="",D64="",E64=""),"Pendente: identificação",IF(COUNTIFS('Auto mensal'!$A$13:$A$42,B64,'Auto mensal'!$C$13:$C$42,"Betão")&lt;&gt;1,"Pendente: artigo / material",IF(AND(ISNUMBER(F64),F64&gt;0,F64=INT(F64),OR(G64="Retangular",G64="Circular"),ISNUMBER(H64),H64&gt;0,OR(G64="Circular",AND(ISNUMBER(I64),I64&gt;0)),ISNUMBER(J64),J64&gt;0,OR(K64="",AND(ISNUMBER(K64),K64&gt;=0)),N(K64)&lt;=F64*IF(G64="Circular",PI()*H64^2/4,H64*I64)*J64),"OK","Pendente: dimensões")))))))</x:f>
      </x:c>
      <x:c r="N64" s="5"/>
    </x:row>
    <x:row r="65" ht="23" customHeight="1">
      <x:c r="A65" s="6"/>
      <x:c r="B65" s="12"/>
      <x:c r="C65" s="5"/>
      <x:c r="D65" s="5"/>
      <x:c r="E65" s="5"/>
      <x:c r="F65" s="13"/>
      <x:c r="G65" s="13"/>
      <x:c r="H65" s="13"/>
      <x:c r="I65" s="13"/>
      <x:c r="J65" s="13"/>
      <x:c r="K65" s="13"/>
      <x:c r="L65" s="14" t="str">
        <x:f>IF(M65="OK",F65*IF(G65="Circular",PI()*H65^2/4,H65*I65)*J65-N(K65),"")</x:f>
      </x:c>
      <x:c r="M65" s="2" t="str">
        <x:f>IF(COUNTA(A65:K65,N65)=0,"",IF(OR('Auto mensal'!$B$5="",'Auto mensal'!$D$5="",'Auto mensal'!$D$5&lt;'Auto mensal'!$B$5),"Pendente: período",IF(OR(A65="",NOT(ISNUMBER(A65))),"Pendente: data",IF(OR(A65&lt;'Auto mensal'!$B$5,A65&gt;'Auto mensal'!$D$5),"Fora do período",IF(OR(B65="",C65="",D65="",E65=""),"Pendente: identificação",IF(COUNTIFS('Auto mensal'!$A$13:$A$42,B65,'Auto mensal'!$C$13:$C$42,"Betão")&lt;&gt;1,"Pendente: artigo / material",IF(AND(ISNUMBER(F65),F65&gt;0,F65=INT(F65),OR(G65="Retangular",G65="Circular"),ISNUMBER(H65),H65&gt;0,OR(G65="Circular",AND(ISNUMBER(I65),I65&gt;0)),ISNUMBER(J65),J65&gt;0,OR(K65="",AND(ISNUMBER(K65),K65&gt;=0)),N(K65)&lt;=F65*IF(G65="Circular",PI()*H65^2/4,H65*I65)*J65),"OK","Pendente: dimensões")))))))</x:f>
      </x:c>
      <x:c r="N65" s="5"/>
    </x:row>
    <x:row r="66" ht="23" customHeight="1">
      <x:c r="A66" s="6"/>
      <x:c r="B66" s="12"/>
      <x:c r="C66" s="5"/>
      <x:c r="D66" s="5"/>
      <x:c r="E66" s="5"/>
      <x:c r="F66" s="13"/>
      <x:c r="G66" s="13"/>
      <x:c r="H66" s="13"/>
      <x:c r="I66" s="13"/>
      <x:c r="J66" s="13"/>
      <x:c r="K66" s="13"/>
      <x:c r="L66" s="14" t="str">
        <x:f>IF(M66="OK",F66*IF(G66="Circular",PI()*H66^2/4,H66*I66)*J66-N(K66),"")</x:f>
      </x:c>
      <x:c r="M66" s="2" t="str">
        <x:f>IF(COUNTA(A66:K66,N66)=0,"",IF(OR('Auto mensal'!$B$5="",'Auto mensal'!$D$5="",'Auto mensal'!$D$5&lt;'Auto mensal'!$B$5),"Pendente: período",IF(OR(A66="",NOT(ISNUMBER(A66))),"Pendente: data",IF(OR(A66&lt;'Auto mensal'!$B$5,A66&gt;'Auto mensal'!$D$5),"Fora do período",IF(OR(B66="",C66="",D66="",E66=""),"Pendente: identificação",IF(COUNTIFS('Auto mensal'!$A$13:$A$42,B66,'Auto mensal'!$C$13:$C$42,"Betão")&lt;&gt;1,"Pendente: artigo / material",IF(AND(ISNUMBER(F66),F66&gt;0,F66=INT(F66),OR(G66="Retangular",G66="Circular"),ISNUMBER(H66),H66&gt;0,OR(G66="Circular",AND(ISNUMBER(I66),I66&gt;0)),ISNUMBER(J66),J66&gt;0,OR(K66="",AND(ISNUMBER(K66),K66&gt;=0)),N(K66)&lt;=F66*IF(G66="Circular",PI()*H66^2/4,H66*I66)*J66),"OK","Pendente: dimensões")))))))</x:f>
      </x:c>
      <x:c r="N66" s="5"/>
    </x:row>
    <x:row r="67" ht="23" customHeight="1">
      <x:c r="A67" s="6"/>
      <x:c r="B67" s="12"/>
      <x:c r="C67" s="5"/>
      <x:c r="D67" s="5"/>
      <x:c r="E67" s="5"/>
      <x:c r="F67" s="13"/>
      <x:c r="G67" s="13"/>
      <x:c r="H67" s="13"/>
      <x:c r="I67" s="13"/>
      <x:c r="J67" s="13"/>
      <x:c r="K67" s="13"/>
      <x:c r="L67" s="14" t="str">
        <x:f>IF(M67="OK",F67*IF(G67="Circular",PI()*H67^2/4,H67*I67)*J67-N(K67),"")</x:f>
      </x:c>
      <x:c r="M67" s="2" t="str">
        <x:f>IF(COUNTA(A67:K67,N67)=0,"",IF(OR('Auto mensal'!$B$5="",'Auto mensal'!$D$5="",'Auto mensal'!$D$5&lt;'Auto mensal'!$B$5),"Pendente: período",IF(OR(A67="",NOT(ISNUMBER(A67))),"Pendente: data",IF(OR(A67&lt;'Auto mensal'!$B$5,A67&gt;'Auto mensal'!$D$5),"Fora do período",IF(OR(B67="",C67="",D67="",E67=""),"Pendente: identificação",IF(COUNTIFS('Auto mensal'!$A$13:$A$42,B67,'Auto mensal'!$C$13:$C$42,"Betão")&lt;&gt;1,"Pendente: artigo / material",IF(AND(ISNUMBER(F67),F67&gt;0,F67=INT(F67),OR(G67="Retangular",G67="Circular"),ISNUMBER(H67),H67&gt;0,OR(G67="Circular",AND(ISNUMBER(I67),I67&gt;0)),ISNUMBER(J67),J67&gt;0,OR(K67="",AND(ISNUMBER(K67),K67&gt;=0)),N(K67)&lt;=F67*IF(G67="Circular",PI()*H67^2/4,H67*I67)*J67),"OK","Pendente: dimensões")))))))</x:f>
      </x:c>
      <x:c r="N67" s="5"/>
    </x:row>
    <x:row r="68" ht="23" customHeight="1">
      <x:c r="A68" s="6"/>
      <x:c r="B68" s="12"/>
      <x:c r="C68" s="5"/>
      <x:c r="D68" s="5"/>
      <x:c r="E68" s="5"/>
      <x:c r="F68" s="13"/>
      <x:c r="G68" s="13"/>
      <x:c r="H68" s="13"/>
      <x:c r="I68" s="13"/>
      <x:c r="J68" s="13"/>
      <x:c r="K68" s="13"/>
      <x:c r="L68" s="14" t="str">
        <x:f>IF(M68="OK",F68*IF(G68="Circular",PI()*H68^2/4,H68*I68)*J68-N(K68),"")</x:f>
      </x:c>
      <x:c r="M68" s="2" t="str">
        <x:f>IF(COUNTA(A68:K68,N68)=0,"",IF(OR('Auto mensal'!$B$5="",'Auto mensal'!$D$5="",'Auto mensal'!$D$5&lt;'Auto mensal'!$B$5),"Pendente: período",IF(OR(A68="",NOT(ISNUMBER(A68))),"Pendente: data",IF(OR(A68&lt;'Auto mensal'!$B$5,A68&gt;'Auto mensal'!$D$5),"Fora do período",IF(OR(B68="",C68="",D68="",E68=""),"Pendente: identificação",IF(COUNTIFS('Auto mensal'!$A$13:$A$42,B68,'Auto mensal'!$C$13:$C$42,"Betão")&lt;&gt;1,"Pendente: artigo / material",IF(AND(ISNUMBER(F68),F68&gt;0,F68=INT(F68),OR(G68="Retangular",G68="Circular"),ISNUMBER(H68),H68&gt;0,OR(G68="Circular",AND(ISNUMBER(I68),I68&gt;0)),ISNUMBER(J68),J68&gt;0,OR(K68="",AND(ISNUMBER(K68),K68&gt;=0)),N(K68)&lt;=F68*IF(G68="Circular",PI()*H68^2/4,H68*I68)*J68),"OK","Pendente: dimensões")))))))</x:f>
      </x:c>
      <x:c r="N68" s="5"/>
    </x:row>
    <x:row r="69" ht="23" customHeight="1">
      <x:c r="A69" s="6"/>
      <x:c r="B69" s="12"/>
      <x:c r="C69" s="5"/>
      <x:c r="D69" s="5"/>
      <x:c r="E69" s="5"/>
      <x:c r="F69" s="13"/>
      <x:c r="G69" s="13"/>
      <x:c r="H69" s="13"/>
      <x:c r="I69" s="13"/>
      <x:c r="J69" s="13"/>
      <x:c r="K69" s="13"/>
      <x:c r="L69" s="14" t="str">
        <x:f>IF(M69="OK",F69*IF(G69="Circular",PI()*H69^2/4,H69*I69)*J69-N(K69),"")</x:f>
      </x:c>
      <x:c r="M69" s="2" t="str">
        <x:f>IF(COUNTA(A69:K69,N69)=0,"",IF(OR('Auto mensal'!$B$5="",'Auto mensal'!$D$5="",'Auto mensal'!$D$5&lt;'Auto mensal'!$B$5),"Pendente: período",IF(OR(A69="",NOT(ISNUMBER(A69))),"Pendente: data",IF(OR(A69&lt;'Auto mensal'!$B$5,A69&gt;'Auto mensal'!$D$5),"Fora do período",IF(OR(B69="",C69="",D69="",E69=""),"Pendente: identificação",IF(COUNTIFS('Auto mensal'!$A$13:$A$42,B69,'Auto mensal'!$C$13:$C$42,"Betão")&lt;&gt;1,"Pendente: artigo / material",IF(AND(ISNUMBER(F69),F69&gt;0,F69=INT(F69),OR(G69="Retangular",G69="Circular"),ISNUMBER(H69),H69&gt;0,OR(G69="Circular",AND(ISNUMBER(I69),I69&gt;0)),ISNUMBER(J69),J69&gt;0,OR(K69="",AND(ISNUMBER(K69),K69&gt;=0)),N(K69)&lt;=F69*IF(G69="Circular",PI()*H69^2/4,H69*I69)*J69),"OK","Pendente: dimensões")))))))</x:f>
      </x:c>
      <x:c r="N69" s="5"/>
    </x:row>
    <x:row r="70" ht="23" customHeight="1">
      <x:c r="A70" s="6"/>
      <x:c r="B70" s="12"/>
      <x:c r="C70" s="5"/>
      <x:c r="D70" s="5"/>
      <x:c r="E70" s="5"/>
      <x:c r="F70" s="13"/>
      <x:c r="G70" s="13"/>
      <x:c r="H70" s="13"/>
      <x:c r="I70" s="13"/>
      <x:c r="J70" s="13"/>
      <x:c r="K70" s="13"/>
      <x:c r="L70" s="14" t="str">
        <x:f>IF(M70="OK",F70*IF(G70="Circular",PI()*H70^2/4,H70*I70)*J70-N(K70),"")</x:f>
      </x:c>
      <x:c r="M70" s="2" t="str">
        <x:f>IF(COUNTA(A70:K70,N70)=0,"",IF(OR('Auto mensal'!$B$5="",'Auto mensal'!$D$5="",'Auto mensal'!$D$5&lt;'Auto mensal'!$B$5),"Pendente: período",IF(OR(A70="",NOT(ISNUMBER(A70))),"Pendente: data",IF(OR(A70&lt;'Auto mensal'!$B$5,A70&gt;'Auto mensal'!$D$5),"Fora do período",IF(OR(B70="",C70="",D70="",E70=""),"Pendente: identificação",IF(COUNTIFS('Auto mensal'!$A$13:$A$42,B70,'Auto mensal'!$C$13:$C$42,"Betão")&lt;&gt;1,"Pendente: artigo / material",IF(AND(ISNUMBER(F70),F70&gt;0,F70=INT(F70),OR(G70="Retangular",G70="Circular"),ISNUMBER(H70),H70&gt;0,OR(G70="Circular",AND(ISNUMBER(I70),I70&gt;0)),ISNUMBER(J70),J70&gt;0,OR(K70="",AND(ISNUMBER(K70),K70&gt;=0)),N(K70)&lt;=F70*IF(G70="Circular",PI()*H70^2/4,H70*I70)*J70),"OK","Pendente: dimensões")))))))</x:f>
      </x:c>
      <x:c r="N70" s="5"/>
    </x:row>
    <x:row r="71" ht="23" customHeight="1">
      <x:c r="A71" s="6"/>
      <x:c r="B71" s="12"/>
      <x:c r="C71" s="5"/>
      <x:c r="D71" s="5"/>
      <x:c r="E71" s="5"/>
      <x:c r="F71" s="13"/>
      <x:c r="G71" s="13"/>
      <x:c r="H71" s="13"/>
      <x:c r="I71" s="13"/>
      <x:c r="J71" s="13"/>
      <x:c r="K71" s="13"/>
      <x:c r="L71" s="14" t="str">
        <x:f>IF(M71="OK",F71*IF(G71="Circular",PI()*H71^2/4,H71*I71)*J71-N(K71),"")</x:f>
      </x:c>
      <x:c r="M71" s="2" t="str">
        <x:f>IF(COUNTA(A71:K71,N71)=0,"",IF(OR('Auto mensal'!$B$5="",'Auto mensal'!$D$5="",'Auto mensal'!$D$5&lt;'Auto mensal'!$B$5),"Pendente: período",IF(OR(A71="",NOT(ISNUMBER(A71))),"Pendente: data",IF(OR(A71&lt;'Auto mensal'!$B$5,A71&gt;'Auto mensal'!$D$5),"Fora do período",IF(OR(B71="",C71="",D71="",E71=""),"Pendente: identificação",IF(COUNTIFS('Auto mensal'!$A$13:$A$42,B71,'Auto mensal'!$C$13:$C$42,"Betão")&lt;&gt;1,"Pendente: artigo / material",IF(AND(ISNUMBER(F71),F71&gt;0,F71=INT(F71),OR(G71="Retangular",G71="Circular"),ISNUMBER(H71),H71&gt;0,OR(G71="Circular",AND(ISNUMBER(I71),I71&gt;0)),ISNUMBER(J71),J71&gt;0,OR(K71="",AND(ISNUMBER(K71),K71&gt;=0)),N(K71)&lt;=F71*IF(G71="Circular",PI()*H71^2/4,H71*I71)*J71),"OK","Pendente: dimensões")))))))</x:f>
      </x:c>
      <x:c r="N71" s="5"/>
    </x:row>
    <x:row r="72" ht="23" customHeight="1">
      <x:c r="A72" s="6"/>
      <x:c r="B72" s="12"/>
      <x:c r="C72" s="5"/>
      <x:c r="D72" s="5"/>
      <x:c r="E72" s="5"/>
      <x:c r="F72" s="13"/>
      <x:c r="G72" s="13"/>
      <x:c r="H72" s="13"/>
      <x:c r="I72" s="13"/>
      <x:c r="J72" s="13"/>
      <x:c r="K72" s="13"/>
      <x:c r="L72" s="14" t="str">
        <x:f>IF(M72="OK",F72*IF(G72="Circular",PI()*H72^2/4,H72*I72)*J72-N(K72),"")</x:f>
      </x:c>
      <x:c r="M72" s="2" t="str">
        <x:f>IF(COUNTA(A72:K72,N72)=0,"",IF(OR('Auto mensal'!$B$5="",'Auto mensal'!$D$5="",'Auto mensal'!$D$5&lt;'Auto mensal'!$B$5),"Pendente: período",IF(OR(A72="",NOT(ISNUMBER(A72))),"Pendente: data",IF(OR(A72&lt;'Auto mensal'!$B$5,A72&gt;'Auto mensal'!$D$5),"Fora do período",IF(OR(B72="",C72="",D72="",E72=""),"Pendente: identificação",IF(COUNTIFS('Auto mensal'!$A$13:$A$42,B72,'Auto mensal'!$C$13:$C$42,"Betão")&lt;&gt;1,"Pendente: artigo / material",IF(AND(ISNUMBER(F72),F72&gt;0,F72=INT(F72),OR(G72="Retangular",G72="Circular"),ISNUMBER(H72),H72&gt;0,OR(G72="Circular",AND(ISNUMBER(I72),I72&gt;0)),ISNUMBER(J72),J72&gt;0,OR(K72="",AND(ISNUMBER(K72),K72&gt;=0)),N(K72)&lt;=F72*IF(G72="Circular",PI()*H72^2/4,H72*I72)*J72),"OK","Pendente: dimensões")))))))</x:f>
      </x:c>
      <x:c r="N72" s="5"/>
    </x:row>
    <x:row r="73" ht="23" customHeight="1">
      <x:c r="A73" s="6"/>
      <x:c r="B73" s="12"/>
      <x:c r="C73" s="5"/>
      <x:c r="D73" s="5"/>
      <x:c r="E73" s="5"/>
      <x:c r="F73" s="13"/>
      <x:c r="G73" s="13"/>
      <x:c r="H73" s="13"/>
      <x:c r="I73" s="13"/>
      <x:c r="J73" s="13"/>
      <x:c r="K73" s="13"/>
      <x:c r="L73" s="14" t="str">
        <x:f>IF(M73="OK",F73*IF(G73="Circular",PI()*H73^2/4,H73*I73)*J73-N(K73),"")</x:f>
      </x:c>
      <x:c r="M73" s="2" t="str">
        <x:f>IF(COUNTA(A73:K73,N73)=0,"",IF(OR('Auto mensal'!$B$5="",'Auto mensal'!$D$5="",'Auto mensal'!$D$5&lt;'Auto mensal'!$B$5),"Pendente: período",IF(OR(A73="",NOT(ISNUMBER(A73))),"Pendente: data",IF(OR(A73&lt;'Auto mensal'!$B$5,A73&gt;'Auto mensal'!$D$5),"Fora do período",IF(OR(B73="",C73="",D73="",E73=""),"Pendente: identificação",IF(COUNTIFS('Auto mensal'!$A$13:$A$42,B73,'Auto mensal'!$C$13:$C$42,"Betão")&lt;&gt;1,"Pendente: artigo / material",IF(AND(ISNUMBER(F73),F73&gt;0,F73=INT(F73),OR(G73="Retangular",G73="Circular"),ISNUMBER(H73),H73&gt;0,OR(G73="Circular",AND(ISNUMBER(I73),I73&gt;0)),ISNUMBER(J73),J73&gt;0,OR(K73="",AND(ISNUMBER(K73),K73&gt;=0)),N(K73)&lt;=F73*IF(G73="Circular",PI()*H73^2/4,H73*I73)*J73),"OK","Pendente: dimensões")))))))</x:f>
      </x:c>
      <x:c r="N73" s="5"/>
    </x:row>
    <x:row r="74" ht="23" customHeight="1">
      <x:c r="A74" s="6"/>
      <x:c r="B74" s="12"/>
      <x:c r="C74" s="5"/>
      <x:c r="D74" s="5"/>
      <x:c r="E74" s="5"/>
      <x:c r="F74" s="13"/>
      <x:c r="G74" s="13"/>
      <x:c r="H74" s="13"/>
      <x:c r="I74" s="13"/>
      <x:c r="J74" s="13"/>
      <x:c r="K74" s="13"/>
      <x:c r="L74" s="14" t="str">
        <x:f>IF(M74="OK",F74*IF(G74="Circular",PI()*H74^2/4,H74*I74)*J74-N(K74),"")</x:f>
      </x:c>
      <x:c r="M74" s="2" t="str">
        <x:f>IF(COUNTA(A74:K74,N74)=0,"",IF(OR('Auto mensal'!$B$5="",'Auto mensal'!$D$5="",'Auto mensal'!$D$5&lt;'Auto mensal'!$B$5),"Pendente: período",IF(OR(A74="",NOT(ISNUMBER(A74))),"Pendente: data",IF(OR(A74&lt;'Auto mensal'!$B$5,A74&gt;'Auto mensal'!$D$5),"Fora do período",IF(OR(B74="",C74="",D74="",E74=""),"Pendente: identificação",IF(COUNTIFS('Auto mensal'!$A$13:$A$42,B74,'Auto mensal'!$C$13:$C$42,"Betão")&lt;&gt;1,"Pendente: artigo / material",IF(AND(ISNUMBER(F74),F74&gt;0,F74=INT(F74),OR(G74="Retangular",G74="Circular"),ISNUMBER(H74),H74&gt;0,OR(G74="Circular",AND(ISNUMBER(I74),I74&gt;0)),ISNUMBER(J74),J74&gt;0,OR(K74="",AND(ISNUMBER(K74),K74&gt;=0)),N(K74)&lt;=F74*IF(G74="Circular",PI()*H74^2/4,H74*I74)*J74),"OK","Pendente: dimensões")))))))</x:f>
      </x:c>
      <x:c r="N74" s="5"/>
    </x:row>
    <x:row r="75" ht="23" customHeight="1">
      <x:c r="A75" s="6"/>
      <x:c r="B75" s="12"/>
      <x:c r="C75" s="5"/>
      <x:c r="D75" s="5"/>
      <x:c r="E75" s="5"/>
      <x:c r="F75" s="13"/>
      <x:c r="G75" s="13"/>
      <x:c r="H75" s="13"/>
      <x:c r="I75" s="13"/>
      <x:c r="J75" s="13"/>
      <x:c r="K75" s="13"/>
      <x:c r="L75" s="14" t="str">
        <x:f>IF(M75="OK",F75*IF(G75="Circular",PI()*H75^2/4,H75*I75)*J75-N(K75),"")</x:f>
      </x:c>
      <x:c r="M75" s="2" t="str">
        <x:f>IF(COUNTA(A75:K75,N75)=0,"",IF(OR('Auto mensal'!$B$5="",'Auto mensal'!$D$5="",'Auto mensal'!$D$5&lt;'Auto mensal'!$B$5),"Pendente: período",IF(OR(A75="",NOT(ISNUMBER(A75))),"Pendente: data",IF(OR(A75&lt;'Auto mensal'!$B$5,A75&gt;'Auto mensal'!$D$5),"Fora do período",IF(OR(B75="",C75="",D75="",E75=""),"Pendente: identificação",IF(COUNTIFS('Auto mensal'!$A$13:$A$42,B75,'Auto mensal'!$C$13:$C$42,"Betão")&lt;&gt;1,"Pendente: artigo / material",IF(AND(ISNUMBER(F75),F75&gt;0,F75=INT(F75),OR(G75="Retangular",G75="Circular"),ISNUMBER(H75),H75&gt;0,OR(G75="Circular",AND(ISNUMBER(I75),I75&gt;0)),ISNUMBER(J75),J75&gt;0,OR(K75="",AND(ISNUMBER(K75),K75&gt;=0)),N(K75)&lt;=F75*IF(G75="Circular",PI()*H75^2/4,H75*I75)*J75),"OK","Pendente: dimensões")))))))</x:f>
      </x:c>
      <x:c r="N75" s="5"/>
    </x:row>
    <x:row r="76" ht="23" customHeight="1">
      <x:c r="A76" s="6"/>
      <x:c r="B76" s="12"/>
      <x:c r="C76" s="5"/>
      <x:c r="D76" s="5"/>
      <x:c r="E76" s="5"/>
      <x:c r="F76" s="13"/>
      <x:c r="G76" s="13"/>
      <x:c r="H76" s="13"/>
      <x:c r="I76" s="13"/>
      <x:c r="J76" s="13"/>
      <x:c r="K76" s="13"/>
      <x:c r="L76" s="14" t="str">
        <x:f>IF(M76="OK",F76*IF(G76="Circular",PI()*H76^2/4,H76*I76)*J76-N(K76),"")</x:f>
      </x:c>
      <x:c r="M76" s="2" t="str">
        <x:f>IF(COUNTA(A76:K76,N76)=0,"",IF(OR('Auto mensal'!$B$5="",'Auto mensal'!$D$5="",'Auto mensal'!$D$5&lt;'Auto mensal'!$B$5),"Pendente: período",IF(OR(A76="",NOT(ISNUMBER(A76))),"Pendente: data",IF(OR(A76&lt;'Auto mensal'!$B$5,A76&gt;'Auto mensal'!$D$5),"Fora do período",IF(OR(B76="",C76="",D76="",E76=""),"Pendente: identificação",IF(COUNTIFS('Auto mensal'!$A$13:$A$42,B76,'Auto mensal'!$C$13:$C$42,"Betão")&lt;&gt;1,"Pendente: artigo / material",IF(AND(ISNUMBER(F76),F76&gt;0,F76=INT(F76),OR(G76="Retangular",G76="Circular"),ISNUMBER(H76),H76&gt;0,OR(G76="Circular",AND(ISNUMBER(I76),I76&gt;0)),ISNUMBER(J76),J76&gt;0,OR(K76="",AND(ISNUMBER(K76),K76&gt;=0)),N(K76)&lt;=F76*IF(G76="Circular",PI()*H76^2/4,H76*I76)*J76),"OK","Pendente: dimensões")))))))</x:f>
      </x:c>
      <x:c r="N76" s="5"/>
    </x:row>
    <x:row r="77" ht="23" customHeight="1">
      <x:c r="A77" s="6"/>
      <x:c r="B77" s="12"/>
      <x:c r="C77" s="5"/>
      <x:c r="D77" s="5"/>
      <x:c r="E77" s="5"/>
      <x:c r="F77" s="13"/>
      <x:c r="G77" s="13"/>
      <x:c r="H77" s="13"/>
      <x:c r="I77" s="13"/>
      <x:c r="J77" s="13"/>
      <x:c r="K77" s="13"/>
      <x:c r="L77" s="14" t="str">
        <x:f>IF(M77="OK",F77*IF(G77="Circular",PI()*H77^2/4,H77*I77)*J77-N(K77),"")</x:f>
      </x:c>
      <x:c r="M77" s="2" t="str">
        <x:f>IF(COUNTA(A77:K77,N77)=0,"",IF(OR('Auto mensal'!$B$5="",'Auto mensal'!$D$5="",'Auto mensal'!$D$5&lt;'Auto mensal'!$B$5),"Pendente: período",IF(OR(A77="",NOT(ISNUMBER(A77))),"Pendente: data",IF(OR(A77&lt;'Auto mensal'!$B$5,A77&gt;'Auto mensal'!$D$5),"Fora do período",IF(OR(B77="",C77="",D77="",E77=""),"Pendente: identificação",IF(COUNTIFS('Auto mensal'!$A$13:$A$42,B77,'Auto mensal'!$C$13:$C$42,"Betão")&lt;&gt;1,"Pendente: artigo / material",IF(AND(ISNUMBER(F77),F77&gt;0,F77=INT(F77),OR(G77="Retangular",G77="Circular"),ISNUMBER(H77),H77&gt;0,OR(G77="Circular",AND(ISNUMBER(I77),I77&gt;0)),ISNUMBER(J77),J77&gt;0,OR(K77="",AND(ISNUMBER(K77),K77&gt;=0)),N(K77)&lt;=F77*IF(G77="Circular",PI()*H77^2/4,H77*I77)*J77),"OK","Pendente: dimensões")))))))</x:f>
      </x:c>
      <x:c r="N77" s="5"/>
    </x:row>
    <x:row r="78" ht="23" customHeight="1">
      <x:c r="A78" s="6"/>
      <x:c r="B78" s="12"/>
      <x:c r="C78" s="5"/>
      <x:c r="D78" s="5"/>
      <x:c r="E78" s="5"/>
      <x:c r="F78" s="13"/>
      <x:c r="G78" s="13"/>
      <x:c r="H78" s="13"/>
      <x:c r="I78" s="13"/>
      <x:c r="J78" s="13"/>
      <x:c r="K78" s="13"/>
      <x:c r="L78" s="14" t="str">
        <x:f>IF(M78="OK",F78*IF(G78="Circular",PI()*H78^2/4,H78*I78)*J78-N(K78),"")</x:f>
      </x:c>
      <x:c r="M78" s="2" t="str">
        <x:f>IF(COUNTA(A78:K78,N78)=0,"",IF(OR('Auto mensal'!$B$5="",'Auto mensal'!$D$5="",'Auto mensal'!$D$5&lt;'Auto mensal'!$B$5),"Pendente: período",IF(OR(A78="",NOT(ISNUMBER(A78))),"Pendente: data",IF(OR(A78&lt;'Auto mensal'!$B$5,A78&gt;'Auto mensal'!$D$5),"Fora do período",IF(OR(B78="",C78="",D78="",E78=""),"Pendente: identificação",IF(COUNTIFS('Auto mensal'!$A$13:$A$42,B78,'Auto mensal'!$C$13:$C$42,"Betão")&lt;&gt;1,"Pendente: artigo / material",IF(AND(ISNUMBER(F78),F78&gt;0,F78=INT(F78),OR(G78="Retangular",G78="Circular"),ISNUMBER(H78),H78&gt;0,OR(G78="Circular",AND(ISNUMBER(I78),I78&gt;0)),ISNUMBER(J78),J78&gt;0,OR(K78="",AND(ISNUMBER(K78),K78&gt;=0)),N(K78)&lt;=F78*IF(G78="Circular",PI()*H78^2/4,H78*I78)*J78),"OK","Pendente: dimensões")))))))</x:f>
      </x:c>
      <x:c r="N78" s="5"/>
    </x:row>
    <x:row r="79" ht="23" customHeight="1">
      <x:c r="A79" s="6"/>
      <x:c r="B79" s="12"/>
      <x:c r="C79" s="5"/>
      <x:c r="D79" s="5"/>
      <x:c r="E79" s="5"/>
      <x:c r="F79" s="13"/>
      <x:c r="G79" s="13"/>
      <x:c r="H79" s="13"/>
      <x:c r="I79" s="13"/>
      <x:c r="J79" s="13"/>
      <x:c r="K79" s="13"/>
      <x:c r="L79" s="14" t="str">
        <x:f>IF(M79="OK",F79*IF(G79="Circular",PI()*H79^2/4,H79*I79)*J79-N(K79),"")</x:f>
      </x:c>
      <x:c r="M79" s="2" t="str">
        <x:f>IF(COUNTA(A79:K79,N79)=0,"",IF(OR('Auto mensal'!$B$5="",'Auto mensal'!$D$5="",'Auto mensal'!$D$5&lt;'Auto mensal'!$B$5),"Pendente: período",IF(OR(A79="",NOT(ISNUMBER(A79))),"Pendente: data",IF(OR(A79&lt;'Auto mensal'!$B$5,A79&gt;'Auto mensal'!$D$5),"Fora do período",IF(OR(B79="",C79="",D79="",E79=""),"Pendente: identificação",IF(COUNTIFS('Auto mensal'!$A$13:$A$42,B79,'Auto mensal'!$C$13:$C$42,"Betão")&lt;&gt;1,"Pendente: artigo / material",IF(AND(ISNUMBER(F79),F79&gt;0,F79=INT(F79),OR(G79="Retangular",G79="Circular"),ISNUMBER(H79),H79&gt;0,OR(G79="Circular",AND(ISNUMBER(I79),I79&gt;0)),ISNUMBER(J79),J79&gt;0,OR(K79="",AND(ISNUMBER(K79),K79&gt;=0)),N(K79)&lt;=F79*IF(G79="Circular",PI()*H79^2/4,H79*I79)*J79),"OK","Pendente: dimensões")))))))</x:f>
      </x:c>
      <x:c r="N79" s="5"/>
    </x:row>
    <x:row r="80" ht="23" customHeight="1">
      <x:c r="A80" s="6"/>
      <x:c r="B80" s="12"/>
      <x:c r="C80" s="5"/>
      <x:c r="D80" s="5"/>
      <x:c r="E80" s="5"/>
      <x:c r="F80" s="13"/>
      <x:c r="G80" s="13"/>
      <x:c r="H80" s="13"/>
      <x:c r="I80" s="13"/>
      <x:c r="J80" s="13"/>
      <x:c r="K80" s="13"/>
      <x:c r="L80" s="14" t="str">
        <x:f>IF(M80="OK",F80*IF(G80="Circular",PI()*H80^2/4,H80*I80)*J80-N(K80),"")</x:f>
      </x:c>
      <x:c r="M80" s="2" t="str">
        <x:f>IF(COUNTA(A80:K80,N80)=0,"",IF(OR('Auto mensal'!$B$5="",'Auto mensal'!$D$5="",'Auto mensal'!$D$5&lt;'Auto mensal'!$B$5),"Pendente: período",IF(OR(A80="",NOT(ISNUMBER(A80))),"Pendente: data",IF(OR(A80&lt;'Auto mensal'!$B$5,A80&gt;'Auto mensal'!$D$5),"Fora do período",IF(OR(B80="",C80="",D80="",E80=""),"Pendente: identificação",IF(COUNTIFS('Auto mensal'!$A$13:$A$42,B80,'Auto mensal'!$C$13:$C$42,"Betão")&lt;&gt;1,"Pendente: artigo / material",IF(AND(ISNUMBER(F80),F80&gt;0,F80=INT(F80),OR(G80="Retangular",G80="Circular"),ISNUMBER(H80),H80&gt;0,OR(G80="Circular",AND(ISNUMBER(I80),I80&gt;0)),ISNUMBER(J80),J80&gt;0,OR(K80="",AND(ISNUMBER(K80),K80&gt;=0)),N(K80)&lt;=F80*IF(G80="Circular",PI()*H80^2/4,H80*I80)*J80),"OK","Pendente: dimensões")))))))</x:f>
      </x:c>
      <x:c r="N80" s="5"/>
    </x:row>
    <x:row r="81" ht="23" customHeight="1">
      <x:c r="A81" s="6"/>
      <x:c r="B81" s="12"/>
      <x:c r="C81" s="5"/>
      <x:c r="D81" s="5"/>
      <x:c r="E81" s="5"/>
      <x:c r="F81" s="13"/>
      <x:c r="G81" s="13"/>
      <x:c r="H81" s="13"/>
      <x:c r="I81" s="13"/>
      <x:c r="J81" s="13"/>
      <x:c r="K81" s="13"/>
      <x:c r="L81" s="14" t="str">
        <x:f>IF(M81="OK",F81*IF(G81="Circular",PI()*H81^2/4,H81*I81)*J81-N(K81),"")</x:f>
      </x:c>
      <x:c r="M81" s="2" t="str">
        <x:f>IF(COUNTA(A81:K81,N81)=0,"",IF(OR('Auto mensal'!$B$5="",'Auto mensal'!$D$5="",'Auto mensal'!$D$5&lt;'Auto mensal'!$B$5),"Pendente: período",IF(OR(A81="",NOT(ISNUMBER(A81))),"Pendente: data",IF(OR(A81&lt;'Auto mensal'!$B$5,A81&gt;'Auto mensal'!$D$5),"Fora do período",IF(OR(B81="",C81="",D81="",E81=""),"Pendente: identificação",IF(COUNTIFS('Auto mensal'!$A$13:$A$42,B81,'Auto mensal'!$C$13:$C$42,"Betão")&lt;&gt;1,"Pendente: artigo / material",IF(AND(ISNUMBER(F81),F81&gt;0,F81=INT(F81),OR(G81="Retangular",G81="Circular"),ISNUMBER(H81),H81&gt;0,OR(G81="Circular",AND(ISNUMBER(I81),I81&gt;0)),ISNUMBER(J81),J81&gt;0,OR(K81="",AND(ISNUMBER(K81),K81&gt;=0)),N(K81)&lt;=F81*IF(G81="Circular",PI()*H81^2/4,H81*I81)*J81),"OK","Pendente: dimensões")))))))</x:f>
      </x:c>
      <x:c r="N81" s="5"/>
    </x:row>
    <x:row r="82" ht="23" customHeight="1">
      <x:c r="A82" s="6"/>
      <x:c r="B82" s="12"/>
      <x:c r="C82" s="5"/>
      <x:c r="D82" s="5"/>
      <x:c r="E82" s="5"/>
      <x:c r="F82" s="13"/>
      <x:c r="G82" s="13"/>
      <x:c r="H82" s="13"/>
      <x:c r="I82" s="13"/>
      <x:c r="J82" s="13"/>
      <x:c r="K82" s="13"/>
      <x:c r="L82" s="14" t="str">
        <x:f>IF(M82="OK",F82*IF(G82="Circular",PI()*H82^2/4,H82*I82)*J82-N(K82),"")</x:f>
      </x:c>
      <x:c r="M82" s="2" t="str">
        <x:f>IF(COUNTA(A82:K82,N82)=0,"",IF(OR('Auto mensal'!$B$5="",'Auto mensal'!$D$5="",'Auto mensal'!$D$5&lt;'Auto mensal'!$B$5),"Pendente: período",IF(OR(A82="",NOT(ISNUMBER(A82))),"Pendente: data",IF(OR(A82&lt;'Auto mensal'!$B$5,A82&gt;'Auto mensal'!$D$5),"Fora do período",IF(OR(B82="",C82="",D82="",E82=""),"Pendente: identificação",IF(COUNTIFS('Auto mensal'!$A$13:$A$42,B82,'Auto mensal'!$C$13:$C$42,"Betão")&lt;&gt;1,"Pendente: artigo / material",IF(AND(ISNUMBER(F82),F82&gt;0,F82=INT(F82),OR(G82="Retangular",G82="Circular"),ISNUMBER(H82),H82&gt;0,OR(G82="Circular",AND(ISNUMBER(I82),I82&gt;0)),ISNUMBER(J82),J82&gt;0,OR(K82="",AND(ISNUMBER(K82),K82&gt;=0)),N(K82)&lt;=F82*IF(G82="Circular",PI()*H82^2/4,H82*I82)*J82),"OK","Pendente: dimensões")))))))</x:f>
      </x:c>
      <x:c r="N82" s="5"/>
    </x:row>
    <x:row r="83" ht="23" customHeight="1">
      <x:c r="A83" s="6"/>
      <x:c r="B83" s="12"/>
      <x:c r="C83" s="5"/>
      <x:c r="D83" s="5"/>
      <x:c r="E83" s="5"/>
      <x:c r="F83" s="13"/>
      <x:c r="G83" s="13"/>
      <x:c r="H83" s="13"/>
      <x:c r="I83" s="13"/>
      <x:c r="J83" s="13"/>
      <x:c r="K83" s="13"/>
      <x:c r="L83" s="14" t="str">
        <x:f>IF(M83="OK",F83*IF(G83="Circular",PI()*H83^2/4,H83*I83)*J83-N(K83),"")</x:f>
      </x:c>
      <x:c r="M83" s="2" t="str">
        <x:f>IF(COUNTA(A83:K83,N83)=0,"",IF(OR('Auto mensal'!$B$5="",'Auto mensal'!$D$5="",'Auto mensal'!$D$5&lt;'Auto mensal'!$B$5),"Pendente: período",IF(OR(A83="",NOT(ISNUMBER(A83))),"Pendente: data",IF(OR(A83&lt;'Auto mensal'!$B$5,A83&gt;'Auto mensal'!$D$5),"Fora do período",IF(OR(B83="",C83="",D83="",E83=""),"Pendente: identificação",IF(COUNTIFS('Auto mensal'!$A$13:$A$42,B83,'Auto mensal'!$C$13:$C$42,"Betão")&lt;&gt;1,"Pendente: artigo / material",IF(AND(ISNUMBER(F83),F83&gt;0,F83=INT(F83),OR(G83="Retangular",G83="Circular"),ISNUMBER(H83),H83&gt;0,OR(G83="Circular",AND(ISNUMBER(I83),I83&gt;0)),ISNUMBER(J83),J83&gt;0,OR(K83="",AND(ISNUMBER(K83),K83&gt;=0)),N(K83)&lt;=F83*IF(G83="Circular",PI()*H83^2/4,H83*I83)*J83),"OK","Pendente: dimensões")))))))</x:f>
      </x:c>
      <x:c r="N83" s="5"/>
    </x:row>
    <x:row r="84" ht="23" customHeight="1">
      <x:c r="A84" s="6"/>
      <x:c r="B84" s="12"/>
      <x:c r="C84" s="5"/>
      <x:c r="D84" s="5"/>
      <x:c r="E84" s="5"/>
      <x:c r="F84" s="13"/>
      <x:c r="G84" s="13"/>
      <x:c r="H84" s="13"/>
      <x:c r="I84" s="13"/>
      <x:c r="J84" s="13"/>
      <x:c r="K84" s="13"/>
      <x:c r="L84" s="14" t="str">
        <x:f>IF(M84="OK",F84*IF(G84="Circular",PI()*H84^2/4,H84*I84)*J84-N(K84),"")</x:f>
      </x:c>
      <x:c r="M84" s="2" t="str">
        <x:f>IF(COUNTA(A84:K84,N84)=0,"",IF(OR('Auto mensal'!$B$5="",'Auto mensal'!$D$5="",'Auto mensal'!$D$5&lt;'Auto mensal'!$B$5),"Pendente: período",IF(OR(A84="",NOT(ISNUMBER(A84))),"Pendente: data",IF(OR(A84&lt;'Auto mensal'!$B$5,A84&gt;'Auto mensal'!$D$5),"Fora do período",IF(OR(B84="",C84="",D84="",E84=""),"Pendente: identificação",IF(COUNTIFS('Auto mensal'!$A$13:$A$42,B84,'Auto mensal'!$C$13:$C$42,"Betão")&lt;&gt;1,"Pendente: artigo / material",IF(AND(ISNUMBER(F84),F84&gt;0,F84=INT(F84),OR(G84="Retangular",G84="Circular"),ISNUMBER(H84),H84&gt;0,OR(G84="Circular",AND(ISNUMBER(I84),I84&gt;0)),ISNUMBER(J84),J84&gt;0,OR(K84="",AND(ISNUMBER(K84),K84&gt;=0)),N(K84)&lt;=F84*IF(G84="Circular",PI()*H84^2/4,H84*I84)*J84),"OK","Pendente: dimensões")))))))</x:f>
      </x:c>
      <x:c r="N84" s="5"/>
    </x:row>
    <x:row r="85" ht="23" customHeight="1">
      <x:c r="A85" s="6"/>
      <x:c r="B85" s="12"/>
      <x:c r="C85" s="5"/>
      <x:c r="D85" s="5"/>
      <x:c r="E85" s="5"/>
      <x:c r="F85" s="13"/>
      <x:c r="G85" s="13"/>
      <x:c r="H85" s="13"/>
      <x:c r="I85" s="13"/>
      <x:c r="J85" s="13"/>
      <x:c r="K85" s="13"/>
      <x:c r="L85" s="14" t="str">
        <x:f>IF(M85="OK",F85*IF(G85="Circular",PI()*H85^2/4,H85*I85)*J85-N(K85),"")</x:f>
      </x:c>
      <x:c r="M85" s="2" t="str">
        <x:f>IF(COUNTA(A85:K85,N85)=0,"",IF(OR('Auto mensal'!$B$5="",'Auto mensal'!$D$5="",'Auto mensal'!$D$5&lt;'Auto mensal'!$B$5),"Pendente: período",IF(OR(A85="",NOT(ISNUMBER(A85))),"Pendente: data",IF(OR(A85&lt;'Auto mensal'!$B$5,A85&gt;'Auto mensal'!$D$5),"Fora do período",IF(OR(B85="",C85="",D85="",E85=""),"Pendente: identificação",IF(COUNTIFS('Auto mensal'!$A$13:$A$42,B85,'Auto mensal'!$C$13:$C$42,"Betão")&lt;&gt;1,"Pendente: artigo / material",IF(AND(ISNUMBER(F85),F85&gt;0,F85=INT(F85),OR(G85="Retangular",G85="Circular"),ISNUMBER(H85),H85&gt;0,OR(G85="Circular",AND(ISNUMBER(I85),I85&gt;0)),ISNUMBER(J85),J85&gt;0,OR(K85="",AND(ISNUMBER(K85),K85&gt;=0)),N(K85)&lt;=F85*IF(G85="Circular",PI()*H85^2/4,H85*I85)*J85),"OK","Pendente: dimensões")))))))</x:f>
      </x:c>
      <x:c r="N85" s="5"/>
    </x:row>
    <x:row r="86" ht="23" customHeight="1">
      <x:c r="A86" s="6"/>
      <x:c r="B86" s="12"/>
      <x:c r="C86" s="5"/>
      <x:c r="D86" s="5"/>
      <x:c r="E86" s="5"/>
      <x:c r="F86" s="13"/>
      <x:c r="G86" s="13"/>
      <x:c r="H86" s="13"/>
      <x:c r="I86" s="13"/>
      <x:c r="J86" s="13"/>
      <x:c r="K86" s="13"/>
      <x:c r="L86" s="14" t="str">
        <x:f>IF(M86="OK",F86*IF(G86="Circular",PI()*H86^2/4,H86*I86)*J86-N(K86),"")</x:f>
      </x:c>
      <x:c r="M86" s="2" t="str">
        <x:f>IF(COUNTA(A86:K86,N86)=0,"",IF(OR('Auto mensal'!$B$5="",'Auto mensal'!$D$5="",'Auto mensal'!$D$5&lt;'Auto mensal'!$B$5),"Pendente: período",IF(OR(A86="",NOT(ISNUMBER(A86))),"Pendente: data",IF(OR(A86&lt;'Auto mensal'!$B$5,A86&gt;'Auto mensal'!$D$5),"Fora do período",IF(OR(B86="",C86="",D86="",E86=""),"Pendente: identificação",IF(COUNTIFS('Auto mensal'!$A$13:$A$42,B86,'Auto mensal'!$C$13:$C$42,"Betão")&lt;&gt;1,"Pendente: artigo / material",IF(AND(ISNUMBER(F86),F86&gt;0,F86=INT(F86),OR(G86="Retangular",G86="Circular"),ISNUMBER(H86),H86&gt;0,OR(G86="Circular",AND(ISNUMBER(I86),I86&gt;0)),ISNUMBER(J86),J86&gt;0,OR(K86="",AND(ISNUMBER(K86),K86&gt;=0)),N(K86)&lt;=F86*IF(G86="Circular",PI()*H86^2/4,H86*I86)*J86),"OK","Pendente: dimensões")))))))</x:f>
      </x:c>
      <x:c r="N86" s="5"/>
    </x:row>
    <x:row r="87" ht="23" customHeight="1">
      <x:c r="A87" s="6"/>
      <x:c r="B87" s="12"/>
      <x:c r="C87" s="5"/>
      <x:c r="D87" s="5"/>
      <x:c r="E87" s="5"/>
      <x:c r="F87" s="13"/>
      <x:c r="G87" s="13"/>
      <x:c r="H87" s="13"/>
      <x:c r="I87" s="13"/>
      <x:c r="J87" s="13"/>
      <x:c r="K87" s="13"/>
      <x:c r="L87" s="14" t="str">
        <x:f>IF(M87="OK",F87*IF(G87="Circular",PI()*H87^2/4,H87*I87)*J87-N(K87),"")</x:f>
      </x:c>
      <x:c r="M87" s="2" t="str">
        <x:f>IF(COUNTA(A87:K87,N87)=0,"",IF(OR('Auto mensal'!$B$5="",'Auto mensal'!$D$5="",'Auto mensal'!$D$5&lt;'Auto mensal'!$B$5),"Pendente: período",IF(OR(A87="",NOT(ISNUMBER(A87))),"Pendente: data",IF(OR(A87&lt;'Auto mensal'!$B$5,A87&gt;'Auto mensal'!$D$5),"Fora do período",IF(OR(B87="",C87="",D87="",E87=""),"Pendente: identificação",IF(COUNTIFS('Auto mensal'!$A$13:$A$42,B87,'Auto mensal'!$C$13:$C$42,"Betão")&lt;&gt;1,"Pendente: artigo / material",IF(AND(ISNUMBER(F87),F87&gt;0,F87=INT(F87),OR(G87="Retangular",G87="Circular"),ISNUMBER(H87),H87&gt;0,OR(G87="Circular",AND(ISNUMBER(I87),I87&gt;0)),ISNUMBER(J87),J87&gt;0,OR(K87="",AND(ISNUMBER(K87),K87&gt;=0)),N(K87)&lt;=F87*IF(G87="Circular",PI()*H87^2/4,H87*I87)*J87),"OK","Pendente: dimensões")))))))</x:f>
      </x:c>
      <x:c r="N87" s="5"/>
    </x:row>
    <x:row r="88" ht="23" customHeight="1">
      <x:c r="A88" s="6"/>
      <x:c r="B88" s="12"/>
      <x:c r="C88" s="5"/>
      <x:c r="D88" s="5"/>
      <x:c r="E88" s="5"/>
      <x:c r="F88" s="13"/>
      <x:c r="G88" s="13"/>
      <x:c r="H88" s="13"/>
      <x:c r="I88" s="13"/>
      <x:c r="J88" s="13"/>
      <x:c r="K88" s="13"/>
      <x:c r="L88" s="14" t="str">
        <x:f>IF(M88="OK",F88*IF(G88="Circular",PI()*H88^2/4,H88*I88)*J88-N(K88),"")</x:f>
      </x:c>
      <x:c r="M88" s="2" t="str">
        <x:f>IF(COUNTA(A88:K88,N88)=0,"",IF(OR('Auto mensal'!$B$5="",'Auto mensal'!$D$5="",'Auto mensal'!$D$5&lt;'Auto mensal'!$B$5),"Pendente: período",IF(OR(A88="",NOT(ISNUMBER(A88))),"Pendente: data",IF(OR(A88&lt;'Auto mensal'!$B$5,A88&gt;'Auto mensal'!$D$5),"Fora do período",IF(OR(B88="",C88="",D88="",E88=""),"Pendente: identificação",IF(COUNTIFS('Auto mensal'!$A$13:$A$42,B88,'Auto mensal'!$C$13:$C$42,"Betão")&lt;&gt;1,"Pendente: artigo / material",IF(AND(ISNUMBER(F88),F88&gt;0,F88=INT(F88),OR(G88="Retangular",G88="Circular"),ISNUMBER(H88),H88&gt;0,OR(G88="Circular",AND(ISNUMBER(I88),I88&gt;0)),ISNUMBER(J88),J88&gt;0,OR(K88="",AND(ISNUMBER(K88),K88&gt;=0)),N(K88)&lt;=F88*IF(G88="Circular",PI()*H88^2/4,H88*I88)*J88),"OK","Pendente: dimensões")))))))</x:f>
      </x:c>
      <x:c r="N88" s="5"/>
    </x:row>
    <x:row r="89" ht="23" customHeight="1">
      <x:c r="A89" s="6"/>
      <x:c r="B89" s="12"/>
      <x:c r="C89" s="5"/>
      <x:c r="D89" s="5"/>
      <x:c r="E89" s="5"/>
      <x:c r="F89" s="13"/>
      <x:c r="G89" s="13"/>
      <x:c r="H89" s="13"/>
      <x:c r="I89" s="13"/>
      <x:c r="J89" s="13"/>
      <x:c r="K89" s="13"/>
      <x:c r="L89" s="14" t="str">
        <x:f>IF(M89="OK",F89*IF(G89="Circular",PI()*H89^2/4,H89*I89)*J89-N(K89),"")</x:f>
      </x:c>
      <x:c r="M89" s="2" t="str">
        <x:f>IF(COUNTA(A89:K89,N89)=0,"",IF(OR('Auto mensal'!$B$5="",'Auto mensal'!$D$5="",'Auto mensal'!$D$5&lt;'Auto mensal'!$B$5),"Pendente: período",IF(OR(A89="",NOT(ISNUMBER(A89))),"Pendente: data",IF(OR(A89&lt;'Auto mensal'!$B$5,A89&gt;'Auto mensal'!$D$5),"Fora do período",IF(OR(B89="",C89="",D89="",E89=""),"Pendente: identificação",IF(COUNTIFS('Auto mensal'!$A$13:$A$42,B89,'Auto mensal'!$C$13:$C$42,"Betão")&lt;&gt;1,"Pendente: artigo / material",IF(AND(ISNUMBER(F89),F89&gt;0,F89=INT(F89),OR(G89="Retangular",G89="Circular"),ISNUMBER(H89),H89&gt;0,OR(G89="Circular",AND(ISNUMBER(I89),I89&gt;0)),ISNUMBER(J89),J89&gt;0,OR(K89="",AND(ISNUMBER(K89),K89&gt;=0)),N(K89)&lt;=F89*IF(G89="Circular",PI()*H89^2/4,H89*I89)*J89),"OK","Pendente: dimensões")))))))</x:f>
      </x:c>
      <x:c r="N89" s="5"/>
    </x:row>
    <x:row r="90" ht="23" customHeight="1">
      <x:c r="A90" s="6"/>
      <x:c r="B90" s="12"/>
      <x:c r="C90" s="5"/>
      <x:c r="D90" s="5"/>
      <x:c r="E90" s="5"/>
      <x:c r="F90" s="13"/>
      <x:c r="G90" s="13"/>
      <x:c r="H90" s="13"/>
      <x:c r="I90" s="13"/>
      <x:c r="J90" s="13"/>
      <x:c r="K90" s="13"/>
      <x:c r="L90" s="14" t="str">
        <x:f>IF(M90="OK",F90*IF(G90="Circular",PI()*H90^2/4,H90*I90)*J90-N(K90),"")</x:f>
      </x:c>
      <x:c r="M90" s="2" t="str">
        <x:f>IF(COUNTA(A90:K90,N90)=0,"",IF(OR('Auto mensal'!$B$5="",'Auto mensal'!$D$5="",'Auto mensal'!$D$5&lt;'Auto mensal'!$B$5),"Pendente: período",IF(OR(A90="",NOT(ISNUMBER(A90))),"Pendente: data",IF(OR(A90&lt;'Auto mensal'!$B$5,A90&gt;'Auto mensal'!$D$5),"Fora do período",IF(OR(B90="",C90="",D90="",E90=""),"Pendente: identificação",IF(COUNTIFS('Auto mensal'!$A$13:$A$42,B90,'Auto mensal'!$C$13:$C$42,"Betão")&lt;&gt;1,"Pendente: artigo / material",IF(AND(ISNUMBER(F90),F90&gt;0,F90=INT(F90),OR(G90="Retangular",G90="Circular"),ISNUMBER(H90),H90&gt;0,OR(G90="Circular",AND(ISNUMBER(I90),I90&gt;0)),ISNUMBER(J90),J90&gt;0,OR(K90="",AND(ISNUMBER(K90),K90&gt;=0)),N(K90)&lt;=F90*IF(G90="Circular",PI()*H90^2/4,H90*I90)*J90),"OK","Pendente: dimensões")))))))</x:f>
      </x:c>
      <x:c r="N90" s="5"/>
    </x:row>
    <x:row r="91" ht="23" customHeight="1">
      <x:c r="A91" s="6"/>
      <x:c r="B91" s="12"/>
      <x:c r="C91" s="5"/>
      <x:c r="D91" s="5"/>
      <x:c r="E91" s="5"/>
      <x:c r="F91" s="13"/>
      <x:c r="G91" s="13"/>
      <x:c r="H91" s="13"/>
      <x:c r="I91" s="13"/>
      <x:c r="J91" s="13"/>
      <x:c r="K91" s="13"/>
      <x:c r="L91" s="14" t="str">
        <x:f>IF(M91="OK",F91*IF(G91="Circular",PI()*H91^2/4,H91*I91)*J91-N(K91),"")</x:f>
      </x:c>
      <x:c r="M91" s="2" t="str">
        <x:f>IF(COUNTA(A91:K91,N91)=0,"",IF(OR('Auto mensal'!$B$5="",'Auto mensal'!$D$5="",'Auto mensal'!$D$5&lt;'Auto mensal'!$B$5),"Pendente: período",IF(OR(A91="",NOT(ISNUMBER(A91))),"Pendente: data",IF(OR(A91&lt;'Auto mensal'!$B$5,A91&gt;'Auto mensal'!$D$5),"Fora do período",IF(OR(B91="",C91="",D91="",E91=""),"Pendente: identificação",IF(COUNTIFS('Auto mensal'!$A$13:$A$42,B91,'Auto mensal'!$C$13:$C$42,"Betão")&lt;&gt;1,"Pendente: artigo / material",IF(AND(ISNUMBER(F91),F91&gt;0,F91=INT(F91),OR(G91="Retangular",G91="Circular"),ISNUMBER(H91),H91&gt;0,OR(G91="Circular",AND(ISNUMBER(I91),I91&gt;0)),ISNUMBER(J91),J91&gt;0,OR(K91="",AND(ISNUMBER(K91),K91&gt;=0)),N(K91)&lt;=F91*IF(G91="Circular",PI()*H91^2/4,H91*I91)*J91),"OK","Pendente: dimensões")))))))</x:f>
      </x:c>
      <x:c r="N91" s="5"/>
    </x:row>
    <x:row r="92" ht="23" customHeight="1">
      <x:c r="A92" s="6"/>
      <x:c r="B92" s="12"/>
      <x:c r="C92" s="5"/>
      <x:c r="D92" s="5"/>
      <x:c r="E92" s="5"/>
      <x:c r="F92" s="13"/>
      <x:c r="G92" s="13"/>
      <x:c r="H92" s="13"/>
      <x:c r="I92" s="13"/>
      <x:c r="J92" s="13"/>
      <x:c r="K92" s="13"/>
      <x:c r="L92" s="14" t="str">
        <x:f>IF(M92="OK",F92*IF(G92="Circular",PI()*H92^2/4,H92*I92)*J92-N(K92),"")</x:f>
      </x:c>
      <x:c r="M92" s="2" t="str">
        <x:f>IF(COUNTA(A92:K92,N92)=0,"",IF(OR('Auto mensal'!$B$5="",'Auto mensal'!$D$5="",'Auto mensal'!$D$5&lt;'Auto mensal'!$B$5),"Pendente: período",IF(OR(A92="",NOT(ISNUMBER(A92))),"Pendente: data",IF(OR(A92&lt;'Auto mensal'!$B$5,A92&gt;'Auto mensal'!$D$5),"Fora do período",IF(OR(B92="",C92="",D92="",E92=""),"Pendente: identificação",IF(COUNTIFS('Auto mensal'!$A$13:$A$42,B92,'Auto mensal'!$C$13:$C$42,"Betão")&lt;&gt;1,"Pendente: artigo / material",IF(AND(ISNUMBER(F92),F92&gt;0,F92=INT(F92),OR(G92="Retangular",G92="Circular"),ISNUMBER(H92),H92&gt;0,OR(G92="Circular",AND(ISNUMBER(I92),I92&gt;0)),ISNUMBER(J92),J92&gt;0,OR(K92="",AND(ISNUMBER(K92),K92&gt;=0)),N(K92)&lt;=F92*IF(G92="Circular",PI()*H92^2/4,H92*I92)*J92),"OK","Pendente: dimensões")))))))</x:f>
      </x:c>
      <x:c r="N92" s="5"/>
    </x:row>
    <x:row r="93" ht="23" customHeight="1">
      <x:c r="A93" s="6"/>
      <x:c r="B93" s="12"/>
      <x:c r="C93" s="5"/>
      <x:c r="D93" s="5"/>
      <x:c r="E93" s="5"/>
      <x:c r="F93" s="13"/>
      <x:c r="G93" s="13"/>
      <x:c r="H93" s="13"/>
      <x:c r="I93" s="13"/>
      <x:c r="J93" s="13"/>
      <x:c r="K93" s="13"/>
      <x:c r="L93" s="14" t="str">
        <x:f>IF(M93="OK",F93*IF(G93="Circular",PI()*H93^2/4,H93*I93)*J93-N(K93),"")</x:f>
      </x:c>
      <x:c r="M93" s="2" t="str">
        <x:f>IF(COUNTA(A93:K93,N93)=0,"",IF(OR('Auto mensal'!$B$5="",'Auto mensal'!$D$5="",'Auto mensal'!$D$5&lt;'Auto mensal'!$B$5),"Pendente: período",IF(OR(A93="",NOT(ISNUMBER(A93))),"Pendente: data",IF(OR(A93&lt;'Auto mensal'!$B$5,A93&gt;'Auto mensal'!$D$5),"Fora do período",IF(OR(B93="",C93="",D93="",E93=""),"Pendente: identificação",IF(COUNTIFS('Auto mensal'!$A$13:$A$42,B93,'Auto mensal'!$C$13:$C$42,"Betão")&lt;&gt;1,"Pendente: artigo / material",IF(AND(ISNUMBER(F93),F93&gt;0,F93=INT(F93),OR(G93="Retangular",G93="Circular"),ISNUMBER(H93),H93&gt;0,OR(G93="Circular",AND(ISNUMBER(I93),I93&gt;0)),ISNUMBER(J93),J93&gt;0,OR(K93="",AND(ISNUMBER(K93),K93&gt;=0)),N(K93)&lt;=F93*IF(G93="Circular",PI()*H93^2/4,H93*I93)*J93),"OK","Pendente: dimensões")))))))</x:f>
      </x:c>
      <x:c r="N93" s="5"/>
    </x:row>
    <x:row r="94" ht="23" customHeight="1">
      <x:c r="A94" s="6"/>
      <x:c r="B94" s="12"/>
      <x:c r="C94" s="5"/>
      <x:c r="D94" s="5"/>
      <x:c r="E94" s="5"/>
      <x:c r="F94" s="13"/>
      <x:c r="G94" s="13"/>
      <x:c r="H94" s="13"/>
      <x:c r="I94" s="13"/>
      <x:c r="J94" s="13"/>
      <x:c r="K94" s="13"/>
      <x:c r="L94" s="14" t="str">
        <x:f>IF(M94="OK",F94*IF(G94="Circular",PI()*H94^2/4,H94*I94)*J94-N(K94),"")</x:f>
      </x:c>
      <x:c r="M94" s="2" t="str">
        <x:f>IF(COUNTA(A94:K94,N94)=0,"",IF(OR('Auto mensal'!$B$5="",'Auto mensal'!$D$5="",'Auto mensal'!$D$5&lt;'Auto mensal'!$B$5),"Pendente: período",IF(OR(A94="",NOT(ISNUMBER(A94))),"Pendente: data",IF(OR(A94&lt;'Auto mensal'!$B$5,A94&gt;'Auto mensal'!$D$5),"Fora do período",IF(OR(B94="",C94="",D94="",E94=""),"Pendente: identificação",IF(COUNTIFS('Auto mensal'!$A$13:$A$42,B94,'Auto mensal'!$C$13:$C$42,"Betão")&lt;&gt;1,"Pendente: artigo / material",IF(AND(ISNUMBER(F94),F94&gt;0,F94=INT(F94),OR(G94="Retangular",G94="Circular"),ISNUMBER(H94),H94&gt;0,OR(G94="Circular",AND(ISNUMBER(I94),I94&gt;0)),ISNUMBER(J94),J94&gt;0,OR(K94="",AND(ISNUMBER(K94),K94&gt;=0)),N(K94)&lt;=F94*IF(G94="Circular",PI()*H94^2/4,H94*I94)*J94),"OK","Pendente: dimensões")))))))</x:f>
      </x:c>
      <x:c r="N94" s="5"/>
    </x:row>
    <x:row r="95" ht="23" customHeight="1">
      <x:c r="A95" s="6"/>
      <x:c r="B95" s="12"/>
      <x:c r="C95" s="5"/>
      <x:c r="D95" s="5"/>
      <x:c r="E95" s="5"/>
      <x:c r="F95" s="13"/>
      <x:c r="G95" s="13"/>
      <x:c r="H95" s="13"/>
      <x:c r="I95" s="13"/>
      <x:c r="J95" s="13"/>
      <x:c r="K95" s="13"/>
      <x:c r="L95" s="14" t="str">
        <x:f>IF(M95="OK",F95*IF(G95="Circular",PI()*H95^2/4,H95*I95)*J95-N(K95),"")</x:f>
      </x:c>
      <x:c r="M95" s="2" t="str">
        <x:f>IF(COUNTA(A95:K95,N95)=0,"",IF(OR('Auto mensal'!$B$5="",'Auto mensal'!$D$5="",'Auto mensal'!$D$5&lt;'Auto mensal'!$B$5),"Pendente: período",IF(OR(A95="",NOT(ISNUMBER(A95))),"Pendente: data",IF(OR(A95&lt;'Auto mensal'!$B$5,A95&gt;'Auto mensal'!$D$5),"Fora do período",IF(OR(B95="",C95="",D95="",E95=""),"Pendente: identificação",IF(COUNTIFS('Auto mensal'!$A$13:$A$42,B95,'Auto mensal'!$C$13:$C$42,"Betão")&lt;&gt;1,"Pendente: artigo / material",IF(AND(ISNUMBER(F95),F95&gt;0,F95=INT(F95),OR(G95="Retangular",G95="Circular"),ISNUMBER(H95),H95&gt;0,OR(G95="Circular",AND(ISNUMBER(I95),I95&gt;0)),ISNUMBER(J95),J95&gt;0,OR(K95="",AND(ISNUMBER(K95),K95&gt;=0)),N(K95)&lt;=F95*IF(G95="Circular",PI()*H95^2/4,H95*I95)*J95),"OK","Pendente: dimensões")))))))</x:f>
      </x:c>
      <x:c r="N95" s="5"/>
    </x:row>
    <x:row r="96" ht="23" customHeight="1">
      <x:c r="A96" s="6"/>
      <x:c r="B96" s="12"/>
      <x:c r="C96" s="5"/>
      <x:c r="D96" s="5"/>
      <x:c r="E96" s="5"/>
      <x:c r="F96" s="13"/>
      <x:c r="G96" s="13"/>
      <x:c r="H96" s="13"/>
      <x:c r="I96" s="13"/>
      <x:c r="J96" s="13"/>
      <x:c r="K96" s="13"/>
      <x:c r="L96" s="14" t="str">
        <x:f>IF(M96="OK",F96*IF(G96="Circular",PI()*H96^2/4,H96*I96)*J96-N(K96),"")</x:f>
      </x:c>
      <x:c r="M96" s="2" t="str">
        <x:f>IF(COUNTA(A96:K96,N96)=0,"",IF(OR('Auto mensal'!$B$5="",'Auto mensal'!$D$5="",'Auto mensal'!$D$5&lt;'Auto mensal'!$B$5),"Pendente: período",IF(OR(A96="",NOT(ISNUMBER(A96))),"Pendente: data",IF(OR(A96&lt;'Auto mensal'!$B$5,A96&gt;'Auto mensal'!$D$5),"Fora do período",IF(OR(B96="",C96="",D96="",E96=""),"Pendente: identificação",IF(COUNTIFS('Auto mensal'!$A$13:$A$42,B96,'Auto mensal'!$C$13:$C$42,"Betão")&lt;&gt;1,"Pendente: artigo / material",IF(AND(ISNUMBER(F96),F96&gt;0,F96=INT(F96),OR(G96="Retangular",G96="Circular"),ISNUMBER(H96),H96&gt;0,OR(G96="Circular",AND(ISNUMBER(I96),I96&gt;0)),ISNUMBER(J96),J96&gt;0,OR(K96="",AND(ISNUMBER(K96),K96&gt;=0)),N(K96)&lt;=F96*IF(G96="Circular",PI()*H96^2/4,H96*I96)*J96),"OK","Pendente: dimensões")))))))</x:f>
      </x:c>
      <x:c r="N96" s="5"/>
    </x:row>
    <x:row r="97" ht="23" customHeight="1">
      <x:c r="A97" s="6"/>
      <x:c r="B97" s="12"/>
      <x:c r="C97" s="5"/>
      <x:c r="D97" s="5"/>
      <x:c r="E97" s="5"/>
      <x:c r="F97" s="13"/>
      <x:c r="G97" s="13"/>
      <x:c r="H97" s="13"/>
      <x:c r="I97" s="13"/>
      <x:c r="J97" s="13"/>
      <x:c r="K97" s="13"/>
      <x:c r="L97" s="14" t="str">
        <x:f>IF(M97="OK",F97*IF(G97="Circular",PI()*H97^2/4,H97*I97)*J97-N(K97),"")</x:f>
      </x:c>
      <x:c r="M97" s="2" t="str">
        <x:f>IF(COUNTA(A97:K97,N97)=0,"",IF(OR('Auto mensal'!$B$5="",'Auto mensal'!$D$5="",'Auto mensal'!$D$5&lt;'Auto mensal'!$B$5),"Pendente: período",IF(OR(A97="",NOT(ISNUMBER(A97))),"Pendente: data",IF(OR(A97&lt;'Auto mensal'!$B$5,A97&gt;'Auto mensal'!$D$5),"Fora do período",IF(OR(B97="",C97="",D97="",E97=""),"Pendente: identificação",IF(COUNTIFS('Auto mensal'!$A$13:$A$42,B97,'Auto mensal'!$C$13:$C$42,"Betão")&lt;&gt;1,"Pendente: artigo / material",IF(AND(ISNUMBER(F97),F97&gt;0,F97=INT(F97),OR(G97="Retangular",G97="Circular"),ISNUMBER(H97),H97&gt;0,OR(G97="Circular",AND(ISNUMBER(I97),I97&gt;0)),ISNUMBER(J97),J97&gt;0,OR(K97="",AND(ISNUMBER(K97),K97&gt;=0)),N(K97)&lt;=F97*IF(G97="Circular",PI()*H97^2/4,H97*I97)*J97),"OK","Pendente: dimensões")))))))</x:f>
      </x:c>
      <x:c r="N97" s="5"/>
    </x:row>
    <x:row r="98" ht="23" customHeight="1">
      <x:c r="A98" s="6"/>
      <x:c r="B98" s="12"/>
      <x:c r="C98" s="5"/>
      <x:c r="D98" s="5"/>
      <x:c r="E98" s="5"/>
      <x:c r="F98" s="13"/>
      <x:c r="G98" s="13"/>
      <x:c r="H98" s="13"/>
      <x:c r="I98" s="13"/>
      <x:c r="J98" s="13"/>
      <x:c r="K98" s="13"/>
      <x:c r="L98" s="14" t="str">
        <x:f>IF(M98="OK",F98*IF(G98="Circular",PI()*H98^2/4,H98*I98)*J98-N(K98),"")</x:f>
      </x:c>
      <x:c r="M98" s="2" t="str">
        <x:f>IF(COUNTA(A98:K98,N98)=0,"",IF(OR('Auto mensal'!$B$5="",'Auto mensal'!$D$5="",'Auto mensal'!$D$5&lt;'Auto mensal'!$B$5),"Pendente: período",IF(OR(A98="",NOT(ISNUMBER(A98))),"Pendente: data",IF(OR(A98&lt;'Auto mensal'!$B$5,A98&gt;'Auto mensal'!$D$5),"Fora do período",IF(OR(B98="",C98="",D98="",E98=""),"Pendente: identificação",IF(COUNTIFS('Auto mensal'!$A$13:$A$42,B98,'Auto mensal'!$C$13:$C$42,"Betão")&lt;&gt;1,"Pendente: artigo / material",IF(AND(ISNUMBER(F98),F98&gt;0,F98=INT(F98),OR(G98="Retangular",G98="Circular"),ISNUMBER(H98),H98&gt;0,OR(G98="Circular",AND(ISNUMBER(I98),I98&gt;0)),ISNUMBER(J98),J98&gt;0,OR(K98="",AND(ISNUMBER(K98),K98&gt;=0)),N(K98)&lt;=F98*IF(G98="Circular",PI()*H98^2/4,H98*I98)*J98),"OK","Pendente: dimensões")))))))</x:f>
      </x:c>
      <x:c r="N98" s="5"/>
    </x:row>
    <x:row r="99" ht="23" customHeight="1">
      <x:c r="A99" s="6"/>
      <x:c r="B99" s="12"/>
      <x:c r="C99" s="5"/>
      <x:c r="D99" s="5"/>
      <x:c r="E99" s="5"/>
      <x:c r="F99" s="13"/>
      <x:c r="G99" s="13"/>
      <x:c r="H99" s="13"/>
      <x:c r="I99" s="13"/>
      <x:c r="J99" s="13"/>
      <x:c r="K99" s="13"/>
      <x:c r="L99" s="14" t="str">
        <x:f>IF(M99="OK",F99*IF(G99="Circular",PI()*H99^2/4,H99*I99)*J99-N(K99),"")</x:f>
      </x:c>
      <x:c r="M99" s="2" t="str">
        <x:f>IF(COUNTA(A99:K99,N99)=0,"",IF(OR('Auto mensal'!$B$5="",'Auto mensal'!$D$5="",'Auto mensal'!$D$5&lt;'Auto mensal'!$B$5),"Pendente: período",IF(OR(A99="",NOT(ISNUMBER(A99))),"Pendente: data",IF(OR(A99&lt;'Auto mensal'!$B$5,A99&gt;'Auto mensal'!$D$5),"Fora do período",IF(OR(B99="",C99="",D99="",E99=""),"Pendente: identificação",IF(COUNTIFS('Auto mensal'!$A$13:$A$42,B99,'Auto mensal'!$C$13:$C$42,"Betão")&lt;&gt;1,"Pendente: artigo / material",IF(AND(ISNUMBER(F99),F99&gt;0,F99=INT(F99),OR(G99="Retangular",G99="Circular"),ISNUMBER(H99),H99&gt;0,OR(G99="Circular",AND(ISNUMBER(I99),I99&gt;0)),ISNUMBER(J99),J99&gt;0,OR(K99="",AND(ISNUMBER(K99),K99&gt;=0)),N(K99)&lt;=F99*IF(G99="Circular",PI()*H99^2/4,H99*I99)*J99),"OK","Pendente: dimensões")))))))</x:f>
      </x:c>
      <x:c r="N99" s="5"/>
    </x:row>
    <x:row r="100" ht="23" customHeight="1">
      <x:c r="A100" s="6"/>
      <x:c r="B100" s="12"/>
      <x:c r="C100" s="5"/>
      <x:c r="D100" s="5"/>
      <x:c r="E100" s="5"/>
      <x:c r="F100" s="13"/>
      <x:c r="G100" s="13"/>
      <x:c r="H100" s="13"/>
      <x:c r="I100" s="13"/>
      <x:c r="J100" s="13"/>
      <x:c r="K100" s="13"/>
      <x:c r="L100" s="14" t="str">
        <x:f>IF(M100="OK",F100*IF(G100="Circular",PI()*H100^2/4,H100*I100)*J100-N(K100),"")</x:f>
      </x:c>
      <x:c r="M100" s="2" t="str">
        <x:f>IF(COUNTA(A100:K100,N100)=0,"",IF(OR('Auto mensal'!$B$5="",'Auto mensal'!$D$5="",'Auto mensal'!$D$5&lt;'Auto mensal'!$B$5),"Pendente: período",IF(OR(A100="",NOT(ISNUMBER(A100))),"Pendente: data",IF(OR(A100&lt;'Auto mensal'!$B$5,A100&gt;'Auto mensal'!$D$5),"Fora do período",IF(OR(B100="",C100="",D100="",E100=""),"Pendente: identificação",IF(COUNTIFS('Auto mensal'!$A$13:$A$42,B100,'Auto mensal'!$C$13:$C$42,"Betão")&lt;&gt;1,"Pendente: artigo / material",IF(AND(ISNUMBER(F100),F100&gt;0,F100=INT(F100),OR(G100="Retangular",G100="Circular"),ISNUMBER(H100),H100&gt;0,OR(G100="Circular",AND(ISNUMBER(I100),I100&gt;0)),ISNUMBER(J100),J100&gt;0,OR(K100="",AND(ISNUMBER(K100),K100&gt;=0)),N(K100)&lt;=F100*IF(G100="Circular",PI()*H100^2/4,H100*I100)*J100),"OK","Pendente: dimensões")))))))</x:f>
      </x:c>
      <x:c r="N100" s="5"/>
    </x:row>
    <x:row r="101" ht="23" customHeight="1">
      <x:c r="A101" s="6"/>
      <x:c r="B101" s="12"/>
      <x:c r="C101" s="5"/>
      <x:c r="D101" s="5"/>
      <x:c r="E101" s="5"/>
      <x:c r="F101" s="13"/>
      <x:c r="G101" s="13"/>
      <x:c r="H101" s="13"/>
      <x:c r="I101" s="13"/>
      <x:c r="J101" s="13"/>
      <x:c r="K101" s="13"/>
      <x:c r="L101" s="14" t="str">
        <x:f>IF(M101="OK",F101*IF(G101="Circular",PI()*H101^2/4,H101*I101)*J101-N(K101),"")</x:f>
      </x:c>
      <x:c r="M101" s="2" t="str">
        <x:f>IF(COUNTA(A101:K101,N101)=0,"",IF(OR('Auto mensal'!$B$5="",'Auto mensal'!$D$5="",'Auto mensal'!$D$5&lt;'Auto mensal'!$B$5),"Pendente: período",IF(OR(A101="",NOT(ISNUMBER(A101))),"Pendente: data",IF(OR(A101&lt;'Auto mensal'!$B$5,A101&gt;'Auto mensal'!$D$5),"Fora do período",IF(OR(B101="",C101="",D101="",E101=""),"Pendente: identificação",IF(COUNTIFS('Auto mensal'!$A$13:$A$42,B101,'Auto mensal'!$C$13:$C$42,"Betão")&lt;&gt;1,"Pendente: artigo / material",IF(AND(ISNUMBER(F101),F101&gt;0,F101=INT(F101),OR(G101="Retangular",G101="Circular"),ISNUMBER(H101),H101&gt;0,OR(G101="Circular",AND(ISNUMBER(I101),I101&gt;0)),ISNUMBER(J101),J101&gt;0,OR(K101="",AND(ISNUMBER(K101),K101&gt;=0)),N(K101)&lt;=F101*IF(G101="Circular",PI()*H101^2/4,H101*I101)*J101),"OK","Pendente: dimensões")))))))</x:f>
      </x:c>
      <x:c r="N101" s="5"/>
    </x:row>
    <x:row r="102" ht="23" customHeight="1">
      <x:c r="A102" s="6"/>
      <x:c r="B102" s="12"/>
      <x:c r="C102" s="5"/>
      <x:c r="D102" s="5"/>
      <x:c r="E102" s="5"/>
      <x:c r="F102" s="13"/>
      <x:c r="G102" s="13"/>
      <x:c r="H102" s="13"/>
      <x:c r="I102" s="13"/>
      <x:c r="J102" s="13"/>
      <x:c r="K102" s="13"/>
      <x:c r="L102" s="14" t="str">
        <x:f>IF(M102="OK",F102*IF(G102="Circular",PI()*H102^2/4,H102*I102)*J102-N(K102),"")</x:f>
      </x:c>
      <x:c r="M102" s="2" t="str">
        <x:f>IF(COUNTA(A102:K102,N102)=0,"",IF(OR('Auto mensal'!$B$5="",'Auto mensal'!$D$5="",'Auto mensal'!$D$5&lt;'Auto mensal'!$B$5),"Pendente: período",IF(OR(A102="",NOT(ISNUMBER(A102))),"Pendente: data",IF(OR(A102&lt;'Auto mensal'!$B$5,A102&gt;'Auto mensal'!$D$5),"Fora do período",IF(OR(B102="",C102="",D102="",E102=""),"Pendente: identificação",IF(COUNTIFS('Auto mensal'!$A$13:$A$42,B102,'Auto mensal'!$C$13:$C$42,"Betão")&lt;&gt;1,"Pendente: artigo / material",IF(AND(ISNUMBER(F102),F102&gt;0,F102=INT(F102),OR(G102="Retangular",G102="Circular"),ISNUMBER(H102),H102&gt;0,OR(G102="Circular",AND(ISNUMBER(I102),I102&gt;0)),ISNUMBER(J102),J102&gt;0,OR(K102="",AND(ISNUMBER(K102),K102&gt;=0)),N(K102)&lt;=F102*IF(G102="Circular",PI()*H102^2/4,H102*I102)*J102),"OK","Pendente: dimensões")))))))</x:f>
      </x:c>
      <x:c r="N102" s="5"/>
    </x:row>
    <x:row r="103" ht="23" customHeight="1">
      <x:c r="A103" s="6"/>
      <x:c r="B103" s="12"/>
      <x:c r="C103" s="5"/>
      <x:c r="D103" s="5"/>
      <x:c r="E103" s="5"/>
      <x:c r="F103" s="13"/>
      <x:c r="G103" s="13"/>
      <x:c r="H103" s="13"/>
      <x:c r="I103" s="13"/>
      <x:c r="J103" s="13"/>
      <x:c r="K103" s="13"/>
      <x:c r="L103" s="14" t="str">
        <x:f>IF(M103="OK",F103*IF(G103="Circular",PI()*H103^2/4,H103*I103)*J103-N(K103),"")</x:f>
      </x:c>
      <x:c r="M103" s="2" t="str">
        <x:f>IF(COUNTA(A103:K103,N103)=0,"",IF(OR('Auto mensal'!$B$5="",'Auto mensal'!$D$5="",'Auto mensal'!$D$5&lt;'Auto mensal'!$B$5),"Pendente: período",IF(OR(A103="",NOT(ISNUMBER(A103))),"Pendente: data",IF(OR(A103&lt;'Auto mensal'!$B$5,A103&gt;'Auto mensal'!$D$5),"Fora do período",IF(OR(B103="",C103="",D103="",E103=""),"Pendente: identificação",IF(COUNTIFS('Auto mensal'!$A$13:$A$42,B103,'Auto mensal'!$C$13:$C$42,"Betão")&lt;&gt;1,"Pendente: artigo / material",IF(AND(ISNUMBER(F103),F103&gt;0,F103=INT(F103),OR(G103="Retangular",G103="Circular"),ISNUMBER(H103),H103&gt;0,OR(G103="Circular",AND(ISNUMBER(I103),I103&gt;0)),ISNUMBER(J103),J103&gt;0,OR(K103="",AND(ISNUMBER(K103),K103&gt;=0)),N(K103)&lt;=F103*IF(G103="Circular",PI()*H103^2/4,H103*I103)*J103),"OK","Pendente: dimensões")))))))</x:f>
      </x:c>
      <x:c r="N103" s="5"/>
    </x:row>
    <x:row r="104" ht="23" customHeight="1">
      <x:c r="A104" s="6"/>
      <x:c r="B104" s="12"/>
      <x:c r="C104" s="5"/>
      <x:c r="D104" s="5"/>
      <x:c r="E104" s="5"/>
      <x:c r="F104" s="13"/>
      <x:c r="G104" s="13"/>
      <x:c r="H104" s="13"/>
      <x:c r="I104" s="13"/>
      <x:c r="J104" s="13"/>
      <x:c r="K104" s="13"/>
      <x:c r="L104" s="14" t="str">
        <x:f>IF(M104="OK",F104*IF(G104="Circular",PI()*H104^2/4,H104*I104)*J104-N(K104),"")</x:f>
      </x:c>
      <x:c r="M104" s="2" t="str">
        <x:f>IF(COUNTA(A104:K104,N104)=0,"",IF(OR('Auto mensal'!$B$5="",'Auto mensal'!$D$5="",'Auto mensal'!$D$5&lt;'Auto mensal'!$B$5),"Pendente: período",IF(OR(A104="",NOT(ISNUMBER(A104))),"Pendente: data",IF(OR(A104&lt;'Auto mensal'!$B$5,A104&gt;'Auto mensal'!$D$5),"Fora do período",IF(OR(B104="",C104="",D104="",E104=""),"Pendente: identificação",IF(COUNTIFS('Auto mensal'!$A$13:$A$42,B104,'Auto mensal'!$C$13:$C$42,"Betão")&lt;&gt;1,"Pendente: artigo / material",IF(AND(ISNUMBER(F104),F104&gt;0,F104=INT(F104),OR(G104="Retangular",G104="Circular"),ISNUMBER(H104),H104&gt;0,OR(G104="Circular",AND(ISNUMBER(I104),I104&gt;0)),ISNUMBER(J104),J104&gt;0,OR(K104="",AND(ISNUMBER(K104),K104&gt;=0)),N(K104)&lt;=F104*IF(G104="Circular",PI()*H104^2/4,H104*I104)*J104),"OK","Pendente: dimensões")))))))</x:f>
      </x:c>
      <x:c r="N104" s="5"/>
    </x:row>
    <x:row r="105" ht="23" customHeight="1">
      <x:c r="A105" s="6"/>
      <x:c r="B105" s="12"/>
      <x:c r="C105" s="5"/>
      <x:c r="D105" s="5"/>
      <x:c r="E105" s="5"/>
      <x:c r="F105" s="13"/>
      <x:c r="G105" s="13"/>
      <x:c r="H105" s="13"/>
      <x:c r="I105" s="13"/>
      <x:c r="J105" s="13"/>
      <x:c r="K105" s="13"/>
      <x:c r="L105" s="14" t="str">
        <x:f>IF(M105="OK",F105*IF(G105="Circular",PI()*H105^2/4,H105*I105)*J105-N(K105),"")</x:f>
      </x:c>
      <x:c r="M105" s="2" t="str">
        <x:f>IF(COUNTA(A105:K105,N105)=0,"",IF(OR('Auto mensal'!$B$5="",'Auto mensal'!$D$5="",'Auto mensal'!$D$5&lt;'Auto mensal'!$B$5),"Pendente: período",IF(OR(A105="",NOT(ISNUMBER(A105))),"Pendente: data",IF(OR(A105&lt;'Auto mensal'!$B$5,A105&gt;'Auto mensal'!$D$5),"Fora do período",IF(OR(B105="",C105="",D105="",E105=""),"Pendente: identificação",IF(COUNTIFS('Auto mensal'!$A$13:$A$42,B105,'Auto mensal'!$C$13:$C$42,"Betão")&lt;&gt;1,"Pendente: artigo / material",IF(AND(ISNUMBER(F105),F105&gt;0,F105=INT(F105),OR(G105="Retangular",G105="Circular"),ISNUMBER(H105),H105&gt;0,OR(G105="Circular",AND(ISNUMBER(I105),I105&gt;0)),ISNUMBER(J105),J105&gt;0,OR(K105="",AND(ISNUMBER(K105),K105&gt;=0)),N(K105)&lt;=F105*IF(G105="Circular",PI()*H105^2/4,H105*I105)*J105),"OK","Pendente: dimensões")))))))</x:f>
      </x:c>
      <x:c r="N105" s="5"/>
    </x:row>
    <x:row r="106" ht="23" customHeight="1">
      <x:c r="A106" s="6"/>
      <x:c r="B106" s="12"/>
      <x:c r="C106" s="5"/>
      <x:c r="D106" s="5"/>
      <x:c r="E106" s="5"/>
      <x:c r="F106" s="13"/>
      <x:c r="G106" s="13"/>
      <x:c r="H106" s="13"/>
      <x:c r="I106" s="13"/>
      <x:c r="J106" s="13"/>
      <x:c r="K106" s="13"/>
      <x:c r="L106" s="14" t="str">
        <x:f>IF(M106="OK",F106*IF(G106="Circular",PI()*H106^2/4,H106*I106)*J106-N(K106),"")</x:f>
      </x:c>
      <x:c r="M106" s="2" t="str">
        <x:f>IF(COUNTA(A106:K106,N106)=0,"",IF(OR('Auto mensal'!$B$5="",'Auto mensal'!$D$5="",'Auto mensal'!$D$5&lt;'Auto mensal'!$B$5),"Pendente: período",IF(OR(A106="",NOT(ISNUMBER(A106))),"Pendente: data",IF(OR(A106&lt;'Auto mensal'!$B$5,A106&gt;'Auto mensal'!$D$5),"Fora do período",IF(OR(B106="",C106="",D106="",E106=""),"Pendente: identificação",IF(COUNTIFS('Auto mensal'!$A$13:$A$42,B106,'Auto mensal'!$C$13:$C$42,"Betão")&lt;&gt;1,"Pendente: artigo / material",IF(AND(ISNUMBER(F106),F106&gt;0,F106=INT(F106),OR(G106="Retangular",G106="Circular"),ISNUMBER(H106),H106&gt;0,OR(G106="Circular",AND(ISNUMBER(I106),I106&gt;0)),ISNUMBER(J106),J106&gt;0,OR(K106="",AND(ISNUMBER(K106),K106&gt;=0)),N(K106)&lt;=F106*IF(G106="Circular",PI()*H106^2/4,H106*I106)*J106),"OK","Pendente: dimensões")))))))</x:f>
      </x:c>
      <x:c r="N106" s="5"/>
    </x:row>
    <x:row r="107" ht="23" customHeight="1">
      <x:c r="A107" s="6"/>
      <x:c r="B107" s="12"/>
      <x:c r="C107" s="5"/>
      <x:c r="D107" s="5"/>
      <x:c r="E107" s="5"/>
      <x:c r="F107" s="13"/>
      <x:c r="G107" s="13"/>
      <x:c r="H107" s="13"/>
      <x:c r="I107" s="13"/>
      <x:c r="J107" s="13"/>
      <x:c r="K107" s="13"/>
      <x:c r="L107" s="14" t="str">
        <x:f>IF(M107="OK",F107*IF(G107="Circular",PI()*H107^2/4,H107*I107)*J107-N(K107),"")</x:f>
      </x:c>
      <x:c r="M107" s="2" t="str">
        <x:f>IF(COUNTA(A107:K107,N107)=0,"",IF(OR('Auto mensal'!$B$5="",'Auto mensal'!$D$5="",'Auto mensal'!$D$5&lt;'Auto mensal'!$B$5),"Pendente: período",IF(OR(A107="",NOT(ISNUMBER(A107))),"Pendente: data",IF(OR(A107&lt;'Auto mensal'!$B$5,A107&gt;'Auto mensal'!$D$5),"Fora do período",IF(OR(B107="",C107="",D107="",E107=""),"Pendente: identificação",IF(COUNTIFS('Auto mensal'!$A$13:$A$42,B107,'Auto mensal'!$C$13:$C$42,"Betão")&lt;&gt;1,"Pendente: artigo / material",IF(AND(ISNUMBER(F107),F107&gt;0,F107=INT(F107),OR(G107="Retangular",G107="Circular"),ISNUMBER(H107),H107&gt;0,OR(G107="Circular",AND(ISNUMBER(I107),I107&gt;0)),ISNUMBER(J107),J107&gt;0,OR(K107="",AND(ISNUMBER(K107),K107&gt;=0)),N(K107)&lt;=F107*IF(G107="Circular",PI()*H107^2/4,H107*I107)*J107),"OK","Pendente: dimensões")))))))</x:f>
      </x:c>
      <x:c r="N107" s="5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</x:sheetData>
  <x:conditionalFormatting sqref="M8:M107">
    <x:cfRule type="containsText" dxfId="4" priority="1" operator="containsText" text="Pendente"/>
    <x:cfRule type="containsText" dxfId="5" priority="2" operator="containsText" text="Rever"/>
  </x:conditionalFormatting>
  <x:dataValidations count="1">
    <x:dataValidation type="list" sqref="G8:G107">
      <x:formula1>"Retangular,Circular"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2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Memória de cálculo — cofragem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Início</x:v>
      </x:c>
      <x:c r="B4" s="18" t="str">
        <x:f>IF('Auto mensal'!B5="","",'Auto mensal'!B5)</x:f>
      </x:c>
      <x:c r="C4" s="2" t="str">
        <x:v>Fim</x:v>
      </x:c>
      <x:c r="D4" s="18" t="str">
        <x:f>IF('Auto mensal'!D5="","",'Auto mensal'!D5)</x:f>
      </x:c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 t="str">
        <x:v>Área = n.º faces iguais × comprimento × altura − deduções. Registar apenas faces cofradas e medir segundo o contrato.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2" customHeight="1">
      <x:c r="A7" s="11" t="str">
        <x:v>Data execução</x:v>
      </x:c>
      <x:c r="B7" s="11" t="str">
        <x:v>Código artigo</x:v>
      </x:c>
      <x:c r="C7" s="11" t="str">
        <x:v>Elemento / face</x:v>
      </x:c>
      <x:c r="D7" s="11" t="str">
        <x:v>Piso / zona</x:v>
      </x:c>
      <x:c r="E7" s="11" t="str">
        <x:v>Desenho / evidência</x:v>
      </x:c>
      <x:c r="F7" s="11" t="str">
        <x:v>N.º faces iguais</x:v>
      </x:c>
      <x:c r="G7" s="11" t="str">
        <x:v>Comprimento m</x:v>
      </x:c>
      <x:c r="H7" s="11" t="str">
        <x:v>Altura / largura m</x:v>
      </x:c>
      <x:c r="I7" s="11" t="str">
        <x:v>Dedução m²</x:v>
      </x:c>
      <x:c r="J7" s="11" t="str">
        <x:v>Cofragem m²</x:v>
      </x:c>
      <x:c r="K7" s="11" t="str">
        <x:v>Conferência</x:v>
      </x:c>
      <x:c r="L7" s="11" t="str">
        <x:v>Observações</x:v>
      </x:c>
    </x:row>
    <x:row r="8" ht="23" customHeight="1">
      <x:c r="A8" s="6"/>
      <x:c r="B8" s="12"/>
      <x:c r="C8" s="5"/>
      <x:c r="D8" s="5"/>
      <x:c r="E8" s="5"/>
      <x:c r="F8" s="13"/>
      <x:c r="G8" s="13"/>
      <x:c r="H8" s="13"/>
      <x:c r="I8" s="13"/>
      <x:c r="J8" s="14" t="str">
        <x:f>IF(K8="OK",F8*G8*H8-N(I8),"")</x:f>
      </x:c>
      <x:c r="K8" s="2" t="str">
        <x:f>IF(COUNTA(A8:I8,L8)=0,"",IF(OR('Auto mensal'!$B$5="",'Auto mensal'!$D$5="",'Auto mensal'!$D$5&lt;'Auto mensal'!$B$5),"Pendente: período",IF(OR(A8="",NOT(ISNUMBER(A8))),"Pendente: data",IF(OR(A8&lt;'Auto mensal'!$B$5,A8&gt;'Auto mensal'!$D$5),"Fora do período",IF(OR(B8="",C8="",D8="",E8=""),"Pendente: identificação",IF(COUNTIFS('Auto mensal'!$A$13:$A$42,B8,'Auto mensal'!$C$13:$C$42,"Cofragem")&lt;&gt;1,"Pendente: artigo / material",IF(AND(ISNUMBER(F8),F8&gt;0,F8=INT(F8),ISNUMBER(G8),G8&gt;0,ISNUMBER(H8),H8&gt;0,OR(I8="",AND(ISNUMBER(I8),I8&gt;=0)),N(I8)&lt;=F8*G8*H8),"OK","Pendente: dimensões")))))))</x:f>
      </x:c>
      <x:c r="L8" s="5"/>
    </x:row>
    <x:row r="9" ht="23" customHeight="1">
      <x:c r="A9" s="6"/>
      <x:c r="B9" s="12"/>
      <x:c r="C9" s="5"/>
      <x:c r="D9" s="5"/>
      <x:c r="E9" s="5"/>
      <x:c r="F9" s="13"/>
      <x:c r="G9" s="13"/>
      <x:c r="H9" s="13"/>
      <x:c r="I9" s="13"/>
      <x:c r="J9" s="14" t="str">
        <x:f>IF(K9="OK",F9*G9*H9-N(I9),"")</x:f>
      </x:c>
      <x:c r="K9" s="2" t="str">
        <x:f>IF(COUNTA(A9:I9,L9)=0,"",IF(OR('Auto mensal'!$B$5="",'Auto mensal'!$D$5="",'Auto mensal'!$D$5&lt;'Auto mensal'!$B$5),"Pendente: período",IF(OR(A9="",NOT(ISNUMBER(A9))),"Pendente: data",IF(OR(A9&lt;'Auto mensal'!$B$5,A9&gt;'Auto mensal'!$D$5),"Fora do período",IF(OR(B9="",C9="",D9="",E9=""),"Pendente: identificação",IF(COUNTIFS('Auto mensal'!$A$13:$A$42,B9,'Auto mensal'!$C$13:$C$42,"Cofragem")&lt;&gt;1,"Pendente: artigo / material",IF(AND(ISNUMBER(F9),F9&gt;0,F9=INT(F9),ISNUMBER(G9),G9&gt;0,ISNUMBER(H9),H9&gt;0,OR(I9="",AND(ISNUMBER(I9),I9&gt;=0)),N(I9)&lt;=F9*G9*H9),"OK","Pendente: dimensões")))))))</x:f>
      </x:c>
      <x:c r="L9" s="5"/>
    </x:row>
    <x:row r="10" ht="23" customHeight="1">
      <x:c r="A10" s="6"/>
      <x:c r="B10" s="12"/>
      <x:c r="C10" s="5"/>
      <x:c r="D10" s="5"/>
      <x:c r="E10" s="5"/>
      <x:c r="F10" s="13"/>
      <x:c r="G10" s="13"/>
      <x:c r="H10" s="13"/>
      <x:c r="I10" s="13"/>
      <x:c r="J10" s="14" t="str">
        <x:f>IF(K10="OK",F10*G10*H10-N(I10),"")</x:f>
      </x:c>
      <x:c r="K10" s="2" t="str">
        <x:f>IF(COUNTA(A10:I10,L10)=0,"",IF(OR('Auto mensal'!$B$5="",'Auto mensal'!$D$5="",'Auto mensal'!$D$5&lt;'Auto mensal'!$B$5),"Pendente: período",IF(OR(A10="",NOT(ISNUMBER(A10))),"Pendente: data",IF(OR(A10&lt;'Auto mensal'!$B$5,A10&gt;'Auto mensal'!$D$5),"Fora do período",IF(OR(B10="",C10="",D10="",E10=""),"Pendente: identificação",IF(COUNTIFS('Auto mensal'!$A$13:$A$42,B10,'Auto mensal'!$C$13:$C$42,"Cofragem")&lt;&gt;1,"Pendente: artigo / material",IF(AND(ISNUMBER(F10),F10&gt;0,F10=INT(F10),ISNUMBER(G10),G10&gt;0,ISNUMBER(H10),H10&gt;0,OR(I10="",AND(ISNUMBER(I10),I10&gt;=0)),N(I10)&lt;=F10*G10*H10),"OK","Pendente: dimensões")))))))</x:f>
      </x:c>
      <x:c r="L10" s="5"/>
    </x:row>
    <x:row r="11" ht="23" customHeight="1">
      <x:c r="A11" s="6"/>
      <x:c r="B11" s="12"/>
      <x:c r="C11" s="5"/>
      <x:c r="D11" s="5"/>
      <x:c r="E11" s="5"/>
      <x:c r="F11" s="13"/>
      <x:c r="G11" s="13"/>
      <x:c r="H11" s="13"/>
      <x:c r="I11" s="13"/>
      <x:c r="J11" s="14" t="str">
        <x:f>IF(K11="OK",F11*G11*H11-N(I11),"")</x:f>
      </x:c>
      <x:c r="K11" s="2" t="str">
        <x:f>IF(COUNTA(A11:I11,L11)=0,"",IF(OR('Auto mensal'!$B$5="",'Auto mensal'!$D$5="",'Auto mensal'!$D$5&lt;'Auto mensal'!$B$5),"Pendente: período",IF(OR(A11="",NOT(ISNUMBER(A11))),"Pendente: data",IF(OR(A11&lt;'Auto mensal'!$B$5,A11&gt;'Auto mensal'!$D$5),"Fora do período",IF(OR(B11="",C11="",D11="",E11=""),"Pendente: identificação",IF(COUNTIFS('Auto mensal'!$A$13:$A$42,B11,'Auto mensal'!$C$13:$C$42,"Cofragem")&lt;&gt;1,"Pendente: artigo / material",IF(AND(ISNUMBER(F11),F11&gt;0,F11=INT(F11),ISNUMBER(G11),G11&gt;0,ISNUMBER(H11),H11&gt;0,OR(I11="",AND(ISNUMBER(I11),I11&gt;=0)),N(I11)&lt;=F11*G11*H11),"OK","Pendente: dimensões")))))))</x:f>
      </x:c>
      <x:c r="L11" s="5"/>
    </x:row>
    <x:row r="12" ht="23" customHeight="1">
      <x:c r="A12" s="6"/>
      <x:c r="B12" s="12"/>
      <x:c r="C12" s="5"/>
      <x:c r="D12" s="5"/>
      <x:c r="E12" s="5"/>
      <x:c r="F12" s="13"/>
      <x:c r="G12" s="13"/>
      <x:c r="H12" s="13"/>
      <x:c r="I12" s="13"/>
      <x:c r="J12" s="14" t="str">
        <x:f>IF(K12="OK",F12*G12*H12-N(I12),"")</x:f>
      </x:c>
      <x:c r="K12" s="2" t="str">
        <x:f>IF(COUNTA(A12:I12,L12)=0,"",IF(OR('Auto mensal'!$B$5="",'Auto mensal'!$D$5="",'Auto mensal'!$D$5&lt;'Auto mensal'!$B$5),"Pendente: período",IF(OR(A12="",NOT(ISNUMBER(A12))),"Pendente: data",IF(OR(A12&lt;'Auto mensal'!$B$5,A12&gt;'Auto mensal'!$D$5),"Fora do período",IF(OR(B12="",C12="",D12="",E12=""),"Pendente: identificação",IF(COUNTIFS('Auto mensal'!$A$13:$A$42,B12,'Auto mensal'!$C$13:$C$42,"Cofragem")&lt;&gt;1,"Pendente: artigo / material",IF(AND(ISNUMBER(F12),F12&gt;0,F12=INT(F12),ISNUMBER(G12),G12&gt;0,ISNUMBER(H12),H12&gt;0,OR(I12="",AND(ISNUMBER(I12),I12&gt;=0)),N(I12)&lt;=F12*G12*H12),"OK","Pendente: dimensões")))))))</x:f>
      </x:c>
      <x:c r="L12" s="5"/>
    </x:row>
    <x:row r="13" ht="23" customHeight="1">
      <x:c r="A13" s="6"/>
      <x:c r="B13" s="12"/>
      <x:c r="C13" s="5"/>
      <x:c r="D13" s="5"/>
      <x:c r="E13" s="5"/>
      <x:c r="F13" s="13"/>
      <x:c r="G13" s="13"/>
      <x:c r="H13" s="13"/>
      <x:c r="I13" s="13"/>
      <x:c r="J13" s="14" t="str">
        <x:f>IF(K13="OK",F13*G13*H13-N(I13),"")</x:f>
      </x:c>
      <x:c r="K13" s="2" t="str">
        <x:f>IF(COUNTA(A13:I13,L13)=0,"",IF(OR('Auto mensal'!$B$5="",'Auto mensal'!$D$5="",'Auto mensal'!$D$5&lt;'Auto mensal'!$B$5),"Pendente: período",IF(OR(A13="",NOT(ISNUMBER(A13))),"Pendente: data",IF(OR(A13&lt;'Auto mensal'!$B$5,A13&gt;'Auto mensal'!$D$5),"Fora do período",IF(OR(B13="",C13="",D13="",E13=""),"Pendente: identificação",IF(COUNTIFS('Auto mensal'!$A$13:$A$42,B13,'Auto mensal'!$C$13:$C$42,"Cofragem")&lt;&gt;1,"Pendente: artigo / material",IF(AND(ISNUMBER(F13),F13&gt;0,F13=INT(F13),ISNUMBER(G13),G13&gt;0,ISNUMBER(H13),H13&gt;0,OR(I13="",AND(ISNUMBER(I13),I13&gt;=0)),N(I13)&lt;=F13*G13*H13),"OK","Pendente: dimensões")))))))</x:f>
      </x:c>
      <x:c r="L13" s="5"/>
    </x:row>
    <x:row r="14" ht="23" customHeight="1">
      <x:c r="A14" s="6"/>
      <x:c r="B14" s="12"/>
      <x:c r="C14" s="5"/>
      <x:c r="D14" s="5"/>
      <x:c r="E14" s="5"/>
      <x:c r="F14" s="13"/>
      <x:c r="G14" s="13"/>
      <x:c r="H14" s="13"/>
      <x:c r="I14" s="13"/>
      <x:c r="J14" s="14" t="str">
        <x:f>IF(K14="OK",F14*G14*H14-N(I14),"")</x:f>
      </x:c>
      <x:c r="K14" s="2" t="str">
        <x:f>IF(COUNTA(A14:I14,L14)=0,"",IF(OR('Auto mensal'!$B$5="",'Auto mensal'!$D$5="",'Auto mensal'!$D$5&lt;'Auto mensal'!$B$5),"Pendente: período",IF(OR(A14="",NOT(ISNUMBER(A14))),"Pendente: data",IF(OR(A14&lt;'Auto mensal'!$B$5,A14&gt;'Auto mensal'!$D$5),"Fora do período",IF(OR(B14="",C14="",D14="",E14=""),"Pendente: identificação",IF(COUNTIFS('Auto mensal'!$A$13:$A$42,B14,'Auto mensal'!$C$13:$C$42,"Cofragem")&lt;&gt;1,"Pendente: artigo / material",IF(AND(ISNUMBER(F14),F14&gt;0,F14=INT(F14),ISNUMBER(G14),G14&gt;0,ISNUMBER(H14),H14&gt;0,OR(I14="",AND(ISNUMBER(I14),I14&gt;=0)),N(I14)&lt;=F14*G14*H14),"OK","Pendente: dimensões")))))))</x:f>
      </x:c>
      <x:c r="L14" s="5"/>
    </x:row>
    <x:row r="15" ht="23" customHeight="1">
      <x:c r="A15" s="6"/>
      <x:c r="B15" s="12"/>
      <x:c r="C15" s="5"/>
      <x:c r="D15" s="5"/>
      <x:c r="E15" s="5"/>
      <x:c r="F15" s="13"/>
      <x:c r="G15" s="13"/>
      <x:c r="H15" s="13"/>
      <x:c r="I15" s="13"/>
      <x:c r="J15" s="14" t="str">
        <x:f>IF(K15="OK",F15*G15*H15-N(I15),"")</x:f>
      </x:c>
      <x:c r="K15" s="2" t="str">
        <x:f>IF(COUNTA(A15:I15,L15)=0,"",IF(OR('Auto mensal'!$B$5="",'Auto mensal'!$D$5="",'Auto mensal'!$D$5&lt;'Auto mensal'!$B$5),"Pendente: período",IF(OR(A15="",NOT(ISNUMBER(A15))),"Pendente: data",IF(OR(A15&lt;'Auto mensal'!$B$5,A15&gt;'Auto mensal'!$D$5),"Fora do período",IF(OR(B15="",C15="",D15="",E15=""),"Pendente: identificação",IF(COUNTIFS('Auto mensal'!$A$13:$A$42,B15,'Auto mensal'!$C$13:$C$42,"Cofragem")&lt;&gt;1,"Pendente: artigo / material",IF(AND(ISNUMBER(F15),F15&gt;0,F15=INT(F15),ISNUMBER(G15),G15&gt;0,ISNUMBER(H15),H15&gt;0,OR(I15="",AND(ISNUMBER(I15),I15&gt;=0)),N(I15)&lt;=F15*G15*H15),"OK","Pendente: dimensões")))))))</x:f>
      </x:c>
      <x:c r="L15" s="5"/>
    </x:row>
    <x:row r="16" ht="23" customHeight="1">
      <x:c r="A16" s="6"/>
      <x:c r="B16" s="12"/>
      <x:c r="C16" s="5"/>
      <x:c r="D16" s="5"/>
      <x:c r="E16" s="5"/>
      <x:c r="F16" s="13"/>
      <x:c r="G16" s="13"/>
      <x:c r="H16" s="13"/>
      <x:c r="I16" s="13"/>
      <x:c r="J16" s="14" t="str">
        <x:f>IF(K16="OK",F16*G16*H16-N(I16),"")</x:f>
      </x:c>
      <x:c r="K16" s="2" t="str">
        <x:f>IF(COUNTA(A16:I16,L16)=0,"",IF(OR('Auto mensal'!$B$5="",'Auto mensal'!$D$5="",'Auto mensal'!$D$5&lt;'Auto mensal'!$B$5),"Pendente: período",IF(OR(A16="",NOT(ISNUMBER(A16))),"Pendente: data",IF(OR(A16&lt;'Auto mensal'!$B$5,A16&gt;'Auto mensal'!$D$5),"Fora do período",IF(OR(B16="",C16="",D16="",E16=""),"Pendente: identificação",IF(COUNTIFS('Auto mensal'!$A$13:$A$42,B16,'Auto mensal'!$C$13:$C$42,"Cofragem")&lt;&gt;1,"Pendente: artigo / material",IF(AND(ISNUMBER(F16),F16&gt;0,F16=INT(F16),ISNUMBER(G16),G16&gt;0,ISNUMBER(H16),H16&gt;0,OR(I16="",AND(ISNUMBER(I16),I16&gt;=0)),N(I16)&lt;=F16*G16*H16),"OK","Pendente: dimensões")))))))</x:f>
      </x:c>
      <x:c r="L16" s="5"/>
    </x:row>
    <x:row r="17" ht="23" customHeight="1">
      <x:c r="A17" s="6"/>
      <x:c r="B17" s="12"/>
      <x:c r="C17" s="5"/>
      <x:c r="D17" s="5"/>
      <x:c r="E17" s="5"/>
      <x:c r="F17" s="13"/>
      <x:c r="G17" s="13"/>
      <x:c r="H17" s="13"/>
      <x:c r="I17" s="13"/>
      <x:c r="J17" s="14" t="str">
        <x:f>IF(K17="OK",F17*G17*H17-N(I17),"")</x:f>
      </x:c>
      <x:c r="K17" s="2" t="str">
        <x:f>IF(COUNTA(A17:I17,L17)=0,"",IF(OR('Auto mensal'!$B$5="",'Auto mensal'!$D$5="",'Auto mensal'!$D$5&lt;'Auto mensal'!$B$5),"Pendente: período",IF(OR(A17="",NOT(ISNUMBER(A17))),"Pendente: data",IF(OR(A17&lt;'Auto mensal'!$B$5,A17&gt;'Auto mensal'!$D$5),"Fora do período",IF(OR(B17="",C17="",D17="",E17=""),"Pendente: identificação",IF(COUNTIFS('Auto mensal'!$A$13:$A$42,B17,'Auto mensal'!$C$13:$C$42,"Cofragem")&lt;&gt;1,"Pendente: artigo / material",IF(AND(ISNUMBER(F17),F17&gt;0,F17=INT(F17),ISNUMBER(G17),G17&gt;0,ISNUMBER(H17),H17&gt;0,OR(I17="",AND(ISNUMBER(I17),I17&gt;=0)),N(I17)&lt;=F17*G17*H17),"OK","Pendente: dimensões")))))))</x:f>
      </x:c>
      <x:c r="L17" s="5"/>
    </x:row>
    <x:row r="18" ht="23" customHeight="1">
      <x:c r="A18" s="6"/>
      <x:c r="B18" s="12"/>
      <x:c r="C18" s="5"/>
      <x:c r="D18" s="5"/>
      <x:c r="E18" s="5"/>
      <x:c r="F18" s="13"/>
      <x:c r="G18" s="13"/>
      <x:c r="H18" s="13"/>
      <x:c r="I18" s="13"/>
      <x:c r="J18" s="14" t="str">
        <x:f>IF(K18="OK",F18*G18*H18-N(I18),"")</x:f>
      </x:c>
      <x:c r="K18" s="2" t="str">
        <x:f>IF(COUNTA(A18:I18,L18)=0,"",IF(OR('Auto mensal'!$B$5="",'Auto mensal'!$D$5="",'Auto mensal'!$D$5&lt;'Auto mensal'!$B$5),"Pendente: período",IF(OR(A18="",NOT(ISNUMBER(A18))),"Pendente: data",IF(OR(A18&lt;'Auto mensal'!$B$5,A18&gt;'Auto mensal'!$D$5),"Fora do período",IF(OR(B18="",C18="",D18="",E18=""),"Pendente: identificação",IF(COUNTIFS('Auto mensal'!$A$13:$A$42,B18,'Auto mensal'!$C$13:$C$42,"Cofragem")&lt;&gt;1,"Pendente: artigo / material",IF(AND(ISNUMBER(F18),F18&gt;0,F18=INT(F18),ISNUMBER(G18),G18&gt;0,ISNUMBER(H18),H18&gt;0,OR(I18="",AND(ISNUMBER(I18),I18&gt;=0)),N(I18)&lt;=F18*G18*H18),"OK","Pendente: dimensões")))))))</x:f>
      </x:c>
      <x:c r="L18" s="5"/>
    </x:row>
    <x:row r="19" ht="23" customHeight="1">
      <x:c r="A19" s="6"/>
      <x:c r="B19" s="12"/>
      <x:c r="C19" s="5"/>
      <x:c r="D19" s="5"/>
      <x:c r="E19" s="5"/>
      <x:c r="F19" s="13"/>
      <x:c r="G19" s="13"/>
      <x:c r="H19" s="13"/>
      <x:c r="I19" s="13"/>
      <x:c r="J19" s="14" t="str">
        <x:f>IF(K19="OK",F19*G19*H19-N(I19),"")</x:f>
      </x:c>
      <x:c r="K19" s="2" t="str">
        <x:f>IF(COUNTA(A19:I19,L19)=0,"",IF(OR('Auto mensal'!$B$5="",'Auto mensal'!$D$5="",'Auto mensal'!$D$5&lt;'Auto mensal'!$B$5),"Pendente: período",IF(OR(A19="",NOT(ISNUMBER(A19))),"Pendente: data",IF(OR(A19&lt;'Auto mensal'!$B$5,A19&gt;'Auto mensal'!$D$5),"Fora do período",IF(OR(B19="",C19="",D19="",E19=""),"Pendente: identificação",IF(COUNTIFS('Auto mensal'!$A$13:$A$42,B19,'Auto mensal'!$C$13:$C$42,"Cofragem")&lt;&gt;1,"Pendente: artigo / material",IF(AND(ISNUMBER(F19),F19&gt;0,F19=INT(F19),ISNUMBER(G19),G19&gt;0,ISNUMBER(H19),H19&gt;0,OR(I19="",AND(ISNUMBER(I19),I19&gt;=0)),N(I19)&lt;=F19*G19*H19),"OK","Pendente: dimensões")))))))</x:f>
      </x:c>
      <x:c r="L19" s="5"/>
    </x:row>
    <x:row r="20" ht="23" customHeight="1">
      <x:c r="A20" s="6"/>
      <x:c r="B20" s="12"/>
      <x:c r="C20" s="5"/>
      <x:c r="D20" s="5"/>
      <x:c r="E20" s="5"/>
      <x:c r="F20" s="13"/>
      <x:c r="G20" s="13"/>
      <x:c r="H20" s="13"/>
      <x:c r="I20" s="13"/>
      <x:c r="J20" s="14" t="str">
        <x:f>IF(K20="OK",F20*G20*H20-N(I20),"")</x:f>
      </x:c>
      <x:c r="K20" s="2" t="str">
        <x:f>IF(COUNTA(A20:I20,L20)=0,"",IF(OR('Auto mensal'!$B$5="",'Auto mensal'!$D$5="",'Auto mensal'!$D$5&lt;'Auto mensal'!$B$5),"Pendente: período",IF(OR(A20="",NOT(ISNUMBER(A20))),"Pendente: data",IF(OR(A20&lt;'Auto mensal'!$B$5,A20&gt;'Auto mensal'!$D$5),"Fora do período",IF(OR(B20="",C20="",D20="",E20=""),"Pendente: identificação",IF(COUNTIFS('Auto mensal'!$A$13:$A$42,B20,'Auto mensal'!$C$13:$C$42,"Cofragem")&lt;&gt;1,"Pendente: artigo / material",IF(AND(ISNUMBER(F20),F20&gt;0,F20=INT(F20),ISNUMBER(G20),G20&gt;0,ISNUMBER(H20),H20&gt;0,OR(I20="",AND(ISNUMBER(I20),I20&gt;=0)),N(I20)&lt;=F20*G20*H20),"OK","Pendente: dimensões")))))))</x:f>
      </x:c>
      <x:c r="L20" s="5"/>
    </x:row>
    <x:row r="21" ht="23" customHeight="1">
      <x:c r="A21" s="6"/>
      <x:c r="B21" s="12"/>
      <x:c r="C21" s="5"/>
      <x:c r="D21" s="5"/>
      <x:c r="E21" s="5"/>
      <x:c r="F21" s="13"/>
      <x:c r="G21" s="13"/>
      <x:c r="H21" s="13"/>
      <x:c r="I21" s="13"/>
      <x:c r="J21" s="14" t="str">
        <x:f>IF(K21="OK",F21*G21*H21-N(I21),"")</x:f>
      </x:c>
      <x:c r="K21" s="2" t="str">
        <x:f>IF(COUNTA(A21:I21,L21)=0,"",IF(OR('Auto mensal'!$B$5="",'Auto mensal'!$D$5="",'Auto mensal'!$D$5&lt;'Auto mensal'!$B$5),"Pendente: período",IF(OR(A21="",NOT(ISNUMBER(A21))),"Pendente: data",IF(OR(A21&lt;'Auto mensal'!$B$5,A21&gt;'Auto mensal'!$D$5),"Fora do período",IF(OR(B21="",C21="",D21="",E21=""),"Pendente: identificação",IF(COUNTIFS('Auto mensal'!$A$13:$A$42,B21,'Auto mensal'!$C$13:$C$42,"Cofragem")&lt;&gt;1,"Pendente: artigo / material",IF(AND(ISNUMBER(F21),F21&gt;0,F21=INT(F21),ISNUMBER(G21),G21&gt;0,ISNUMBER(H21),H21&gt;0,OR(I21="",AND(ISNUMBER(I21),I21&gt;=0)),N(I21)&lt;=F21*G21*H21),"OK","Pendente: dimensões")))))))</x:f>
      </x:c>
      <x:c r="L21" s="5"/>
    </x:row>
    <x:row r="22" ht="23" customHeight="1">
      <x:c r="A22" s="6"/>
      <x:c r="B22" s="12"/>
      <x:c r="C22" s="5"/>
      <x:c r="D22" s="5"/>
      <x:c r="E22" s="5"/>
      <x:c r="F22" s="13"/>
      <x:c r="G22" s="13"/>
      <x:c r="H22" s="13"/>
      <x:c r="I22" s="13"/>
      <x:c r="J22" s="14" t="str">
        <x:f>IF(K22="OK",F22*G22*H22-N(I22),"")</x:f>
      </x:c>
      <x:c r="K22" s="2" t="str">
        <x:f>IF(COUNTA(A22:I22,L22)=0,"",IF(OR('Auto mensal'!$B$5="",'Auto mensal'!$D$5="",'Auto mensal'!$D$5&lt;'Auto mensal'!$B$5),"Pendente: período",IF(OR(A22="",NOT(ISNUMBER(A22))),"Pendente: data",IF(OR(A22&lt;'Auto mensal'!$B$5,A22&gt;'Auto mensal'!$D$5),"Fora do período",IF(OR(B22="",C22="",D22="",E22=""),"Pendente: identificação",IF(COUNTIFS('Auto mensal'!$A$13:$A$42,B22,'Auto mensal'!$C$13:$C$42,"Cofragem")&lt;&gt;1,"Pendente: artigo / material",IF(AND(ISNUMBER(F22),F22&gt;0,F22=INT(F22),ISNUMBER(G22),G22&gt;0,ISNUMBER(H22),H22&gt;0,OR(I22="",AND(ISNUMBER(I22),I22&gt;=0)),N(I22)&lt;=F22*G22*H22),"OK","Pendente: dimensões")))))))</x:f>
      </x:c>
      <x:c r="L22" s="5"/>
    </x:row>
    <x:row r="23" ht="23" customHeight="1">
      <x:c r="A23" s="6"/>
      <x:c r="B23" s="12"/>
      <x:c r="C23" s="5"/>
      <x:c r="D23" s="5"/>
      <x:c r="E23" s="5"/>
      <x:c r="F23" s="13"/>
      <x:c r="G23" s="13"/>
      <x:c r="H23" s="13"/>
      <x:c r="I23" s="13"/>
      <x:c r="J23" s="14" t="str">
        <x:f>IF(K23="OK",F23*G23*H23-N(I23),"")</x:f>
      </x:c>
      <x:c r="K23" s="2" t="str">
        <x:f>IF(COUNTA(A23:I23,L23)=0,"",IF(OR('Auto mensal'!$B$5="",'Auto mensal'!$D$5="",'Auto mensal'!$D$5&lt;'Auto mensal'!$B$5),"Pendente: período",IF(OR(A23="",NOT(ISNUMBER(A23))),"Pendente: data",IF(OR(A23&lt;'Auto mensal'!$B$5,A23&gt;'Auto mensal'!$D$5),"Fora do período",IF(OR(B23="",C23="",D23="",E23=""),"Pendente: identificação",IF(COUNTIFS('Auto mensal'!$A$13:$A$42,B23,'Auto mensal'!$C$13:$C$42,"Cofragem")&lt;&gt;1,"Pendente: artigo / material",IF(AND(ISNUMBER(F23),F23&gt;0,F23=INT(F23),ISNUMBER(G23),G23&gt;0,ISNUMBER(H23),H23&gt;0,OR(I23="",AND(ISNUMBER(I23),I23&gt;=0)),N(I23)&lt;=F23*G23*H23),"OK","Pendente: dimensões")))))))</x:f>
      </x:c>
      <x:c r="L23" s="5"/>
    </x:row>
    <x:row r="24" ht="23" customHeight="1">
      <x:c r="A24" s="6"/>
      <x:c r="B24" s="12"/>
      <x:c r="C24" s="5"/>
      <x:c r="D24" s="5"/>
      <x:c r="E24" s="5"/>
      <x:c r="F24" s="13"/>
      <x:c r="G24" s="13"/>
      <x:c r="H24" s="13"/>
      <x:c r="I24" s="13"/>
      <x:c r="J24" s="14" t="str">
        <x:f>IF(K24="OK",F24*G24*H24-N(I24),"")</x:f>
      </x:c>
      <x:c r="K24" s="2" t="str">
        <x:f>IF(COUNTA(A24:I24,L24)=0,"",IF(OR('Auto mensal'!$B$5="",'Auto mensal'!$D$5="",'Auto mensal'!$D$5&lt;'Auto mensal'!$B$5),"Pendente: período",IF(OR(A24="",NOT(ISNUMBER(A24))),"Pendente: data",IF(OR(A24&lt;'Auto mensal'!$B$5,A24&gt;'Auto mensal'!$D$5),"Fora do período",IF(OR(B24="",C24="",D24="",E24=""),"Pendente: identificação",IF(COUNTIFS('Auto mensal'!$A$13:$A$42,B24,'Auto mensal'!$C$13:$C$42,"Cofragem")&lt;&gt;1,"Pendente: artigo / material",IF(AND(ISNUMBER(F24),F24&gt;0,F24=INT(F24),ISNUMBER(G24),G24&gt;0,ISNUMBER(H24),H24&gt;0,OR(I24="",AND(ISNUMBER(I24),I24&gt;=0)),N(I24)&lt;=F24*G24*H24),"OK","Pendente: dimensões")))))))</x:f>
      </x:c>
      <x:c r="L24" s="5"/>
    </x:row>
    <x:row r="25" ht="23" customHeight="1">
      <x:c r="A25" s="6"/>
      <x:c r="B25" s="12"/>
      <x:c r="C25" s="5"/>
      <x:c r="D25" s="5"/>
      <x:c r="E25" s="5"/>
      <x:c r="F25" s="13"/>
      <x:c r="G25" s="13"/>
      <x:c r="H25" s="13"/>
      <x:c r="I25" s="13"/>
      <x:c r="J25" s="14" t="str">
        <x:f>IF(K25="OK",F25*G25*H25-N(I25),"")</x:f>
      </x:c>
      <x:c r="K25" s="2" t="str">
        <x:f>IF(COUNTA(A25:I25,L25)=0,"",IF(OR('Auto mensal'!$B$5="",'Auto mensal'!$D$5="",'Auto mensal'!$D$5&lt;'Auto mensal'!$B$5),"Pendente: período",IF(OR(A25="",NOT(ISNUMBER(A25))),"Pendente: data",IF(OR(A25&lt;'Auto mensal'!$B$5,A25&gt;'Auto mensal'!$D$5),"Fora do período",IF(OR(B25="",C25="",D25="",E25=""),"Pendente: identificação",IF(COUNTIFS('Auto mensal'!$A$13:$A$42,B25,'Auto mensal'!$C$13:$C$42,"Cofragem")&lt;&gt;1,"Pendente: artigo / material",IF(AND(ISNUMBER(F25),F25&gt;0,F25=INT(F25),ISNUMBER(G25),G25&gt;0,ISNUMBER(H25),H25&gt;0,OR(I25="",AND(ISNUMBER(I25),I25&gt;=0)),N(I25)&lt;=F25*G25*H25),"OK","Pendente: dimensões")))))))</x:f>
      </x:c>
      <x:c r="L25" s="5"/>
    </x:row>
    <x:row r="26" ht="23" customHeight="1">
      <x:c r="A26" s="6"/>
      <x:c r="B26" s="12"/>
      <x:c r="C26" s="5"/>
      <x:c r="D26" s="5"/>
      <x:c r="E26" s="5"/>
      <x:c r="F26" s="13"/>
      <x:c r="G26" s="13"/>
      <x:c r="H26" s="13"/>
      <x:c r="I26" s="13"/>
      <x:c r="J26" s="14" t="str">
        <x:f>IF(K26="OK",F26*G26*H26-N(I26),"")</x:f>
      </x:c>
      <x:c r="K26" s="2" t="str">
        <x:f>IF(COUNTA(A26:I26,L26)=0,"",IF(OR('Auto mensal'!$B$5="",'Auto mensal'!$D$5="",'Auto mensal'!$D$5&lt;'Auto mensal'!$B$5),"Pendente: período",IF(OR(A26="",NOT(ISNUMBER(A26))),"Pendente: data",IF(OR(A26&lt;'Auto mensal'!$B$5,A26&gt;'Auto mensal'!$D$5),"Fora do período",IF(OR(B26="",C26="",D26="",E26=""),"Pendente: identificação",IF(COUNTIFS('Auto mensal'!$A$13:$A$42,B26,'Auto mensal'!$C$13:$C$42,"Cofragem")&lt;&gt;1,"Pendente: artigo / material",IF(AND(ISNUMBER(F26),F26&gt;0,F26=INT(F26),ISNUMBER(G26),G26&gt;0,ISNUMBER(H26),H26&gt;0,OR(I26="",AND(ISNUMBER(I26),I26&gt;=0)),N(I26)&lt;=F26*G26*H26),"OK","Pendente: dimensões")))))))</x:f>
      </x:c>
      <x:c r="L26" s="5"/>
    </x:row>
    <x:row r="27" ht="23" customHeight="1">
      <x:c r="A27" s="6"/>
      <x:c r="B27" s="12"/>
      <x:c r="C27" s="5"/>
      <x:c r="D27" s="5"/>
      <x:c r="E27" s="5"/>
      <x:c r="F27" s="13"/>
      <x:c r="G27" s="13"/>
      <x:c r="H27" s="13"/>
      <x:c r="I27" s="13"/>
      <x:c r="J27" s="14" t="str">
        <x:f>IF(K27="OK",F27*G27*H27-N(I27),"")</x:f>
      </x:c>
      <x:c r="K27" s="2" t="str">
        <x:f>IF(COUNTA(A27:I27,L27)=0,"",IF(OR('Auto mensal'!$B$5="",'Auto mensal'!$D$5="",'Auto mensal'!$D$5&lt;'Auto mensal'!$B$5),"Pendente: período",IF(OR(A27="",NOT(ISNUMBER(A27))),"Pendente: data",IF(OR(A27&lt;'Auto mensal'!$B$5,A27&gt;'Auto mensal'!$D$5),"Fora do período",IF(OR(B27="",C27="",D27="",E27=""),"Pendente: identificação",IF(COUNTIFS('Auto mensal'!$A$13:$A$42,B27,'Auto mensal'!$C$13:$C$42,"Cofragem")&lt;&gt;1,"Pendente: artigo / material",IF(AND(ISNUMBER(F27),F27&gt;0,F27=INT(F27),ISNUMBER(G27),G27&gt;0,ISNUMBER(H27),H27&gt;0,OR(I27="",AND(ISNUMBER(I27),I27&gt;=0)),N(I27)&lt;=F27*G27*H27),"OK","Pendente: dimensões")))))))</x:f>
      </x:c>
      <x:c r="L27" s="5"/>
    </x:row>
    <x:row r="28" ht="23" customHeight="1">
      <x:c r="A28" s="6"/>
      <x:c r="B28" s="12"/>
      <x:c r="C28" s="5"/>
      <x:c r="D28" s="5"/>
      <x:c r="E28" s="5"/>
      <x:c r="F28" s="13"/>
      <x:c r="G28" s="13"/>
      <x:c r="H28" s="13"/>
      <x:c r="I28" s="13"/>
      <x:c r="J28" s="14" t="str">
        <x:f>IF(K28="OK",F28*G28*H28-N(I28),"")</x:f>
      </x:c>
      <x:c r="K28" s="2" t="str">
        <x:f>IF(COUNTA(A28:I28,L28)=0,"",IF(OR('Auto mensal'!$B$5="",'Auto mensal'!$D$5="",'Auto mensal'!$D$5&lt;'Auto mensal'!$B$5),"Pendente: período",IF(OR(A28="",NOT(ISNUMBER(A28))),"Pendente: data",IF(OR(A28&lt;'Auto mensal'!$B$5,A28&gt;'Auto mensal'!$D$5),"Fora do período",IF(OR(B28="",C28="",D28="",E28=""),"Pendente: identificação",IF(COUNTIFS('Auto mensal'!$A$13:$A$42,B28,'Auto mensal'!$C$13:$C$42,"Cofragem")&lt;&gt;1,"Pendente: artigo / material",IF(AND(ISNUMBER(F28),F28&gt;0,F28=INT(F28),ISNUMBER(G28),G28&gt;0,ISNUMBER(H28),H28&gt;0,OR(I28="",AND(ISNUMBER(I28),I28&gt;=0)),N(I28)&lt;=F28*G28*H28),"OK","Pendente: dimensões")))))))</x:f>
      </x:c>
      <x:c r="L28" s="5"/>
    </x:row>
    <x:row r="29" ht="23" customHeight="1">
      <x:c r="A29" s="6"/>
      <x:c r="B29" s="12"/>
      <x:c r="C29" s="5"/>
      <x:c r="D29" s="5"/>
      <x:c r="E29" s="5"/>
      <x:c r="F29" s="13"/>
      <x:c r="G29" s="13"/>
      <x:c r="H29" s="13"/>
      <x:c r="I29" s="13"/>
      <x:c r="J29" s="14" t="str">
        <x:f>IF(K29="OK",F29*G29*H29-N(I29),"")</x:f>
      </x:c>
      <x:c r="K29" s="2" t="str">
        <x:f>IF(COUNTA(A29:I29,L29)=0,"",IF(OR('Auto mensal'!$B$5="",'Auto mensal'!$D$5="",'Auto mensal'!$D$5&lt;'Auto mensal'!$B$5),"Pendente: período",IF(OR(A29="",NOT(ISNUMBER(A29))),"Pendente: data",IF(OR(A29&lt;'Auto mensal'!$B$5,A29&gt;'Auto mensal'!$D$5),"Fora do período",IF(OR(B29="",C29="",D29="",E29=""),"Pendente: identificação",IF(COUNTIFS('Auto mensal'!$A$13:$A$42,B29,'Auto mensal'!$C$13:$C$42,"Cofragem")&lt;&gt;1,"Pendente: artigo / material",IF(AND(ISNUMBER(F29),F29&gt;0,F29=INT(F29),ISNUMBER(G29),G29&gt;0,ISNUMBER(H29),H29&gt;0,OR(I29="",AND(ISNUMBER(I29),I29&gt;=0)),N(I29)&lt;=F29*G29*H29),"OK","Pendente: dimensões")))))))</x:f>
      </x:c>
      <x:c r="L29" s="5"/>
    </x:row>
    <x:row r="30" ht="23" customHeight="1">
      <x:c r="A30" s="6"/>
      <x:c r="B30" s="12"/>
      <x:c r="C30" s="5"/>
      <x:c r="D30" s="5"/>
      <x:c r="E30" s="5"/>
      <x:c r="F30" s="13"/>
      <x:c r="G30" s="13"/>
      <x:c r="H30" s="13"/>
      <x:c r="I30" s="13"/>
      <x:c r="J30" s="14" t="str">
        <x:f>IF(K30="OK",F30*G30*H30-N(I30),"")</x:f>
      </x:c>
      <x:c r="K30" s="2" t="str">
        <x:f>IF(COUNTA(A30:I30,L30)=0,"",IF(OR('Auto mensal'!$B$5="",'Auto mensal'!$D$5="",'Auto mensal'!$D$5&lt;'Auto mensal'!$B$5),"Pendente: período",IF(OR(A30="",NOT(ISNUMBER(A30))),"Pendente: data",IF(OR(A30&lt;'Auto mensal'!$B$5,A30&gt;'Auto mensal'!$D$5),"Fora do período",IF(OR(B30="",C30="",D30="",E30=""),"Pendente: identificação",IF(COUNTIFS('Auto mensal'!$A$13:$A$42,B30,'Auto mensal'!$C$13:$C$42,"Cofragem")&lt;&gt;1,"Pendente: artigo / material",IF(AND(ISNUMBER(F30),F30&gt;0,F30=INT(F30),ISNUMBER(G30),G30&gt;0,ISNUMBER(H30),H30&gt;0,OR(I30="",AND(ISNUMBER(I30),I30&gt;=0)),N(I30)&lt;=F30*G30*H30),"OK","Pendente: dimensões")))))))</x:f>
      </x:c>
      <x:c r="L30" s="5"/>
    </x:row>
    <x:row r="31" ht="23" customHeight="1">
      <x:c r="A31" s="6"/>
      <x:c r="B31" s="12"/>
      <x:c r="C31" s="5"/>
      <x:c r="D31" s="5"/>
      <x:c r="E31" s="5"/>
      <x:c r="F31" s="13"/>
      <x:c r="G31" s="13"/>
      <x:c r="H31" s="13"/>
      <x:c r="I31" s="13"/>
      <x:c r="J31" s="14" t="str">
        <x:f>IF(K31="OK",F31*G31*H31-N(I31),"")</x:f>
      </x:c>
      <x:c r="K31" s="2" t="str">
        <x:f>IF(COUNTA(A31:I31,L31)=0,"",IF(OR('Auto mensal'!$B$5="",'Auto mensal'!$D$5="",'Auto mensal'!$D$5&lt;'Auto mensal'!$B$5),"Pendente: período",IF(OR(A31="",NOT(ISNUMBER(A31))),"Pendente: data",IF(OR(A31&lt;'Auto mensal'!$B$5,A31&gt;'Auto mensal'!$D$5),"Fora do período",IF(OR(B31="",C31="",D31="",E31=""),"Pendente: identificação",IF(COUNTIFS('Auto mensal'!$A$13:$A$42,B31,'Auto mensal'!$C$13:$C$42,"Cofragem")&lt;&gt;1,"Pendente: artigo / material",IF(AND(ISNUMBER(F31),F31&gt;0,F31=INT(F31),ISNUMBER(G31),G31&gt;0,ISNUMBER(H31),H31&gt;0,OR(I31="",AND(ISNUMBER(I31),I31&gt;=0)),N(I31)&lt;=F31*G31*H31),"OK","Pendente: dimensões")))))))</x:f>
      </x:c>
      <x:c r="L31" s="5"/>
    </x:row>
    <x:row r="32" ht="23" customHeight="1">
      <x:c r="A32" s="6"/>
      <x:c r="B32" s="12"/>
      <x:c r="C32" s="5"/>
      <x:c r="D32" s="5"/>
      <x:c r="E32" s="5"/>
      <x:c r="F32" s="13"/>
      <x:c r="G32" s="13"/>
      <x:c r="H32" s="13"/>
      <x:c r="I32" s="13"/>
      <x:c r="J32" s="14" t="str">
        <x:f>IF(K32="OK",F32*G32*H32-N(I32),"")</x:f>
      </x:c>
      <x:c r="K32" s="2" t="str">
        <x:f>IF(COUNTA(A32:I32,L32)=0,"",IF(OR('Auto mensal'!$B$5="",'Auto mensal'!$D$5="",'Auto mensal'!$D$5&lt;'Auto mensal'!$B$5),"Pendente: período",IF(OR(A32="",NOT(ISNUMBER(A32))),"Pendente: data",IF(OR(A32&lt;'Auto mensal'!$B$5,A32&gt;'Auto mensal'!$D$5),"Fora do período",IF(OR(B32="",C32="",D32="",E32=""),"Pendente: identificação",IF(COUNTIFS('Auto mensal'!$A$13:$A$42,B32,'Auto mensal'!$C$13:$C$42,"Cofragem")&lt;&gt;1,"Pendente: artigo / material",IF(AND(ISNUMBER(F32),F32&gt;0,F32=INT(F32),ISNUMBER(G32),G32&gt;0,ISNUMBER(H32),H32&gt;0,OR(I32="",AND(ISNUMBER(I32),I32&gt;=0)),N(I32)&lt;=F32*G32*H32),"OK","Pendente: dimensões")))))))</x:f>
      </x:c>
      <x:c r="L32" s="5"/>
    </x:row>
    <x:row r="33" ht="23" customHeight="1">
      <x:c r="A33" s="6"/>
      <x:c r="B33" s="12"/>
      <x:c r="C33" s="5"/>
      <x:c r="D33" s="5"/>
      <x:c r="E33" s="5"/>
      <x:c r="F33" s="13"/>
      <x:c r="G33" s="13"/>
      <x:c r="H33" s="13"/>
      <x:c r="I33" s="13"/>
      <x:c r="J33" s="14" t="str">
        <x:f>IF(K33="OK",F33*G33*H33-N(I33),"")</x:f>
      </x:c>
      <x:c r="K33" s="2" t="str">
        <x:f>IF(COUNTA(A33:I33,L33)=0,"",IF(OR('Auto mensal'!$B$5="",'Auto mensal'!$D$5="",'Auto mensal'!$D$5&lt;'Auto mensal'!$B$5),"Pendente: período",IF(OR(A33="",NOT(ISNUMBER(A33))),"Pendente: data",IF(OR(A33&lt;'Auto mensal'!$B$5,A33&gt;'Auto mensal'!$D$5),"Fora do período",IF(OR(B33="",C33="",D33="",E33=""),"Pendente: identificação",IF(COUNTIFS('Auto mensal'!$A$13:$A$42,B33,'Auto mensal'!$C$13:$C$42,"Cofragem")&lt;&gt;1,"Pendente: artigo / material",IF(AND(ISNUMBER(F33),F33&gt;0,F33=INT(F33),ISNUMBER(G33),G33&gt;0,ISNUMBER(H33),H33&gt;0,OR(I33="",AND(ISNUMBER(I33),I33&gt;=0)),N(I33)&lt;=F33*G33*H33),"OK","Pendente: dimensões")))))))</x:f>
      </x:c>
      <x:c r="L33" s="5"/>
    </x:row>
    <x:row r="34" ht="23" customHeight="1">
      <x:c r="A34" s="6"/>
      <x:c r="B34" s="12"/>
      <x:c r="C34" s="5"/>
      <x:c r="D34" s="5"/>
      <x:c r="E34" s="5"/>
      <x:c r="F34" s="13"/>
      <x:c r="G34" s="13"/>
      <x:c r="H34" s="13"/>
      <x:c r="I34" s="13"/>
      <x:c r="J34" s="14" t="str">
        <x:f>IF(K34="OK",F34*G34*H34-N(I34),"")</x:f>
      </x:c>
      <x:c r="K34" s="2" t="str">
        <x:f>IF(COUNTA(A34:I34,L34)=0,"",IF(OR('Auto mensal'!$B$5="",'Auto mensal'!$D$5="",'Auto mensal'!$D$5&lt;'Auto mensal'!$B$5),"Pendente: período",IF(OR(A34="",NOT(ISNUMBER(A34))),"Pendente: data",IF(OR(A34&lt;'Auto mensal'!$B$5,A34&gt;'Auto mensal'!$D$5),"Fora do período",IF(OR(B34="",C34="",D34="",E34=""),"Pendente: identificação",IF(COUNTIFS('Auto mensal'!$A$13:$A$42,B34,'Auto mensal'!$C$13:$C$42,"Cofragem")&lt;&gt;1,"Pendente: artigo / material",IF(AND(ISNUMBER(F34),F34&gt;0,F34=INT(F34),ISNUMBER(G34),G34&gt;0,ISNUMBER(H34),H34&gt;0,OR(I34="",AND(ISNUMBER(I34),I34&gt;=0)),N(I34)&lt;=F34*G34*H34),"OK","Pendente: dimensões")))))))</x:f>
      </x:c>
      <x:c r="L34" s="5"/>
    </x:row>
    <x:row r="35" ht="23" customHeight="1">
      <x:c r="A35" s="6"/>
      <x:c r="B35" s="12"/>
      <x:c r="C35" s="5"/>
      <x:c r="D35" s="5"/>
      <x:c r="E35" s="5"/>
      <x:c r="F35" s="13"/>
      <x:c r="G35" s="13"/>
      <x:c r="H35" s="13"/>
      <x:c r="I35" s="13"/>
      <x:c r="J35" s="14" t="str">
        <x:f>IF(K35="OK",F35*G35*H35-N(I35),"")</x:f>
      </x:c>
      <x:c r="K35" s="2" t="str">
        <x:f>IF(COUNTA(A35:I35,L35)=0,"",IF(OR('Auto mensal'!$B$5="",'Auto mensal'!$D$5="",'Auto mensal'!$D$5&lt;'Auto mensal'!$B$5),"Pendente: período",IF(OR(A35="",NOT(ISNUMBER(A35))),"Pendente: data",IF(OR(A35&lt;'Auto mensal'!$B$5,A35&gt;'Auto mensal'!$D$5),"Fora do período",IF(OR(B35="",C35="",D35="",E35=""),"Pendente: identificação",IF(COUNTIFS('Auto mensal'!$A$13:$A$42,B35,'Auto mensal'!$C$13:$C$42,"Cofragem")&lt;&gt;1,"Pendente: artigo / material",IF(AND(ISNUMBER(F35),F35&gt;0,F35=INT(F35),ISNUMBER(G35),G35&gt;0,ISNUMBER(H35),H35&gt;0,OR(I35="",AND(ISNUMBER(I35),I35&gt;=0)),N(I35)&lt;=F35*G35*H35),"OK","Pendente: dimensões")))))))</x:f>
      </x:c>
      <x:c r="L35" s="5"/>
    </x:row>
    <x:row r="36" ht="23" customHeight="1">
      <x:c r="A36" s="6"/>
      <x:c r="B36" s="12"/>
      <x:c r="C36" s="5"/>
      <x:c r="D36" s="5"/>
      <x:c r="E36" s="5"/>
      <x:c r="F36" s="13"/>
      <x:c r="G36" s="13"/>
      <x:c r="H36" s="13"/>
      <x:c r="I36" s="13"/>
      <x:c r="J36" s="14" t="str">
        <x:f>IF(K36="OK",F36*G36*H36-N(I36),"")</x:f>
      </x:c>
      <x:c r="K36" s="2" t="str">
        <x:f>IF(COUNTA(A36:I36,L36)=0,"",IF(OR('Auto mensal'!$B$5="",'Auto mensal'!$D$5="",'Auto mensal'!$D$5&lt;'Auto mensal'!$B$5),"Pendente: período",IF(OR(A36="",NOT(ISNUMBER(A36))),"Pendente: data",IF(OR(A36&lt;'Auto mensal'!$B$5,A36&gt;'Auto mensal'!$D$5),"Fora do período",IF(OR(B36="",C36="",D36="",E36=""),"Pendente: identificação",IF(COUNTIFS('Auto mensal'!$A$13:$A$42,B36,'Auto mensal'!$C$13:$C$42,"Cofragem")&lt;&gt;1,"Pendente: artigo / material",IF(AND(ISNUMBER(F36),F36&gt;0,F36=INT(F36),ISNUMBER(G36),G36&gt;0,ISNUMBER(H36),H36&gt;0,OR(I36="",AND(ISNUMBER(I36),I36&gt;=0)),N(I36)&lt;=F36*G36*H36),"OK","Pendente: dimensões")))))))</x:f>
      </x:c>
      <x:c r="L36" s="5"/>
    </x:row>
    <x:row r="37" ht="23" customHeight="1">
      <x:c r="A37" s="6"/>
      <x:c r="B37" s="12"/>
      <x:c r="C37" s="5"/>
      <x:c r="D37" s="5"/>
      <x:c r="E37" s="5"/>
      <x:c r="F37" s="13"/>
      <x:c r="G37" s="13"/>
      <x:c r="H37" s="13"/>
      <x:c r="I37" s="13"/>
      <x:c r="J37" s="14" t="str">
        <x:f>IF(K37="OK",F37*G37*H37-N(I37),"")</x:f>
      </x:c>
      <x:c r="K37" s="2" t="str">
        <x:f>IF(COUNTA(A37:I37,L37)=0,"",IF(OR('Auto mensal'!$B$5="",'Auto mensal'!$D$5="",'Auto mensal'!$D$5&lt;'Auto mensal'!$B$5),"Pendente: período",IF(OR(A37="",NOT(ISNUMBER(A37))),"Pendente: data",IF(OR(A37&lt;'Auto mensal'!$B$5,A37&gt;'Auto mensal'!$D$5),"Fora do período",IF(OR(B37="",C37="",D37="",E37=""),"Pendente: identificação",IF(COUNTIFS('Auto mensal'!$A$13:$A$42,B37,'Auto mensal'!$C$13:$C$42,"Cofragem")&lt;&gt;1,"Pendente: artigo / material",IF(AND(ISNUMBER(F37),F37&gt;0,F37=INT(F37),ISNUMBER(G37),G37&gt;0,ISNUMBER(H37),H37&gt;0,OR(I37="",AND(ISNUMBER(I37),I37&gt;=0)),N(I37)&lt;=F37*G37*H37),"OK","Pendente: dimensões")))))))</x:f>
      </x:c>
      <x:c r="L37" s="5"/>
    </x:row>
    <x:row r="38" ht="23" customHeight="1">
      <x:c r="A38" s="6"/>
      <x:c r="B38" s="12"/>
      <x:c r="C38" s="5"/>
      <x:c r="D38" s="5"/>
      <x:c r="E38" s="5"/>
      <x:c r="F38" s="13"/>
      <x:c r="G38" s="13"/>
      <x:c r="H38" s="13"/>
      <x:c r="I38" s="13"/>
      <x:c r="J38" s="14" t="str">
        <x:f>IF(K38="OK",F38*G38*H38-N(I38),"")</x:f>
      </x:c>
      <x:c r="K38" s="2" t="str">
        <x:f>IF(COUNTA(A38:I38,L38)=0,"",IF(OR('Auto mensal'!$B$5="",'Auto mensal'!$D$5="",'Auto mensal'!$D$5&lt;'Auto mensal'!$B$5),"Pendente: período",IF(OR(A38="",NOT(ISNUMBER(A38))),"Pendente: data",IF(OR(A38&lt;'Auto mensal'!$B$5,A38&gt;'Auto mensal'!$D$5),"Fora do período",IF(OR(B38="",C38="",D38="",E38=""),"Pendente: identificação",IF(COUNTIFS('Auto mensal'!$A$13:$A$42,B38,'Auto mensal'!$C$13:$C$42,"Cofragem")&lt;&gt;1,"Pendente: artigo / material",IF(AND(ISNUMBER(F38),F38&gt;0,F38=INT(F38),ISNUMBER(G38),G38&gt;0,ISNUMBER(H38),H38&gt;0,OR(I38="",AND(ISNUMBER(I38),I38&gt;=0)),N(I38)&lt;=F38*G38*H38),"OK","Pendente: dimensões")))))))</x:f>
      </x:c>
      <x:c r="L38" s="5"/>
    </x:row>
    <x:row r="39" ht="23" customHeight="1">
      <x:c r="A39" s="6"/>
      <x:c r="B39" s="12"/>
      <x:c r="C39" s="5"/>
      <x:c r="D39" s="5"/>
      <x:c r="E39" s="5"/>
      <x:c r="F39" s="13"/>
      <x:c r="G39" s="13"/>
      <x:c r="H39" s="13"/>
      <x:c r="I39" s="13"/>
      <x:c r="J39" s="14" t="str">
        <x:f>IF(K39="OK",F39*G39*H39-N(I39),"")</x:f>
      </x:c>
      <x:c r="K39" s="2" t="str">
        <x:f>IF(COUNTA(A39:I39,L39)=0,"",IF(OR('Auto mensal'!$B$5="",'Auto mensal'!$D$5="",'Auto mensal'!$D$5&lt;'Auto mensal'!$B$5),"Pendente: período",IF(OR(A39="",NOT(ISNUMBER(A39))),"Pendente: data",IF(OR(A39&lt;'Auto mensal'!$B$5,A39&gt;'Auto mensal'!$D$5),"Fora do período",IF(OR(B39="",C39="",D39="",E39=""),"Pendente: identificação",IF(COUNTIFS('Auto mensal'!$A$13:$A$42,B39,'Auto mensal'!$C$13:$C$42,"Cofragem")&lt;&gt;1,"Pendente: artigo / material",IF(AND(ISNUMBER(F39),F39&gt;0,F39=INT(F39),ISNUMBER(G39),G39&gt;0,ISNUMBER(H39),H39&gt;0,OR(I39="",AND(ISNUMBER(I39),I39&gt;=0)),N(I39)&lt;=F39*G39*H39),"OK","Pendente: dimensões")))))))</x:f>
      </x:c>
      <x:c r="L39" s="5"/>
    </x:row>
    <x:row r="40" ht="23" customHeight="1">
      <x:c r="A40" s="6"/>
      <x:c r="B40" s="12"/>
      <x:c r="C40" s="5"/>
      <x:c r="D40" s="5"/>
      <x:c r="E40" s="5"/>
      <x:c r="F40" s="13"/>
      <x:c r="G40" s="13"/>
      <x:c r="H40" s="13"/>
      <x:c r="I40" s="13"/>
      <x:c r="J40" s="14" t="str">
        <x:f>IF(K40="OK",F40*G40*H40-N(I40),"")</x:f>
      </x:c>
      <x:c r="K40" s="2" t="str">
        <x:f>IF(COUNTA(A40:I40,L40)=0,"",IF(OR('Auto mensal'!$B$5="",'Auto mensal'!$D$5="",'Auto mensal'!$D$5&lt;'Auto mensal'!$B$5),"Pendente: período",IF(OR(A40="",NOT(ISNUMBER(A40))),"Pendente: data",IF(OR(A40&lt;'Auto mensal'!$B$5,A40&gt;'Auto mensal'!$D$5),"Fora do período",IF(OR(B40="",C40="",D40="",E40=""),"Pendente: identificação",IF(COUNTIFS('Auto mensal'!$A$13:$A$42,B40,'Auto mensal'!$C$13:$C$42,"Cofragem")&lt;&gt;1,"Pendente: artigo / material",IF(AND(ISNUMBER(F40),F40&gt;0,F40=INT(F40),ISNUMBER(G40),G40&gt;0,ISNUMBER(H40),H40&gt;0,OR(I40="",AND(ISNUMBER(I40),I40&gt;=0)),N(I40)&lt;=F40*G40*H40),"OK","Pendente: dimensões")))))))</x:f>
      </x:c>
      <x:c r="L40" s="5"/>
    </x:row>
    <x:row r="41" ht="23" customHeight="1">
      <x:c r="A41" s="6"/>
      <x:c r="B41" s="12"/>
      <x:c r="C41" s="5"/>
      <x:c r="D41" s="5"/>
      <x:c r="E41" s="5"/>
      <x:c r="F41" s="13"/>
      <x:c r="G41" s="13"/>
      <x:c r="H41" s="13"/>
      <x:c r="I41" s="13"/>
      <x:c r="J41" s="14" t="str">
        <x:f>IF(K41="OK",F41*G41*H41-N(I41),"")</x:f>
      </x:c>
      <x:c r="K41" s="2" t="str">
        <x:f>IF(COUNTA(A41:I41,L41)=0,"",IF(OR('Auto mensal'!$B$5="",'Auto mensal'!$D$5="",'Auto mensal'!$D$5&lt;'Auto mensal'!$B$5),"Pendente: período",IF(OR(A41="",NOT(ISNUMBER(A41))),"Pendente: data",IF(OR(A41&lt;'Auto mensal'!$B$5,A41&gt;'Auto mensal'!$D$5),"Fora do período",IF(OR(B41="",C41="",D41="",E41=""),"Pendente: identificação",IF(COUNTIFS('Auto mensal'!$A$13:$A$42,B41,'Auto mensal'!$C$13:$C$42,"Cofragem")&lt;&gt;1,"Pendente: artigo / material",IF(AND(ISNUMBER(F41),F41&gt;0,F41=INT(F41),ISNUMBER(G41),G41&gt;0,ISNUMBER(H41),H41&gt;0,OR(I41="",AND(ISNUMBER(I41),I41&gt;=0)),N(I41)&lt;=F41*G41*H41),"OK","Pendente: dimensões")))))))</x:f>
      </x:c>
      <x:c r="L41" s="5"/>
    </x:row>
    <x:row r="42" ht="23" customHeight="1">
      <x:c r="A42" s="6"/>
      <x:c r="B42" s="12"/>
      <x:c r="C42" s="5"/>
      <x:c r="D42" s="5"/>
      <x:c r="E42" s="5"/>
      <x:c r="F42" s="13"/>
      <x:c r="G42" s="13"/>
      <x:c r="H42" s="13"/>
      <x:c r="I42" s="13"/>
      <x:c r="J42" s="14" t="str">
        <x:f>IF(K42="OK",F42*G42*H42-N(I42),"")</x:f>
      </x:c>
      <x:c r="K42" s="2" t="str">
        <x:f>IF(COUNTA(A42:I42,L42)=0,"",IF(OR('Auto mensal'!$B$5="",'Auto mensal'!$D$5="",'Auto mensal'!$D$5&lt;'Auto mensal'!$B$5),"Pendente: período",IF(OR(A42="",NOT(ISNUMBER(A42))),"Pendente: data",IF(OR(A42&lt;'Auto mensal'!$B$5,A42&gt;'Auto mensal'!$D$5),"Fora do período",IF(OR(B42="",C42="",D42="",E42=""),"Pendente: identificação",IF(COUNTIFS('Auto mensal'!$A$13:$A$42,B42,'Auto mensal'!$C$13:$C$42,"Cofragem")&lt;&gt;1,"Pendente: artigo / material",IF(AND(ISNUMBER(F42),F42&gt;0,F42=INT(F42),ISNUMBER(G42),G42&gt;0,ISNUMBER(H42),H42&gt;0,OR(I42="",AND(ISNUMBER(I42),I42&gt;=0)),N(I42)&lt;=F42*G42*H42),"OK","Pendente: dimensões")))))))</x:f>
      </x:c>
      <x:c r="L42" s="5"/>
    </x:row>
    <x:row r="43" ht="23" customHeight="1">
      <x:c r="A43" s="6"/>
      <x:c r="B43" s="12"/>
      <x:c r="C43" s="5"/>
      <x:c r="D43" s="5"/>
      <x:c r="E43" s="5"/>
      <x:c r="F43" s="13"/>
      <x:c r="G43" s="13"/>
      <x:c r="H43" s="13"/>
      <x:c r="I43" s="13"/>
      <x:c r="J43" s="14" t="str">
        <x:f>IF(K43="OK",F43*G43*H43-N(I43),"")</x:f>
      </x:c>
      <x:c r="K43" s="2" t="str">
        <x:f>IF(COUNTA(A43:I43,L43)=0,"",IF(OR('Auto mensal'!$B$5="",'Auto mensal'!$D$5="",'Auto mensal'!$D$5&lt;'Auto mensal'!$B$5),"Pendente: período",IF(OR(A43="",NOT(ISNUMBER(A43))),"Pendente: data",IF(OR(A43&lt;'Auto mensal'!$B$5,A43&gt;'Auto mensal'!$D$5),"Fora do período",IF(OR(B43="",C43="",D43="",E43=""),"Pendente: identificação",IF(COUNTIFS('Auto mensal'!$A$13:$A$42,B43,'Auto mensal'!$C$13:$C$42,"Cofragem")&lt;&gt;1,"Pendente: artigo / material",IF(AND(ISNUMBER(F43),F43&gt;0,F43=INT(F43),ISNUMBER(G43),G43&gt;0,ISNUMBER(H43),H43&gt;0,OR(I43="",AND(ISNUMBER(I43),I43&gt;=0)),N(I43)&lt;=F43*G43*H43),"OK","Pendente: dimensões")))))))</x:f>
      </x:c>
      <x:c r="L43" s="5"/>
    </x:row>
    <x:row r="44" ht="23" customHeight="1">
      <x:c r="A44" s="6"/>
      <x:c r="B44" s="12"/>
      <x:c r="C44" s="5"/>
      <x:c r="D44" s="5"/>
      <x:c r="E44" s="5"/>
      <x:c r="F44" s="13"/>
      <x:c r="G44" s="13"/>
      <x:c r="H44" s="13"/>
      <x:c r="I44" s="13"/>
      <x:c r="J44" s="14" t="str">
        <x:f>IF(K44="OK",F44*G44*H44-N(I44),"")</x:f>
      </x:c>
      <x:c r="K44" s="2" t="str">
        <x:f>IF(COUNTA(A44:I44,L44)=0,"",IF(OR('Auto mensal'!$B$5="",'Auto mensal'!$D$5="",'Auto mensal'!$D$5&lt;'Auto mensal'!$B$5),"Pendente: período",IF(OR(A44="",NOT(ISNUMBER(A44))),"Pendente: data",IF(OR(A44&lt;'Auto mensal'!$B$5,A44&gt;'Auto mensal'!$D$5),"Fora do período",IF(OR(B44="",C44="",D44="",E44=""),"Pendente: identificação",IF(COUNTIFS('Auto mensal'!$A$13:$A$42,B44,'Auto mensal'!$C$13:$C$42,"Cofragem")&lt;&gt;1,"Pendente: artigo / material",IF(AND(ISNUMBER(F44),F44&gt;0,F44=INT(F44),ISNUMBER(G44),G44&gt;0,ISNUMBER(H44),H44&gt;0,OR(I44="",AND(ISNUMBER(I44),I44&gt;=0)),N(I44)&lt;=F44*G44*H44),"OK","Pendente: dimensões")))))))</x:f>
      </x:c>
      <x:c r="L44" s="5"/>
    </x:row>
    <x:row r="45" ht="23" customHeight="1">
      <x:c r="A45" s="6"/>
      <x:c r="B45" s="12"/>
      <x:c r="C45" s="5"/>
      <x:c r="D45" s="5"/>
      <x:c r="E45" s="5"/>
      <x:c r="F45" s="13"/>
      <x:c r="G45" s="13"/>
      <x:c r="H45" s="13"/>
      <x:c r="I45" s="13"/>
      <x:c r="J45" s="14" t="str">
        <x:f>IF(K45="OK",F45*G45*H45-N(I45),"")</x:f>
      </x:c>
      <x:c r="K45" s="2" t="str">
        <x:f>IF(COUNTA(A45:I45,L45)=0,"",IF(OR('Auto mensal'!$B$5="",'Auto mensal'!$D$5="",'Auto mensal'!$D$5&lt;'Auto mensal'!$B$5),"Pendente: período",IF(OR(A45="",NOT(ISNUMBER(A45))),"Pendente: data",IF(OR(A45&lt;'Auto mensal'!$B$5,A45&gt;'Auto mensal'!$D$5),"Fora do período",IF(OR(B45="",C45="",D45="",E45=""),"Pendente: identificação",IF(COUNTIFS('Auto mensal'!$A$13:$A$42,B45,'Auto mensal'!$C$13:$C$42,"Cofragem")&lt;&gt;1,"Pendente: artigo / material",IF(AND(ISNUMBER(F45),F45&gt;0,F45=INT(F45),ISNUMBER(G45),G45&gt;0,ISNUMBER(H45),H45&gt;0,OR(I45="",AND(ISNUMBER(I45),I45&gt;=0)),N(I45)&lt;=F45*G45*H45),"OK","Pendente: dimensões")))))))</x:f>
      </x:c>
      <x:c r="L45" s="5"/>
    </x:row>
    <x:row r="46" ht="23" customHeight="1">
      <x:c r="A46" s="6"/>
      <x:c r="B46" s="12"/>
      <x:c r="C46" s="5"/>
      <x:c r="D46" s="5"/>
      <x:c r="E46" s="5"/>
      <x:c r="F46" s="13"/>
      <x:c r="G46" s="13"/>
      <x:c r="H46" s="13"/>
      <x:c r="I46" s="13"/>
      <x:c r="J46" s="14" t="str">
        <x:f>IF(K46="OK",F46*G46*H46-N(I46),"")</x:f>
      </x:c>
      <x:c r="K46" s="2" t="str">
        <x:f>IF(COUNTA(A46:I46,L46)=0,"",IF(OR('Auto mensal'!$B$5="",'Auto mensal'!$D$5="",'Auto mensal'!$D$5&lt;'Auto mensal'!$B$5),"Pendente: período",IF(OR(A46="",NOT(ISNUMBER(A46))),"Pendente: data",IF(OR(A46&lt;'Auto mensal'!$B$5,A46&gt;'Auto mensal'!$D$5),"Fora do período",IF(OR(B46="",C46="",D46="",E46=""),"Pendente: identificação",IF(COUNTIFS('Auto mensal'!$A$13:$A$42,B46,'Auto mensal'!$C$13:$C$42,"Cofragem")&lt;&gt;1,"Pendente: artigo / material",IF(AND(ISNUMBER(F46),F46&gt;0,F46=INT(F46),ISNUMBER(G46),G46&gt;0,ISNUMBER(H46),H46&gt;0,OR(I46="",AND(ISNUMBER(I46),I46&gt;=0)),N(I46)&lt;=F46*G46*H46),"OK","Pendente: dimensões")))))))</x:f>
      </x:c>
      <x:c r="L46" s="5"/>
    </x:row>
    <x:row r="47" ht="23" customHeight="1">
      <x:c r="A47" s="6"/>
      <x:c r="B47" s="12"/>
      <x:c r="C47" s="5"/>
      <x:c r="D47" s="5"/>
      <x:c r="E47" s="5"/>
      <x:c r="F47" s="13"/>
      <x:c r="G47" s="13"/>
      <x:c r="H47" s="13"/>
      <x:c r="I47" s="13"/>
      <x:c r="J47" s="14" t="str">
        <x:f>IF(K47="OK",F47*G47*H47-N(I47),"")</x:f>
      </x:c>
      <x:c r="K47" s="2" t="str">
        <x:f>IF(COUNTA(A47:I47,L47)=0,"",IF(OR('Auto mensal'!$B$5="",'Auto mensal'!$D$5="",'Auto mensal'!$D$5&lt;'Auto mensal'!$B$5),"Pendente: período",IF(OR(A47="",NOT(ISNUMBER(A47))),"Pendente: data",IF(OR(A47&lt;'Auto mensal'!$B$5,A47&gt;'Auto mensal'!$D$5),"Fora do período",IF(OR(B47="",C47="",D47="",E47=""),"Pendente: identificação",IF(COUNTIFS('Auto mensal'!$A$13:$A$42,B47,'Auto mensal'!$C$13:$C$42,"Cofragem")&lt;&gt;1,"Pendente: artigo / material",IF(AND(ISNUMBER(F47),F47&gt;0,F47=INT(F47),ISNUMBER(G47),G47&gt;0,ISNUMBER(H47),H47&gt;0,OR(I47="",AND(ISNUMBER(I47),I47&gt;=0)),N(I47)&lt;=F47*G47*H47),"OK","Pendente: dimensões")))))))</x:f>
      </x:c>
      <x:c r="L47" s="5"/>
    </x:row>
    <x:row r="48" ht="23" customHeight="1">
      <x:c r="A48" s="6"/>
      <x:c r="B48" s="12"/>
      <x:c r="C48" s="5"/>
      <x:c r="D48" s="5"/>
      <x:c r="E48" s="5"/>
      <x:c r="F48" s="13"/>
      <x:c r="G48" s="13"/>
      <x:c r="H48" s="13"/>
      <x:c r="I48" s="13"/>
      <x:c r="J48" s="14" t="str">
        <x:f>IF(K48="OK",F48*G48*H48-N(I48),"")</x:f>
      </x:c>
      <x:c r="K48" s="2" t="str">
        <x:f>IF(COUNTA(A48:I48,L48)=0,"",IF(OR('Auto mensal'!$B$5="",'Auto mensal'!$D$5="",'Auto mensal'!$D$5&lt;'Auto mensal'!$B$5),"Pendente: período",IF(OR(A48="",NOT(ISNUMBER(A48))),"Pendente: data",IF(OR(A48&lt;'Auto mensal'!$B$5,A48&gt;'Auto mensal'!$D$5),"Fora do período",IF(OR(B48="",C48="",D48="",E48=""),"Pendente: identificação",IF(COUNTIFS('Auto mensal'!$A$13:$A$42,B48,'Auto mensal'!$C$13:$C$42,"Cofragem")&lt;&gt;1,"Pendente: artigo / material",IF(AND(ISNUMBER(F48),F48&gt;0,F48=INT(F48),ISNUMBER(G48),G48&gt;0,ISNUMBER(H48),H48&gt;0,OR(I48="",AND(ISNUMBER(I48),I48&gt;=0)),N(I48)&lt;=F48*G48*H48),"OK","Pendente: dimensões")))))))</x:f>
      </x:c>
      <x:c r="L48" s="5"/>
    </x:row>
    <x:row r="49" ht="23" customHeight="1">
      <x:c r="A49" s="6"/>
      <x:c r="B49" s="12"/>
      <x:c r="C49" s="5"/>
      <x:c r="D49" s="5"/>
      <x:c r="E49" s="5"/>
      <x:c r="F49" s="13"/>
      <x:c r="G49" s="13"/>
      <x:c r="H49" s="13"/>
      <x:c r="I49" s="13"/>
      <x:c r="J49" s="14" t="str">
        <x:f>IF(K49="OK",F49*G49*H49-N(I49),"")</x:f>
      </x:c>
      <x:c r="K49" s="2" t="str">
        <x:f>IF(COUNTA(A49:I49,L49)=0,"",IF(OR('Auto mensal'!$B$5="",'Auto mensal'!$D$5="",'Auto mensal'!$D$5&lt;'Auto mensal'!$B$5),"Pendente: período",IF(OR(A49="",NOT(ISNUMBER(A49))),"Pendente: data",IF(OR(A49&lt;'Auto mensal'!$B$5,A49&gt;'Auto mensal'!$D$5),"Fora do período",IF(OR(B49="",C49="",D49="",E49=""),"Pendente: identificação",IF(COUNTIFS('Auto mensal'!$A$13:$A$42,B49,'Auto mensal'!$C$13:$C$42,"Cofragem")&lt;&gt;1,"Pendente: artigo / material",IF(AND(ISNUMBER(F49),F49&gt;0,F49=INT(F49),ISNUMBER(G49),G49&gt;0,ISNUMBER(H49),H49&gt;0,OR(I49="",AND(ISNUMBER(I49),I49&gt;=0)),N(I49)&lt;=F49*G49*H49),"OK","Pendente: dimensões")))))))</x:f>
      </x:c>
      <x:c r="L49" s="5"/>
    </x:row>
    <x:row r="50" ht="23" customHeight="1">
      <x:c r="A50" s="6"/>
      <x:c r="B50" s="12"/>
      <x:c r="C50" s="5"/>
      <x:c r="D50" s="5"/>
      <x:c r="E50" s="5"/>
      <x:c r="F50" s="13"/>
      <x:c r="G50" s="13"/>
      <x:c r="H50" s="13"/>
      <x:c r="I50" s="13"/>
      <x:c r="J50" s="14" t="str">
        <x:f>IF(K50="OK",F50*G50*H50-N(I50),"")</x:f>
      </x:c>
      <x:c r="K50" s="2" t="str">
        <x:f>IF(COUNTA(A50:I50,L50)=0,"",IF(OR('Auto mensal'!$B$5="",'Auto mensal'!$D$5="",'Auto mensal'!$D$5&lt;'Auto mensal'!$B$5),"Pendente: período",IF(OR(A50="",NOT(ISNUMBER(A50))),"Pendente: data",IF(OR(A50&lt;'Auto mensal'!$B$5,A50&gt;'Auto mensal'!$D$5),"Fora do período",IF(OR(B50="",C50="",D50="",E50=""),"Pendente: identificação",IF(COUNTIFS('Auto mensal'!$A$13:$A$42,B50,'Auto mensal'!$C$13:$C$42,"Cofragem")&lt;&gt;1,"Pendente: artigo / material",IF(AND(ISNUMBER(F50),F50&gt;0,F50=INT(F50),ISNUMBER(G50),G50&gt;0,ISNUMBER(H50),H50&gt;0,OR(I50="",AND(ISNUMBER(I50),I50&gt;=0)),N(I50)&lt;=F50*G50*H50),"OK","Pendente: dimensões")))))))</x:f>
      </x:c>
      <x:c r="L50" s="5"/>
    </x:row>
    <x:row r="51" ht="23" customHeight="1">
      <x:c r="A51" s="6"/>
      <x:c r="B51" s="12"/>
      <x:c r="C51" s="5"/>
      <x:c r="D51" s="5"/>
      <x:c r="E51" s="5"/>
      <x:c r="F51" s="13"/>
      <x:c r="G51" s="13"/>
      <x:c r="H51" s="13"/>
      <x:c r="I51" s="13"/>
      <x:c r="J51" s="14" t="str">
        <x:f>IF(K51="OK",F51*G51*H51-N(I51),"")</x:f>
      </x:c>
      <x:c r="K51" s="2" t="str">
        <x:f>IF(COUNTA(A51:I51,L51)=0,"",IF(OR('Auto mensal'!$B$5="",'Auto mensal'!$D$5="",'Auto mensal'!$D$5&lt;'Auto mensal'!$B$5),"Pendente: período",IF(OR(A51="",NOT(ISNUMBER(A51))),"Pendente: data",IF(OR(A51&lt;'Auto mensal'!$B$5,A51&gt;'Auto mensal'!$D$5),"Fora do período",IF(OR(B51="",C51="",D51="",E51=""),"Pendente: identificação",IF(COUNTIFS('Auto mensal'!$A$13:$A$42,B51,'Auto mensal'!$C$13:$C$42,"Cofragem")&lt;&gt;1,"Pendente: artigo / material",IF(AND(ISNUMBER(F51),F51&gt;0,F51=INT(F51),ISNUMBER(G51),G51&gt;0,ISNUMBER(H51),H51&gt;0,OR(I51="",AND(ISNUMBER(I51),I51&gt;=0)),N(I51)&lt;=F51*G51*H51),"OK","Pendente: dimensões")))))))</x:f>
      </x:c>
      <x:c r="L51" s="5"/>
    </x:row>
    <x:row r="52" ht="23" customHeight="1">
      <x:c r="A52" s="6"/>
      <x:c r="B52" s="12"/>
      <x:c r="C52" s="5"/>
      <x:c r="D52" s="5"/>
      <x:c r="E52" s="5"/>
      <x:c r="F52" s="13"/>
      <x:c r="G52" s="13"/>
      <x:c r="H52" s="13"/>
      <x:c r="I52" s="13"/>
      <x:c r="J52" s="14" t="str">
        <x:f>IF(K52="OK",F52*G52*H52-N(I52),"")</x:f>
      </x:c>
      <x:c r="K52" s="2" t="str">
        <x:f>IF(COUNTA(A52:I52,L52)=0,"",IF(OR('Auto mensal'!$B$5="",'Auto mensal'!$D$5="",'Auto mensal'!$D$5&lt;'Auto mensal'!$B$5),"Pendente: período",IF(OR(A52="",NOT(ISNUMBER(A52))),"Pendente: data",IF(OR(A52&lt;'Auto mensal'!$B$5,A52&gt;'Auto mensal'!$D$5),"Fora do período",IF(OR(B52="",C52="",D52="",E52=""),"Pendente: identificação",IF(COUNTIFS('Auto mensal'!$A$13:$A$42,B52,'Auto mensal'!$C$13:$C$42,"Cofragem")&lt;&gt;1,"Pendente: artigo / material",IF(AND(ISNUMBER(F52),F52&gt;0,F52=INT(F52),ISNUMBER(G52),G52&gt;0,ISNUMBER(H52),H52&gt;0,OR(I52="",AND(ISNUMBER(I52),I52&gt;=0)),N(I52)&lt;=F52*G52*H52),"OK","Pendente: dimensões")))))))</x:f>
      </x:c>
      <x:c r="L52" s="5"/>
    </x:row>
    <x:row r="53" ht="23" customHeight="1">
      <x:c r="A53" s="6"/>
      <x:c r="B53" s="12"/>
      <x:c r="C53" s="5"/>
      <x:c r="D53" s="5"/>
      <x:c r="E53" s="5"/>
      <x:c r="F53" s="13"/>
      <x:c r="G53" s="13"/>
      <x:c r="H53" s="13"/>
      <x:c r="I53" s="13"/>
      <x:c r="J53" s="14" t="str">
        <x:f>IF(K53="OK",F53*G53*H53-N(I53),"")</x:f>
      </x:c>
      <x:c r="K53" s="2" t="str">
        <x:f>IF(COUNTA(A53:I53,L53)=0,"",IF(OR('Auto mensal'!$B$5="",'Auto mensal'!$D$5="",'Auto mensal'!$D$5&lt;'Auto mensal'!$B$5),"Pendente: período",IF(OR(A53="",NOT(ISNUMBER(A53))),"Pendente: data",IF(OR(A53&lt;'Auto mensal'!$B$5,A53&gt;'Auto mensal'!$D$5),"Fora do período",IF(OR(B53="",C53="",D53="",E53=""),"Pendente: identificação",IF(COUNTIFS('Auto mensal'!$A$13:$A$42,B53,'Auto mensal'!$C$13:$C$42,"Cofragem")&lt;&gt;1,"Pendente: artigo / material",IF(AND(ISNUMBER(F53),F53&gt;0,F53=INT(F53),ISNUMBER(G53),G53&gt;0,ISNUMBER(H53),H53&gt;0,OR(I53="",AND(ISNUMBER(I53),I53&gt;=0)),N(I53)&lt;=F53*G53*H53),"OK","Pendente: dimensões")))))))</x:f>
      </x:c>
      <x:c r="L53" s="5"/>
    </x:row>
    <x:row r="54" ht="23" customHeight="1">
      <x:c r="A54" s="6"/>
      <x:c r="B54" s="12"/>
      <x:c r="C54" s="5"/>
      <x:c r="D54" s="5"/>
      <x:c r="E54" s="5"/>
      <x:c r="F54" s="13"/>
      <x:c r="G54" s="13"/>
      <x:c r="H54" s="13"/>
      <x:c r="I54" s="13"/>
      <x:c r="J54" s="14" t="str">
        <x:f>IF(K54="OK",F54*G54*H54-N(I54),"")</x:f>
      </x:c>
      <x:c r="K54" s="2" t="str">
        <x:f>IF(COUNTA(A54:I54,L54)=0,"",IF(OR('Auto mensal'!$B$5="",'Auto mensal'!$D$5="",'Auto mensal'!$D$5&lt;'Auto mensal'!$B$5),"Pendente: período",IF(OR(A54="",NOT(ISNUMBER(A54))),"Pendente: data",IF(OR(A54&lt;'Auto mensal'!$B$5,A54&gt;'Auto mensal'!$D$5),"Fora do período",IF(OR(B54="",C54="",D54="",E54=""),"Pendente: identificação",IF(COUNTIFS('Auto mensal'!$A$13:$A$42,B54,'Auto mensal'!$C$13:$C$42,"Cofragem")&lt;&gt;1,"Pendente: artigo / material",IF(AND(ISNUMBER(F54),F54&gt;0,F54=INT(F54),ISNUMBER(G54),G54&gt;0,ISNUMBER(H54),H54&gt;0,OR(I54="",AND(ISNUMBER(I54),I54&gt;=0)),N(I54)&lt;=F54*G54*H54),"OK","Pendente: dimensões")))))))</x:f>
      </x:c>
      <x:c r="L54" s="5"/>
    </x:row>
    <x:row r="55" ht="23" customHeight="1">
      <x:c r="A55" s="6"/>
      <x:c r="B55" s="12"/>
      <x:c r="C55" s="5"/>
      <x:c r="D55" s="5"/>
      <x:c r="E55" s="5"/>
      <x:c r="F55" s="13"/>
      <x:c r="G55" s="13"/>
      <x:c r="H55" s="13"/>
      <x:c r="I55" s="13"/>
      <x:c r="J55" s="14" t="str">
        <x:f>IF(K55="OK",F55*G55*H55-N(I55),"")</x:f>
      </x:c>
      <x:c r="K55" s="2" t="str">
        <x:f>IF(COUNTA(A55:I55,L55)=0,"",IF(OR('Auto mensal'!$B$5="",'Auto mensal'!$D$5="",'Auto mensal'!$D$5&lt;'Auto mensal'!$B$5),"Pendente: período",IF(OR(A55="",NOT(ISNUMBER(A55))),"Pendente: data",IF(OR(A55&lt;'Auto mensal'!$B$5,A55&gt;'Auto mensal'!$D$5),"Fora do período",IF(OR(B55="",C55="",D55="",E55=""),"Pendente: identificação",IF(COUNTIFS('Auto mensal'!$A$13:$A$42,B55,'Auto mensal'!$C$13:$C$42,"Cofragem")&lt;&gt;1,"Pendente: artigo / material",IF(AND(ISNUMBER(F55),F55&gt;0,F55=INT(F55),ISNUMBER(G55),G55&gt;0,ISNUMBER(H55),H55&gt;0,OR(I55="",AND(ISNUMBER(I55),I55&gt;=0)),N(I55)&lt;=F55*G55*H55),"OK","Pendente: dimensões")))))))</x:f>
      </x:c>
      <x:c r="L55" s="5"/>
    </x:row>
    <x:row r="56" ht="23" customHeight="1">
      <x:c r="A56" s="6"/>
      <x:c r="B56" s="12"/>
      <x:c r="C56" s="5"/>
      <x:c r="D56" s="5"/>
      <x:c r="E56" s="5"/>
      <x:c r="F56" s="13"/>
      <x:c r="G56" s="13"/>
      <x:c r="H56" s="13"/>
      <x:c r="I56" s="13"/>
      <x:c r="J56" s="14" t="str">
        <x:f>IF(K56="OK",F56*G56*H56-N(I56),"")</x:f>
      </x:c>
      <x:c r="K56" s="2" t="str">
        <x:f>IF(COUNTA(A56:I56,L56)=0,"",IF(OR('Auto mensal'!$B$5="",'Auto mensal'!$D$5="",'Auto mensal'!$D$5&lt;'Auto mensal'!$B$5),"Pendente: período",IF(OR(A56="",NOT(ISNUMBER(A56))),"Pendente: data",IF(OR(A56&lt;'Auto mensal'!$B$5,A56&gt;'Auto mensal'!$D$5),"Fora do período",IF(OR(B56="",C56="",D56="",E56=""),"Pendente: identificação",IF(COUNTIFS('Auto mensal'!$A$13:$A$42,B56,'Auto mensal'!$C$13:$C$42,"Cofragem")&lt;&gt;1,"Pendente: artigo / material",IF(AND(ISNUMBER(F56),F56&gt;0,F56=INT(F56),ISNUMBER(G56),G56&gt;0,ISNUMBER(H56),H56&gt;0,OR(I56="",AND(ISNUMBER(I56),I56&gt;=0)),N(I56)&lt;=F56*G56*H56),"OK","Pendente: dimensões")))))))</x:f>
      </x:c>
      <x:c r="L56" s="5"/>
    </x:row>
    <x:row r="57" ht="23" customHeight="1">
      <x:c r="A57" s="6"/>
      <x:c r="B57" s="12"/>
      <x:c r="C57" s="5"/>
      <x:c r="D57" s="5"/>
      <x:c r="E57" s="5"/>
      <x:c r="F57" s="13"/>
      <x:c r="G57" s="13"/>
      <x:c r="H57" s="13"/>
      <x:c r="I57" s="13"/>
      <x:c r="J57" s="14" t="str">
        <x:f>IF(K57="OK",F57*G57*H57-N(I57),"")</x:f>
      </x:c>
      <x:c r="K57" s="2" t="str">
        <x:f>IF(COUNTA(A57:I57,L57)=0,"",IF(OR('Auto mensal'!$B$5="",'Auto mensal'!$D$5="",'Auto mensal'!$D$5&lt;'Auto mensal'!$B$5),"Pendente: período",IF(OR(A57="",NOT(ISNUMBER(A57))),"Pendente: data",IF(OR(A57&lt;'Auto mensal'!$B$5,A57&gt;'Auto mensal'!$D$5),"Fora do período",IF(OR(B57="",C57="",D57="",E57=""),"Pendente: identificação",IF(COUNTIFS('Auto mensal'!$A$13:$A$42,B57,'Auto mensal'!$C$13:$C$42,"Cofragem")&lt;&gt;1,"Pendente: artigo / material",IF(AND(ISNUMBER(F57),F57&gt;0,F57=INT(F57),ISNUMBER(G57),G57&gt;0,ISNUMBER(H57),H57&gt;0,OR(I57="",AND(ISNUMBER(I57),I57&gt;=0)),N(I57)&lt;=F57*G57*H57),"OK","Pendente: dimensões")))))))</x:f>
      </x:c>
      <x:c r="L57" s="5"/>
    </x:row>
    <x:row r="58" ht="23" customHeight="1">
      <x:c r="A58" s="6"/>
      <x:c r="B58" s="12"/>
      <x:c r="C58" s="5"/>
      <x:c r="D58" s="5"/>
      <x:c r="E58" s="5"/>
      <x:c r="F58" s="13"/>
      <x:c r="G58" s="13"/>
      <x:c r="H58" s="13"/>
      <x:c r="I58" s="13"/>
      <x:c r="J58" s="14" t="str">
        <x:f>IF(K58="OK",F58*G58*H58-N(I58),"")</x:f>
      </x:c>
      <x:c r="K58" s="2" t="str">
        <x:f>IF(COUNTA(A58:I58,L58)=0,"",IF(OR('Auto mensal'!$B$5="",'Auto mensal'!$D$5="",'Auto mensal'!$D$5&lt;'Auto mensal'!$B$5),"Pendente: período",IF(OR(A58="",NOT(ISNUMBER(A58))),"Pendente: data",IF(OR(A58&lt;'Auto mensal'!$B$5,A58&gt;'Auto mensal'!$D$5),"Fora do período",IF(OR(B58="",C58="",D58="",E58=""),"Pendente: identificação",IF(COUNTIFS('Auto mensal'!$A$13:$A$42,B58,'Auto mensal'!$C$13:$C$42,"Cofragem")&lt;&gt;1,"Pendente: artigo / material",IF(AND(ISNUMBER(F58),F58&gt;0,F58=INT(F58),ISNUMBER(G58),G58&gt;0,ISNUMBER(H58),H58&gt;0,OR(I58="",AND(ISNUMBER(I58),I58&gt;=0)),N(I58)&lt;=F58*G58*H58),"OK","Pendente: dimensões")))))))</x:f>
      </x:c>
      <x:c r="L58" s="5"/>
    </x:row>
    <x:row r="59" ht="23" customHeight="1">
      <x:c r="A59" s="6"/>
      <x:c r="B59" s="12"/>
      <x:c r="C59" s="5"/>
      <x:c r="D59" s="5"/>
      <x:c r="E59" s="5"/>
      <x:c r="F59" s="13"/>
      <x:c r="G59" s="13"/>
      <x:c r="H59" s="13"/>
      <x:c r="I59" s="13"/>
      <x:c r="J59" s="14" t="str">
        <x:f>IF(K59="OK",F59*G59*H59-N(I59),"")</x:f>
      </x:c>
      <x:c r="K59" s="2" t="str">
        <x:f>IF(COUNTA(A59:I59,L59)=0,"",IF(OR('Auto mensal'!$B$5="",'Auto mensal'!$D$5="",'Auto mensal'!$D$5&lt;'Auto mensal'!$B$5),"Pendente: período",IF(OR(A59="",NOT(ISNUMBER(A59))),"Pendente: data",IF(OR(A59&lt;'Auto mensal'!$B$5,A59&gt;'Auto mensal'!$D$5),"Fora do período",IF(OR(B59="",C59="",D59="",E59=""),"Pendente: identificação",IF(COUNTIFS('Auto mensal'!$A$13:$A$42,B59,'Auto mensal'!$C$13:$C$42,"Cofragem")&lt;&gt;1,"Pendente: artigo / material",IF(AND(ISNUMBER(F59),F59&gt;0,F59=INT(F59),ISNUMBER(G59),G59&gt;0,ISNUMBER(H59),H59&gt;0,OR(I59="",AND(ISNUMBER(I59),I59&gt;=0)),N(I59)&lt;=F59*G59*H59),"OK","Pendente: dimensões")))))))</x:f>
      </x:c>
      <x:c r="L59" s="5"/>
    </x:row>
    <x:row r="60" ht="23" customHeight="1">
      <x:c r="A60" s="6"/>
      <x:c r="B60" s="12"/>
      <x:c r="C60" s="5"/>
      <x:c r="D60" s="5"/>
      <x:c r="E60" s="5"/>
      <x:c r="F60" s="13"/>
      <x:c r="G60" s="13"/>
      <x:c r="H60" s="13"/>
      <x:c r="I60" s="13"/>
      <x:c r="J60" s="14" t="str">
        <x:f>IF(K60="OK",F60*G60*H60-N(I60),"")</x:f>
      </x:c>
      <x:c r="K60" s="2" t="str">
        <x:f>IF(COUNTA(A60:I60,L60)=0,"",IF(OR('Auto mensal'!$B$5="",'Auto mensal'!$D$5="",'Auto mensal'!$D$5&lt;'Auto mensal'!$B$5),"Pendente: período",IF(OR(A60="",NOT(ISNUMBER(A60))),"Pendente: data",IF(OR(A60&lt;'Auto mensal'!$B$5,A60&gt;'Auto mensal'!$D$5),"Fora do período",IF(OR(B60="",C60="",D60="",E60=""),"Pendente: identificação",IF(COUNTIFS('Auto mensal'!$A$13:$A$42,B60,'Auto mensal'!$C$13:$C$42,"Cofragem")&lt;&gt;1,"Pendente: artigo / material",IF(AND(ISNUMBER(F60),F60&gt;0,F60=INT(F60),ISNUMBER(G60),G60&gt;0,ISNUMBER(H60),H60&gt;0,OR(I60="",AND(ISNUMBER(I60),I60&gt;=0)),N(I60)&lt;=F60*G60*H60),"OK","Pendente: dimensões")))))))</x:f>
      </x:c>
      <x:c r="L60" s="5"/>
    </x:row>
    <x:row r="61" ht="23" customHeight="1">
      <x:c r="A61" s="6"/>
      <x:c r="B61" s="12"/>
      <x:c r="C61" s="5"/>
      <x:c r="D61" s="5"/>
      <x:c r="E61" s="5"/>
      <x:c r="F61" s="13"/>
      <x:c r="G61" s="13"/>
      <x:c r="H61" s="13"/>
      <x:c r="I61" s="13"/>
      <x:c r="J61" s="14" t="str">
        <x:f>IF(K61="OK",F61*G61*H61-N(I61),"")</x:f>
      </x:c>
      <x:c r="K61" s="2" t="str">
        <x:f>IF(COUNTA(A61:I61,L61)=0,"",IF(OR('Auto mensal'!$B$5="",'Auto mensal'!$D$5="",'Auto mensal'!$D$5&lt;'Auto mensal'!$B$5),"Pendente: período",IF(OR(A61="",NOT(ISNUMBER(A61))),"Pendente: data",IF(OR(A61&lt;'Auto mensal'!$B$5,A61&gt;'Auto mensal'!$D$5),"Fora do período",IF(OR(B61="",C61="",D61="",E61=""),"Pendente: identificação",IF(COUNTIFS('Auto mensal'!$A$13:$A$42,B61,'Auto mensal'!$C$13:$C$42,"Cofragem")&lt;&gt;1,"Pendente: artigo / material",IF(AND(ISNUMBER(F61),F61&gt;0,F61=INT(F61),ISNUMBER(G61),G61&gt;0,ISNUMBER(H61),H61&gt;0,OR(I61="",AND(ISNUMBER(I61),I61&gt;=0)),N(I61)&lt;=F61*G61*H61),"OK","Pendente: dimensões")))))))</x:f>
      </x:c>
      <x:c r="L61" s="5"/>
    </x:row>
    <x:row r="62" ht="23" customHeight="1">
      <x:c r="A62" s="6"/>
      <x:c r="B62" s="12"/>
      <x:c r="C62" s="5"/>
      <x:c r="D62" s="5"/>
      <x:c r="E62" s="5"/>
      <x:c r="F62" s="13"/>
      <x:c r="G62" s="13"/>
      <x:c r="H62" s="13"/>
      <x:c r="I62" s="13"/>
      <x:c r="J62" s="14" t="str">
        <x:f>IF(K62="OK",F62*G62*H62-N(I62),"")</x:f>
      </x:c>
      <x:c r="K62" s="2" t="str">
        <x:f>IF(COUNTA(A62:I62,L62)=0,"",IF(OR('Auto mensal'!$B$5="",'Auto mensal'!$D$5="",'Auto mensal'!$D$5&lt;'Auto mensal'!$B$5),"Pendente: período",IF(OR(A62="",NOT(ISNUMBER(A62))),"Pendente: data",IF(OR(A62&lt;'Auto mensal'!$B$5,A62&gt;'Auto mensal'!$D$5),"Fora do período",IF(OR(B62="",C62="",D62="",E62=""),"Pendente: identificação",IF(COUNTIFS('Auto mensal'!$A$13:$A$42,B62,'Auto mensal'!$C$13:$C$42,"Cofragem")&lt;&gt;1,"Pendente: artigo / material",IF(AND(ISNUMBER(F62),F62&gt;0,F62=INT(F62),ISNUMBER(G62),G62&gt;0,ISNUMBER(H62),H62&gt;0,OR(I62="",AND(ISNUMBER(I62),I62&gt;=0)),N(I62)&lt;=F62*G62*H62),"OK","Pendente: dimensões")))))))</x:f>
      </x:c>
      <x:c r="L62" s="5"/>
    </x:row>
    <x:row r="63" ht="23" customHeight="1">
      <x:c r="A63" s="6"/>
      <x:c r="B63" s="12"/>
      <x:c r="C63" s="5"/>
      <x:c r="D63" s="5"/>
      <x:c r="E63" s="5"/>
      <x:c r="F63" s="13"/>
      <x:c r="G63" s="13"/>
      <x:c r="H63" s="13"/>
      <x:c r="I63" s="13"/>
      <x:c r="J63" s="14" t="str">
        <x:f>IF(K63="OK",F63*G63*H63-N(I63),"")</x:f>
      </x:c>
      <x:c r="K63" s="2" t="str">
        <x:f>IF(COUNTA(A63:I63,L63)=0,"",IF(OR('Auto mensal'!$B$5="",'Auto mensal'!$D$5="",'Auto mensal'!$D$5&lt;'Auto mensal'!$B$5),"Pendente: período",IF(OR(A63="",NOT(ISNUMBER(A63))),"Pendente: data",IF(OR(A63&lt;'Auto mensal'!$B$5,A63&gt;'Auto mensal'!$D$5),"Fora do período",IF(OR(B63="",C63="",D63="",E63=""),"Pendente: identificação",IF(COUNTIFS('Auto mensal'!$A$13:$A$42,B63,'Auto mensal'!$C$13:$C$42,"Cofragem")&lt;&gt;1,"Pendente: artigo / material",IF(AND(ISNUMBER(F63),F63&gt;0,F63=INT(F63),ISNUMBER(G63),G63&gt;0,ISNUMBER(H63),H63&gt;0,OR(I63="",AND(ISNUMBER(I63),I63&gt;=0)),N(I63)&lt;=F63*G63*H63),"OK","Pendente: dimensões")))))))</x:f>
      </x:c>
      <x:c r="L63" s="5"/>
    </x:row>
    <x:row r="64" ht="23" customHeight="1">
      <x:c r="A64" s="6"/>
      <x:c r="B64" s="12"/>
      <x:c r="C64" s="5"/>
      <x:c r="D64" s="5"/>
      <x:c r="E64" s="5"/>
      <x:c r="F64" s="13"/>
      <x:c r="G64" s="13"/>
      <x:c r="H64" s="13"/>
      <x:c r="I64" s="13"/>
      <x:c r="J64" s="14" t="str">
        <x:f>IF(K64="OK",F64*G64*H64-N(I64),"")</x:f>
      </x:c>
      <x:c r="K64" s="2" t="str">
        <x:f>IF(COUNTA(A64:I64,L64)=0,"",IF(OR('Auto mensal'!$B$5="",'Auto mensal'!$D$5="",'Auto mensal'!$D$5&lt;'Auto mensal'!$B$5),"Pendente: período",IF(OR(A64="",NOT(ISNUMBER(A64))),"Pendente: data",IF(OR(A64&lt;'Auto mensal'!$B$5,A64&gt;'Auto mensal'!$D$5),"Fora do período",IF(OR(B64="",C64="",D64="",E64=""),"Pendente: identificação",IF(COUNTIFS('Auto mensal'!$A$13:$A$42,B64,'Auto mensal'!$C$13:$C$42,"Cofragem")&lt;&gt;1,"Pendente: artigo / material",IF(AND(ISNUMBER(F64),F64&gt;0,F64=INT(F64),ISNUMBER(G64),G64&gt;0,ISNUMBER(H64),H64&gt;0,OR(I64="",AND(ISNUMBER(I64),I64&gt;=0)),N(I64)&lt;=F64*G64*H64),"OK","Pendente: dimensões")))))))</x:f>
      </x:c>
      <x:c r="L64" s="5"/>
    </x:row>
    <x:row r="65" ht="23" customHeight="1">
      <x:c r="A65" s="6"/>
      <x:c r="B65" s="12"/>
      <x:c r="C65" s="5"/>
      <x:c r="D65" s="5"/>
      <x:c r="E65" s="5"/>
      <x:c r="F65" s="13"/>
      <x:c r="G65" s="13"/>
      <x:c r="H65" s="13"/>
      <x:c r="I65" s="13"/>
      <x:c r="J65" s="14" t="str">
        <x:f>IF(K65="OK",F65*G65*H65-N(I65),"")</x:f>
      </x:c>
      <x:c r="K65" s="2" t="str">
        <x:f>IF(COUNTA(A65:I65,L65)=0,"",IF(OR('Auto mensal'!$B$5="",'Auto mensal'!$D$5="",'Auto mensal'!$D$5&lt;'Auto mensal'!$B$5),"Pendente: período",IF(OR(A65="",NOT(ISNUMBER(A65))),"Pendente: data",IF(OR(A65&lt;'Auto mensal'!$B$5,A65&gt;'Auto mensal'!$D$5),"Fora do período",IF(OR(B65="",C65="",D65="",E65=""),"Pendente: identificação",IF(COUNTIFS('Auto mensal'!$A$13:$A$42,B65,'Auto mensal'!$C$13:$C$42,"Cofragem")&lt;&gt;1,"Pendente: artigo / material",IF(AND(ISNUMBER(F65),F65&gt;0,F65=INT(F65),ISNUMBER(G65),G65&gt;0,ISNUMBER(H65),H65&gt;0,OR(I65="",AND(ISNUMBER(I65),I65&gt;=0)),N(I65)&lt;=F65*G65*H65),"OK","Pendente: dimensões")))))))</x:f>
      </x:c>
      <x:c r="L65" s="5"/>
    </x:row>
    <x:row r="66" ht="23" customHeight="1">
      <x:c r="A66" s="6"/>
      <x:c r="B66" s="12"/>
      <x:c r="C66" s="5"/>
      <x:c r="D66" s="5"/>
      <x:c r="E66" s="5"/>
      <x:c r="F66" s="13"/>
      <x:c r="G66" s="13"/>
      <x:c r="H66" s="13"/>
      <x:c r="I66" s="13"/>
      <x:c r="J66" s="14" t="str">
        <x:f>IF(K66="OK",F66*G66*H66-N(I66),"")</x:f>
      </x:c>
      <x:c r="K66" s="2" t="str">
        <x:f>IF(COUNTA(A66:I66,L66)=0,"",IF(OR('Auto mensal'!$B$5="",'Auto mensal'!$D$5="",'Auto mensal'!$D$5&lt;'Auto mensal'!$B$5),"Pendente: período",IF(OR(A66="",NOT(ISNUMBER(A66))),"Pendente: data",IF(OR(A66&lt;'Auto mensal'!$B$5,A66&gt;'Auto mensal'!$D$5),"Fora do período",IF(OR(B66="",C66="",D66="",E66=""),"Pendente: identificação",IF(COUNTIFS('Auto mensal'!$A$13:$A$42,B66,'Auto mensal'!$C$13:$C$42,"Cofragem")&lt;&gt;1,"Pendente: artigo / material",IF(AND(ISNUMBER(F66),F66&gt;0,F66=INT(F66),ISNUMBER(G66),G66&gt;0,ISNUMBER(H66),H66&gt;0,OR(I66="",AND(ISNUMBER(I66),I66&gt;=0)),N(I66)&lt;=F66*G66*H66),"OK","Pendente: dimensões")))))))</x:f>
      </x:c>
      <x:c r="L66" s="5"/>
    </x:row>
    <x:row r="67" ht="23" customHeight="1">
      <x:c r="A67" s="6"/>
      <x:c r="B67" s="12"/>
      <x:c r="C67" s="5"/>
      <x:c r="D67" s="5"/>
      <x:c r="E67" s="5"/>
      <x:c r="F67" s="13"/>
      <x:c r="G67" s="13"/>
      <x:c r="H67" s="13"/>
      <x:c r="I67" s="13"/>
      <x:c r="J67" s="14" t="str">
        <x:f>IF(K67="OK",F67*G67*H67-N(I67),"")</x:f>
      </x:c>
      <x:c r="K67" s="2" t="str">
        <x:f>IF(COUNTA(A67:I67,L67)=0,"",IF(OR('Auto mensal'!$B$5="",'Auto mensal'!$D$5="",'Auto mensal'!$D$5&lt;'Auto mensal'!$B$5),"Pendente: período",IF(OR(A67="",NOT(ISNUMBER(A67))),"Pendente: data",IF(OR(A67&lt;'Auto mensal'!$B$5,A67&gt;'Auto mensal'!$D$5),"Fora do período",IF(OR(B67="",C67="",D67="",E67=""),"Pendente: identificação",IF(COUNTIFS('Auto mensal'!$A$13:$A$42,B67,'Auto mensal'!$C$13:$C$42,"Cofragem")&lt;&gt;1,"Pendente: artigo / material",IF(AND(ISNUMBER(F67),F67&gt;0,F67=INT(F67),ISNUMBER(G67),G67&gt;0,ISNUMBER(H67),H67&gt;0,OR(I67="",AND(ISNUMBER(I67),I67&gt;=0)),N(I67)&lt;=F67*G67*H67),"OK","Pendente: dimensões")))))))</x:f>
      </x:c>
      <x:c r="L67" s="5"/>
    </x:row>
    <x:row r="68" ht="23" customHeight="1">
      <x:c r="A68" s="6"/>
      <x:c r="B68" s="12"/>
      <x:c r="C68" s="5"/>
      <x:c r="D68" s="5"/>
      <x:c r="E68" s="5"/>
      <x:c r="F68" s="13"/>
      <x:c r="G68" s="13"/>
      <x:c r="H68" s="13"/>
      <x:c r="I68" s="13"/>
      <x:c r="J68" s="14" t="str">
        <x:f>IF(K68="OK",F68*G68*H68-N(I68),"")</x:f>
      </x:c>
      <x:c r="K68" s="2" t="str">
        <x:f>IF(COUNTA(A68:I68,L68)=0,"",IF(OR('Auto mensal'!$B$5="",'Auto mensal'!$D$5="",'Auto mensal'!$D$5&lt;'Auto mensal'!$B$5),"Pendente: período",IF(OR(A68="",NOT(ISNUMBER(A68))),"Pendente: data",IF(OR(A68&lt;'Auto mensal'!$B$5,A68&gt;'Auto mensal'!$D$5),"Fora do período",IF(OR(B68="",C68="",D68="",E68=""),"Pendente: identificação",IF(COUNTIFS('Auto mensal'!$A$13:$A$42,B68,'Auto mensal'!$C$13:$C$42,"Cofragem")&lt;&gt;1,"Pendente: artigo / material",IF(AND(ISNUMBER(F68),F68&gt;0,F68=INT(F68),ISNUMBER(G68),G68&gt;0,ISNUMBER(H68),H68&gt;0,OR(I68="",AND(ISNUMBER(I68),I68&gt;=0)),N(I68)&lt;=F68*G68*H68),"OK","Pendente: dimensões")))))))</x:f>
      </x:c>
      <x:c r="L68" s="5"/>
    </x:row>
    <x:row r="69" ht="23" customHeight="1">
      <x:c r="A69" s="6"/>
      <x:c r="B69" s="12"/>
      <x:c r="C69" s="5"/>
      <x:c r="D69" s="5"/>
      <x:c r="E69" s="5"/>
      <x:c r="F69" s="13"/>
      <x:c r="G69" s="13"/>
      <x:c r="H69" s="13"/>
      <x:c r="I69" s="13"/>
      <x:c r="J69" s="14" t="str">
        <x:f>IF(K69="OK",F69*G69*H69-N(I69),"")</x:f>
      </x:c>
      <x:c r="K69" s="2" t="str">
        <x:f>IF(COUNTA(A69:I69,L69)=0,"",IF(OR('Auto mensal'!$B$5="",'Auto mensal'!$D$5="",'Auto mensal'!$D$5&lt;'Auto mensal'!$B$5),"Pendente: período",IF(OR(A69="",NOT(ISNUMBER(A69))),"Pendente: data",IF(OR(A69&lt;'Auto mensal'!$B$5,A69&gt;'Auto mensal'!$D$5),"Fora do período",IF(OR(B69="",C69="",D69="",E69=""),"Pendente: identificação",IF(COUNTIFS('Auto mensal'!$A$13:$A$42,B69,'Auto mensal'!$C$13:$C$42,"Cofragem")&lt;&gt;1,"Pendente: artigo / material",IF(AND(ISNUMBER(F69),F69&gt;0,F69=INT(F69),ISNUMBER(G69),G69&gt;0,ISNUMBER(H69),H69&gt;0,OR(I69="",AND(ISNUMBER(I69),I69&gt;=0)),N(I69)&lt;=F69*G69*H69),"OK","Pendente: dimensões")))))))</x:f>
      </x:c>
      <x:c r="L69" s="5"/>
    </x:row>
    <x:row r="70" ht="23" customHeight="1">
      <x:c r="A70" s="6"/>
      <x:c r="B70" s="12"/>
      <x:c r="C70" s="5"/>
      <x:c r="D70" s="5"/>
      <x:c r="E70" s="5"/>
      <x:c r="F70" s="13"/>
      <x:c r="G70" s="13"/>
      <x:c r="H70" s="13"/>
      <x:c r="I70" s="13"/>
      <x:c r="J70" s="14" t="str">
        <x:f>IF(K70="OK",F70*G70*H70-N(I70),"")</x:f>
      </x:c>
      <x:c r="K70" s="2" t="str">
        <x:f>IF(COUNTA(A70:I70,L70)=0,"",IF(OR('Auto mensal'!$B$5="",'Auto mensal'!$D$5="",'Auto mensal'!$D$5&lt;'Auto mensal'!$B$5),"Pendente: período",IF(OR(A70="",NOT(ISNUMBER(A70))),"Pendente: data",IF(OR(A70&lt;'Auto mensal'!$B$5,A70&gt;'Auto mensal'!$D$5),"Fora do período",IF(OR(B70="",C70="",D70="",E70=""),"Pendente: identificação",IF(COUNTIFS('Auto mensal'!$A$13:$A$42,B70,'Auto mensal'!$C$13:$C$42,"Cofragem")&lt;&gt;1,"Pendente: artigo / material",IF(AND(ISNUMBER(F70),F70&gt;0,F70=INT(F70),ISNUMBER(G70),G70&gt;0,ISNUMBER(H70),H70&gt;0,OR(I70="",AND(ISNUMBER(I70),I70&gt;=0)),N(I70)&lt;=F70*G70*H70),"OK","Pendente: dimensões")))))))</x:f>
      </x:c>
      <x:c r="L70" s="5"/>
    </x:row>
    <x:row r="71" ht="23" customHeight="1">
      <x:c r="A71" s="6"/>
      <x:c r="B71" s="12"/>
      <x:c r="C71" s="5"/>
      <x:c r="D71" s="5"/>
      <x:c r="E71" s="5"/>
      <x:c r="F71" s="13"/>
      <x:c r="G71" s="13"/>
      <x:c r="H71" s="13"/>
      <x:c r="I71" s="13"/>
      <x:c r="J71" s="14" t="str">
        <x:f>IF(K71="OK",F71*G71*H71-N(I71),"")</x:f>
      </x:c>
      <x:c r="K71" s="2" t="str">
        <x:f>IF(COUNTA(A71:I71,L71)=0,"",IF(OR('Auto mensal'!$B$5="",'Auto mensal'!$D$5="",'Auto mensal'!$D$5&lt;'Auto mensal'!$B$5),"Pendente: período",IF(OR(A71="",NOT(ISNUMBER(A71))),"Pendente: data",IF(OR(A71&lt;'Auto mensal'!$B$5,A71&gt;'Auto mensal'!$D$5),"Fora do período",IF(OR(B71="",C71="",D71="",E71=""),"Pendente: identificação",IF(COUNTIFS('Auto mensal'!$A$13:$A$42,B71,'Auto mensal'!$C$13:$C$42,"Cofragem")&lt;&gt;1,"Pendente: artigo / material",IF(AND(ISNUMBER(F71),F71&gt;0,F71=INT(F71),ISNUMBER(G71),G71&gt;0,ISNUMBER(H71),H71&gt;0,OR(I71="",AND(ISNUMBER(I71),I71&gt;=0)),N(I71)&lt;=F71*G71*H71),"OK","Pendente: dimensões")))))))</x:f>
      </x:c>
      <x:c r="L71" s="5"/>
    </x:row>
    <x:row r="72" ht="23" customHeight="1">
      <x:c r="A72" s="6"/>
      <x:c r="B72" s="12"/>
      <x:c r="C72" s="5"/>
      <x:c r="D72" s="5"/>
      <x:c r="E72" s="5"/>
      <x:c r="F72" s="13"/>
      <x:c r="G72" s="13"/>
      <x:c r="H72" s="13"/>
      <x:c r="I72" s="13"/>
      <x:c r="J72" s="14" t="str">
        <x:f>IF(K72="OK",F72*G72*H72-N(I72),"")</x:f>
      </x:c>
      <x:c r="K72" s="2" t="str">
        <x:f>IF(COUNTA(A72:I72,L72)=0,"",IF(OR('Auto mensal'!$B$5="",'Auto mensal'!$D$5="",'Auto mensal'!$D$5&lt;'Auto mensal'!$B$5),"Pendente: período",IF(OR(A72="",NOT(ISNUMBER(A72))),"Pendente: data",IF(OR(A72&lt;'Auto mensal'!$B$5,A72&gt;'Auto mensal'!$D$5),"Fora do período",IF(OR(B72="",C72="",D72="",E72=""),"Pendente: identificação",IF(COUNTIFS('Auto mensal'!$A$13:$A$42,B72,'Auto mensal'!$C$13:$C$42,"Cofragem")&lt;&gt;1,"Pendente: artigo / material",IF(AND(ISNUMBER(F72),F72&gt;0,F72=INT(F72),ISNUMBER(G72),G72&gt;0,ISNUMBER(H72),H72&gt;0,OR(I72="",AND(ISNUMBER(I72),I72&gt;=0)),N(I72)&lt;=F72*G72*H72),"OK","Pendente: dimensões")))))))</x:f>
      </x:c>
      <x:c r="L72" s="5"/>
    </x:row>
    <x:row r="73" ht="23" customHeight="1">
      <x:c r="A73" s="6"/>
      <x:c r="B73" s="12"/>
      <x:c r="C73" s="5"/>
      <x:c r="D73" s="5"/>
      <x:c r="E73" s="5"/>
      <x:c r="F73" s="13"/>
      <x:c r="G73" s="13"/>
      <x:c r="H73" s="13"/>
      <x:c r="I73" s="13"/>
      <x:c r="J73" s="14" t="str">
        <x:f>IF(K73="OK",F73*G73*H73-N(I73),"")</x:f>
      </x:c>
      <x:c r="K73" s="2" t="str">
        <x:f>IF(COUNTA(A73:I73,L73)=0,"",IF(OR('Auto mensal'!$B$5="",'Auto mensal'!$D$5="",'Auto mensal'!$D$5&lt;'Auto mensal'!$B$5),"Pendente: período",IF(OR(A73="",NOT(ISNUMBER(A73))),"Pendente: data",IF(OR(A73&lt;'Auto mensal'!$B$5,A73&gt;'Auto mensal'!$D$5),"Fora do período",IF(OR(B73="",C73="",D73="",E73=""),"Pendente: identificação",IF(COUNTIFS('Auto mensal'!$A$13:$A$42,B73,'Auto mensal'!$C$13:$C$42,"Cofragem")&lt;&gt;1,"Pendente: artigo / material",IF(AND(ISNUMBER(F73),F73&gt;0,F73=INT(F73),ISNUMBER(G73),G73&gt;0,ISNUMBER(H73),H73&gt;0,OR(I73="",AND(ISNUMBER(I73),I73&gt;=0)),N(I73)&lt;=F73*G73*H73),"OK","Pendente: dimensões")))))))</x:f>
      </x:c>
      <x:c r="L73" s="5"/>
    </x:row>
    <x:row r="74" ht="23" customHeight="1">
      <x:c r="A74" s="6"/>
      <x:c r="B74" s="12"/>
      <x:c r="C74" s="5"/>
      <x:c r="D74" s="5"/>
      <x:c r="E74" s="5"/>
      <x:c r="F74" s="13"/>
      <x:c r="G74" s="13"/>
      <x:c r="H74" s="13"/>
      <x:c r="I74" s="13"/>
      <x:c r="J74" s="14" t="str">
        <x:f>IF(K74="OK",F74*G74*H74-N(I74),"")</x:f>
      </x:c>
      <x:c r="K74" s="2" t="str">
        <x:f>IF(COUNTA(A74:I74,L74)=0,"",IF(OR('Auto mensal'!$B$5="",'Auto mensal'!$D$5="",'Auto mensal'!$D$5&lt;'Auto mensal'!$B$5),"Pendente: período",IF(OR(A74="",NOT(ISNUMBER(A74))),"Pendente: data",IF(OR(A74&lt;'Auto mensal'!$B$5,A74&gt;'Auto mensal'!$D$5),"Fora do período",IF(OR(B74="",C74="",D74="",E74=""),"Pendente: identificação",IF(COUNTIFS('Auto mensal'!$A$13:$A$42,B74,'Auto mensal'!$C$13:$C$42,"Cofragem")&lt;&gt;1,"Pendente: artigo / material",IF(AND(ISNUMBER(F74),F74&gt;0,F74=INT(F74),ISNUMBER(G74),G74&gt;0,ISNUMBER(H74),H74&gt;0,OR(I74="",AND(ISNUMBER(I74),I74&gt;=0)),N(I74)&lt;=F74*G74*H74),"OK","Pendente: dimensões")))))))</x:f>
      </x:c>
      <x:c r="L74" s="5"/>
    </x:row>
    <x:row r="75" ht="23" customHeight="1">
      <x:c r="A75" s="6"/>
      <x:c r="B75" s="12"/>
      <x:c r="C75" s="5"/>
      <x:c r="D75" s="5"/>
      <x:c r="E75" s="5"/>
      <x:c r="F75" s="13"/>
      <x:c r="G75" s="13"/>
      <x:c r="H75" s="13"/>
      <x:c r="I75" s="13"/>
      <x:c r="J75" s="14" t="str">
        <x:f>IF(K75="OK",F75*G75*H75-N(I75),"")</x:f>
      </x:c>
      <x:c r="K75" s="2" t="str">
        <x:f>IF(COUNTA(A75:I75,L75)=0,"",IF(OR('Auto mensal'!$B$5="",'Auto mensal'!$D$5="",'Auto mensal'!$D$5&lt;'Auto mensal'!$B$5),"Pendente: período",IF(OR(A75="",NOT(ISNUMBER(A75))),"Pendente: data",IF(OR(A75&lt;'Auto mensal'!$B$5,A75&gt;'Auto mensal'!$D$5),"Fora do período",IF(OR(B75="",C75="",D75="",E75=""),"Pendente: identificação",IF(COUNTIFS('Auto mensal'!$A$13:$A$42,B75,'Auto mensal'!$C$13:$C$42,"Cofragem")&lt;&gt;1,"Pendente: artigo / material",IF(AND(ISNUMBER(F75),F75&gt;0,F75=INT(F75),ISNUMBER(G75),G75&gt;0,ISNUMBER(H75),H75&gt;0,OR(I75="",AND(ISNUMBER(I75),I75&gt;=0)),N(I75)&lt;=F75*G75*H75),"OK","Pendente: dimensões")))))))</x:f>
      </x:c>
      <x:c r="L75" s="5"/>
    </x:row>
    <x:row r="76" ht="23" customHeight="1">
      <x:c r="A76" s="6"/>
      <x:c r="B76" s="12"/>
      <x:c r="C76" s="5"/>
      <x:c r="D76" s="5"/>
      <x:c r="E76" s="5"/>
      <x:c r="F76" s="13"/>
      <x:c r="G76" s="13"/>
      <x:c r="H76" s="13"/>
      <x:c r="I76" s="13"/>
      <x:c r="J76" s="14" t="str">
        <x:f>IF(K76="OK",F76*G76*H76-N(I76),"")</x:f>
      </x:c>
      <x:c r="K76" s="2" t="str">
        <x:f>IF(COUNTA(A76:I76,L76)=0,"",IF(OR('Auto mensal'!$B$5="",'Auto mensal'!$D$5="",'Auto mensal'!$D$5&lt;'Auto mensal'!$B$5),"Pendente: período",IF(OR(A76="",NOT(ISNUMBER(A76))),"Pendente: data",IF(OR(A76&lt;'Auto mensal'!$B$5,A76&gt;'Auto mensal'!$D$5),"Fora do período",IF(OR(B76="",C76="",D76="",E76=""),"Pendente: identificação",IF(COUNTIFS('Auto mensal'!$A$13:$A$42,B76,'Auto mensal'!$C$13:$C$42,"Cofragem")&lt;&gt;1,"Pendente: artigo / material",IF(AND(ISNUMBER(F76),F76&gt;0,F76=INT(F76),ISNUMBER(G76),G76&gt;0,ISNUMBER(H76),H76&gt;0,OR(I76="",AND(ISNUMBER(I76),I76&gt;=0)),N(I76)&lt;=F76*G76*H76),"OK","Pendente: dimensões")))))))</x:f>
      </x:c>
      <x:c r="L76" s="5"/>
    </x:row>
    <x:row r="77" ht="23" customHeight="1">
      <x:c r="A77" s="6"/>
      <x:c r="B77" s="12"/>
      <x:c r="C77" s="5"/>
      <x:c r="D77" s="5"/>
      <x:c r="E77" s="5"/>
      <x:c r="F77" s="13"/>
      <x:c r="G77" s="13"/>
      <x:c r="H77" s="13"/>
      <x:c r="I77" s="13"/>
      <x:c r="J77" s="14" t="str">
        <x:f>IF(K77="OK",F77*G77*H77-N(I77),"")</x:f>
      </x:c>
      <x:c r="K77" s="2" t="str">
        <x:f>IF(COUNTA(A77:I77,L77)=0,"",IF(OR('Auto mensal'!$B$5="",'Auto mensal'!$D$5="",'Auto mensal'!$D$5&lt;'Auto mensal'!$B$5),"Pendente: período",IF(OR(A77="",NOT(ISNUMBER(A77))),"Pendente: data",IF(OR(A77&lt;'Auto mensal'!$B$5,A77&gt;'Auto mensal'!$D$5),"Fora do período",IF(OR(B77="",C77="",D77="",E77=""),"Pendente: identificação",IF(COUNTIFS('Auto mensal'!$A$13:$A$42,B77,'Auto mensal'!$C$13:$C$42,"Cofragem")&lt;&gt;1,"Pendente: artigo / material",IF(AND(ISNUMBER(F77),F77&gt;0,F77=INT(F77),ISNUMBER(G77),G77&gt;0,ISNUMBER(H77),H77&gt;0,OR(I77="",AND(ISNUMBER(I77),I77&gt;=0)),N(I77)&lt;=F77*G77*H77),"OK","Pendente: dimensões")))))))</x:f>
      </x:c>
      <x:c r="L77" s="5"/>
    </x:row>
    <x:row r="78" ht="23" customHeight="1">
      <x:c r="A78" s="6"/>
      <x:c r="B78" s="12"/>
      <x:c r="C78" s="5"/>
      <x:c r="D78" s="5"/>
      <x:c r="E78" s="5"/>
      <x:c r="F78" s="13"/>
      <x:c r="G78" s="13"/>
      <x:c r="H78" s="13"/>
      <x:c r="I78" s="13"/>
      <x:c r="J78" s="14" t="str">
        <x:f>IF(K78="OK",F78*G78*H78-N(I78),"")</x:f>
      </x:c>
      <x:c r="K78" s="2" t="str">
        <x:f>IF(COUNTA(A78:I78,L78)=0,"",IF(OR('Auto mensal'!$B$5="",'Auto mensal'!$D$5="",'Auto mensal'!$D$5&lt;'Auto mensal'!$B$5),"Pendente: período",IF(OR(A78="",NOT(ISNUMBER(A78))),"Pendente: data",IF(OR(A78&lt;'Auto mensal'!$B$5,A78&gt;'Auto mensal'!$D$5),"Fora do período",IF(OR(B78="",C78="",D78="",E78=""),"Pendente: identificação",IF(COUNTIFS('Auto mensal'!$A$13:$A$42,B78,'Auto mensal'!$C$13:$C$42,"Cofragem")&lt;&gt;1,"Pendente: artigo / material",IF(AND(ISNUMBER(F78),F78&gt;0,F78=INT(F78),ISNUMBER(G78),G78&gt;0,ISNUMBER(H78),H78&gt;0,OR(I78="",AND(ISNUMBER(I78),I78&gt;=0)),N(I78)&lt;=F78*G78*H78),"OK","Pendente: dimensões")))))))</x:f>
      </x:c>
      <x:c r="L78" s="5"/>
    </x:row>
    <x:row r="79" ht="23" customHeight="1">
      <x:c r="A79" s="6"/>
      <x:c r="B79" s="12"/>
      <x:c r="C79" s="5"/>
      <x:c r="D79" s="5"/>
      <x:c r="E79" s="5"/>
      <x:c r="F79" s="13"/>
      <x:c r="G79" s="13"/>
      <x:c r="H79" s="13"/>
      <x:c r="I79" s="13"/>
      <x:c r="J79" s="14" t="str">
        <x:f>IF(K79="OK",F79*G79*H79-N(I79),"")</x:f>
      </x:c>
      <x:c r="K79" s="2" t="str">
        <x:f>IF(COUNTA(A79:I79,L79)=0,"",IF(OR('Auto mensal'!$B$5="",'Auto mensal'!$D$5="",'Auto mensal'!$D$5&lt;'Auto mensal'!$B$5),"Pendente: período",IF(OR(A79="",NOT(ISNUMBER(A79))),"Pendente: data",IF(OR(A79&lt;'Auto mensal'!$B$5,A79&gt;'Auto mensal'!$D$5),"Fora do período",IF(OR(B79="",C79="",D79="",E79=""),"Pendente: identificação",IF(COUNTIFS('Auto mensal'!$A$13:$A$42,B79,'Auto mensal'!$C$13:$C$42,"Cofragem")&lt;&gt;1,"Pendente: artigo / material",IF(AND(ISNUMBER(F79),F79&gt;0,F79=INT(F79),ISNUMBER(G79),G79&gt;0,ISNUMBER(H79),H79&gt;0,OR(I79="",AND(ISNUMBER(I79),I79&gt;=0)),N(I79)&lt;=F79*G79*H79),"OK","Pendente: dimensões")))))))</x:f>
      </x:c>
      <x:c r="L79" s="5"/>
    </x:row>
    <x:row r="80" ht="23" customHeight="1">
      <x:c r="A80" s="6"/>
      <x:c r="B80" s="12"/>
      <x:c r="C80" s="5"/>
      <x:c r="D80" s="5"/>
      <x:c r="E80" s="5"/>
      <x:c r="F80" s="13"/>
      <x:c r="G80" s="13"/>
      <x:c r="H80" s="13"/>
      <x:c r="I80" s="13"/>
      <x:c r="J80" s="14" t="str">
        <x:f>IF(K80="OK",F80*G80*H80-N(I80),"")</x:f>
      </x:c>
      <x:c r="K80" s="2" t="str">
        <x:f>IF(COUNTA(A80:I80,L80)=0,"",IF(OR('Auto mensal'!$B$5="",'Auto mensal'!$D$5="",'Auto mensal'!$D$5&lt;'Auto mensal'!$B$5),"Pendente: período",IF(OR(A80="",NOT(ISNUMBER(A80))),"Pendente: data",IF(OR(A80&lt;'Auto mensal'!$B$5,A80&gt;'Auto mensal'!$D$5),"Fora do período",IF(OR(B80="",C80="",D80="",E80=""),"Pendente: identificação",IF(COUNTIFS('Auto mensal'!$A$13:$A$42,B80,'Auto mensal'!$C$13:$C$42,"Cofragem")&lt;&gt;1,"Pendente: artigo / material",IF(AND(ISNUMBER(F80),F80&gt;0,F80=INT(F80),ISNUMBER(G80),G80&gt;0,ISNUMBER(H80),H80&gt;0,OR(I80="",AND(ISNUMBER(I80),I80&gt;=0)),N(I80)&lt;=F80*G80*H80),"OK","Pendente: dimensões")))))))</x:f>
      </x:c>
      <x:c r="L80" s="5"/>
    </x:row>
    <x:row r="81" ht="23" customHeight="1">
      <x:c r="A81" s="6"/>
      <x:c r="B81" s="12"/>
      <x:c r="C81" s="5"/>
      <x:c r="D81" s="5"/>
      <x:c r="E81" s="5"/>
      <x:c r="F81" s="13"/>
      <x:c r="G81" s="13"/>
      <x:c r="H81" s="13"/>
      <x:c r="I81" s="13"/>
      <x:c r="J81" s="14" t="str">
        <x:f>IF(K81="OK",F81*G81*H81-N(I81),"")</x:f>
      </x:c>
      <x:c r="K81" s="2" t="str">
        <x:f>IF(COUNTA(A81:I81,L81)=0,"",IF(OR('Auto mensal'!$B$5="",'Auto mensal'!$D$5="",'Auto mensal'!$D$5&lt;'Auto mensal'!$B$5),"Pendente: período",IF(OR(A81="",NOT(ISNUMBER(A81))),"Pendente: data",IF(OR(A81&lt;'Auto mensal'!$B$5,A81&gt;'Auto mensal'!$D$5),"Fora do período",IF(OR(B81="",C81="",D81="",E81=""),"Pendente: identificação",IF(COUNTIFS('Auto mensal'!$A$13:$A$42,B81,'Auto mensal'!$C$13:$C$42,"Cofragem")&lt;&gt;1,"Pendente: artigo / material",IF(AND(ISNUMBER(F81),F81&gt;0,F81=INT(F81),ISNUMBER(G81),G81&gt;0,ISNUMBER(H81),H81&gt;0,OR(I81="",AND(ISNUMBER(I81),I81&gt;=0)),N(I81)&lt;=F81*G81*H81),"OK","Pendente: dimensões")))))))</x:f>
      </x:c>
      <x:c r="L81" s="5"/>
    </x:row>
    <x:row r="82" ht="23" customHeight="1">
      <x:c r="A82" s="6"/>
      <x:c r="B82" s="12"/>
      <x:c r="C82" s="5"/>
      <x:c r="D82" s="5"/>
      <x:c r="E82" s="5"/>
      <x:c r="F82" s="13"/>
      <x:c r="G82" s="13"/>
      <x:c r="H82" s="13"/>
      <x:c r="I82" s="13"/>
      <x:c r="J82" s="14" t="str">
        <x:f>IF(K82="OK",F82*G82*H82-N(I82),"")</x:f>
      </x:c>
      <x:c r="K82" s="2" t="str">
        <x:f>IF(COUNTA(A82:I82,L82)=0,"",IF(OR('Auto mensal'!$B$5="",'Auto mensal'!$D$5="",'Auto mensal'!$D$5&lt;'Auto mensal'!$B$5),"Pendente: período",IF(OR(A82="",NOT(ISNUMBER(A82))),"Pendente: data",IF(OR(A82&lt;'Auto mensal'!$B$5,A82&gt;'Auto mensal'!$D$5),"Fora do período",IF(OR(B82="",C82="",D82="",E82=""),"Pendente: identificação",IF(COUNTIFS('Auto mensal'!$A$13:$A$42,B82,'Auto mensal'!$C$13:$C$42,"Cofragem")&lt;&gt;1,"Pendente: artigo / material",IF(AND(ISNUMBER(F82),F82&gt;0,F82=INT(F82),ISNUMBER(G82),G82&gt;0,ISNUMBER(H82),H82&gt;0,OR(I82="",AND(ISNUMBER(I82),I82&gt;=0)),N(I82)&lt;=F82*G82*H82),"OK","Pendente: dimensões")))))))</x:f>
      </x:c>
      <x:c r="L82" s="5"/>
    </x:row>
    <x:row r="83" ht="23" customHeight="1">
      <x:c r="A83" s="6"/>
      <x:c r="B83" s="12"/>
      <x:c r="C83" s="5"/>
      <x:c r="D83" s="5"/>
      <x:c r="E83" s="5"/>
      <x:c r="F83" s="13"/>
      <x:c r="G83" s="13"/>
      <x:c r="H83" s="13"/>
      <x:c r="I83" s="13"/>
      <x:c r="J83" s="14" t="str">
        <x:f>IF(K83="OK",F83*G83*H83-N(I83),"")</x:f>
      </x:c>
      <x:c r="K83" s="2" t="str">
        <x:f>IF(COUNTA(A83:I83,L83)=0,"",IF(OR('Auto mensal'!$B$5="",'Auto mensal'!$D$5="",'Auto mensal'!$D$5&lt;'Auto mensal'!$B$5),"Pendente: período",IF(OR(A83="",NOT(ISNUMBER(A83))),"Pendente: data",IF(OR(A83&lt;'Auto mensal'!$B$5,A83&gt;'Auto mensal'!$D$5),"Fora do período",IF(OR(B83="",C83="",D83="",E83=""),"Pendente: identificação",IF(COUNTIFS('Auto mensal'!$A$13:$A$42,B83,'Auto mensal'!$C$13:$C$42,"Cofragem")&lt;&gt;1,"Pendente: artigo / material",IF(AND(ISNUMBER(F83),F83&gt;0,F83=INT(F83),ISNUMBER(G83),G83&gt;0,ISNUMBER(H83),H83&gt;0,OR(I83="",AND(ISNUMBER(I83),I83&gt;=0)),N(I83)&lt;=F83*G83*H83),"OK","Pendente: dimensões")))))))</x:f>
      </x:c>
      <x:c r="L83" s="5"/>
    </x:row>
    <x:row r="84" ht="23" customHeight="1">
      <x:c r="A84" s="6"/>
      <x:c r="B84" s="12"/>
      <x:c r="C84" s="5"/>
      <x:c r="D84" s="5"/>
      <x:c r="E84" s="5"/>
      <x:c r="F84" s="13"/>
      <x:c r="G84" s="13"/>
      <x:c r="H84" s="13"/>
      <x:c r="I84" s="13"/>
      <x:c r="J84" s="14" t="str">
        <x:f>IF(K84="OK",F84*G84*H84-N(I84),"")</x:f>
      </x:c>
      <x:c r="K84" s="2" t="str">
        <x:f>IF(COUNTA(A84:I84,L84)=0,"",IF(OR('Auto mensal'!$B$5="",'Auto mensal'!$D$5="",'Auto mensal'!$D$5&lt;'Auto mensal'!$B$5),"Pendente: período",IF(OR(A84="",NOT(ISNUMBER(A84))),"Pendente: data",IF(OR(A84&lt;'Auto mensal'!$B$5,A84&gt;'Auto mensal'!$D$5),"Fora do período",IF(OR(B84="",C84="",D84="",E84=""),"Pendente: identificação",IF(COUNTIFS('Auto mensal'!$A$13:$A$42,B84,'Auto mensal'!$C$13:$C$42,"Cofragem")&lt;&gt;1,"Pendente: artigo / material",IF(AND(ISNUMBER(F84),F84&gt;0,F84=INT(F84),ISNUMBER(G84),G84&gt;0,ISNUMBER(H84),H84&gt;0,OR(I84="",AND(ISNUMBER(I84),I84&gt;=0)),N(I84)&lt;=F84*G84*H84),"OK","Pendente: dimensões")))))))</x:f>
      </x:c>
      <x:c r="L84" s="5"/>
    </x:row>
    <x:row r="85" ht="23" customHeight="1">
      <x:c r="A85" s="6"/>
      <x:c r="B85" s="12"/>
      <x:c r="C85" s="5"/>
      <x:c r="D85" s="5"/>
      <x:c r="E85" s="5"/>
      <x:c r="F85" s="13"/>
      <x:c r="G85" s="13"/>
      <x:c r="H85" s="13"/>
      <x:c r="I85" s="13"/>
      <x:c r="J85" s="14" t="str">
        <x:f>IF(K85="OK",F85*G85*H85-N(I85),"")</x:f>
      </x:c>
      <x:c r="K85" s="2" t="str">
        <x:f>IF(COUNTA(A85:I85,L85)=0,"",IF(OR('Auto mensal'!$B$5="",'Auto mensal'!$D$5="",'Auto mensal'!$D$5&lt;'Auto mensal'!$B$5),"Pendente: período",IF(OR(A85="",NOT(ISNUMBER(A85))),"Pendente: data",IF(OR(A85&lt;'Auto mensal'!$B$5,A85&gt;'Auto mensal'!$D$5),"Fora do período",IF(OR(B85="",C85="",D85="",E85=""),"Pendente: identificação",IF(COUNTIFS('Auto mensal'!$A$13:$A$42,B85,'Auto mensal'!$C$13:$C$42,"Cofragem")&lt;&gt;1,"Pendente: artigo / material",IF(AND(ISNUMBER(F85),F85&gt;0,F85=INT(F85),ISNUMBER(G85),G85&gt;0,ISNUMBER(H85),H85&gt;0,OR(I85="",AND(ISNUMBER(I85),I85&gt;=0)),N(I85)&lt;=F85*G85*H85),"OK","Pendente: dimensões")))))))</x:f>
      </x:c>
      <x:c r="L85" s="5"/>
    </x:row>
    <x:row r="86" ht="23" customHeight="1">
      <x:c r="A86" s="6"/>
      <x:c r="B86" s="12"/>
      <x:c r="C86" s="5"/>
      <x:c r="D86" s="5"/>
      <x:c r="E86" s="5"/>
      <x:c r="F86" s="13"/>
      <x:c r="G86" s="13"/>
      <x:c r="H86" s="13"/>
      <x:c r="I86" s="13"/>
      <x:c r="J86" s="14" t="str">
        <x:f>IF(K86="OK",F86*G86*H86-N(I86),"")</x:f>
      </x:c>
      <x:c r="K86" s="2" t="str">
        <x:f>IF(COUNTA(A86:I86,L86)=0,"",IF(OR('Auto mensal'!$B$5="",'Auto mensal'!$D$5="",'Auto mensal'!$D$5&lt;'Auto mensal'!$B$5),"Pendente: período",IF(OR(A86="",NOT(ISNUMBER(A86))),"Pendente: data",IF(OR(A86&lt;'Auto mensal'!$B$5,A86&gt;'Auto mensal'!$D$5),"Fora do período",IF(OR(B86="",C86="",D86="",E86=""),"Pendente: identificação",IF(COUNTIFS('Auto mensal'!$A$13:$A$42,B86,'Auto mensal'!$C$13:$C$42,"Cofragem")&lt;&gt;1,"Pendente: artigo / material",IF(AND(ISNUMBER(F86),F86&gt;0,F86=INT(F86),ISNUMBER(G86),G86&gt;0,ISNUMBER(H86),H86&gt;0,OR(I86="",AND(ISNUMBER(I86),I86&gt;=0)),N(I86)&lt;=F86*G86*H86),"OK","Pendente: dimensões")))))))</x:f>
      </x:c>
      <x:c r="L86" s="5"/>
    </x:row>
    <x:row r="87" ht="23" customHeight="1">
      <x:c r="A87" s="6"/>
      <x:c r="B87" s="12"/>
      <x:c r="C87" s="5"/>
      <x:c r="D87" s="5"/>
      <x:c r="E87" s="5"/>
      <x:c r="F87" s="13"/>
      <x:c r="G87" s="13"/>
      <x:c r="H87" s="13"/>
      <x:c r="I87" s="13"/>
      <x:c r="J87" s="14" t="str">
        <x:f>IF(K87="OK",F87*G87*H87-N(I87),"")</x:f>
      </x:c>
      <x:c r="K87" s="2" t="str">
        <x:f>IF(COUNTA(A87:I87,L87)=0,"",IF(OR('Auto mensal'!$B$5="",'Auto mensal'!$D$5="",'Auto mensal'!$D$5&lt;'Auto mensal'!$B$5),"Pendente: período",IF(OR(A87="",NOT(ISNUMBER(A87))),"Pendente: data",IF(OR(A87&lt;'Auto mensal'!$B$5,A87&gt;'Auto mensal'!$D$5),"Fora do período",IF(OR(B87="",C87="",D87="",E87=""),"Pendente: identificação",IF(COUNTIFS('Auto mensal'!$A$13:$A$42,B87,'Auto mensal'!$C$13:$C$42,"Cofragem")&lt;&gt;1,"Pendente: artigo / material",IF(AND(ISNUMBER(F87),F87&gt;0,F87=INT(F87),ISNUMBER(G87),G87&gt;0,ISNUMBER(H87),H87&gt;0,OR(I87="",AND(ISNUMBER(I87),I87&gt;=0)),N(I87)&lt;=F87*G87*H87),"OK","Pendente: dimensões")))))))</x:f>
      </x:c>
      <x:c r="L87" s="5"/>
    </x:row>
    <x:row r="88" ht="23" customHeight="1">
      <x:c r="A88" s="6"/>
      <x:c r="B88" s="12"/>
      <x:c r="C88" s="5"/>
      <x:c r="D88" s="5"/>
      <x:c r="E88" s="5"/>
      <x:c r="F88" s="13"/>
      <x:c r="G88" s="13"/>
      <x:c r="H88" s="13"/>
      <x:c r="I88" s="13"/>
      <x:c r="J88" s="14" t="str">
        <x:f>IF(K88="OK",F88*G88*H88-N(I88),"")</x:f>
      </x:c>
      <x:c r="K88" s="2" t="str">
        <x:f>IF(COUNTA(A88:I88,L88)=0,"",IF(OR('Auto mensal'!$B$5="",'Auto mensal'!$D$5="",'Auto mensal'!$D$5&lt;'Auto mensal'!$B$5),"Pendente: período",IF(OR(A88="",NOT(ISNUMBER(A88))),"Pendente: data",IF(OR(A88&lt;'Auto mensal'!$B$5,A88&gt;'Auto mensal'!$D$5),"Fora do período",IF(OR(B88="",C88="",D88="",E88=""),"Pendente: identificação",IF(COUNTIFS('Auto mensal'!$A$13:$A$42,B88,'Auto mensal'!$C$13:$C$42,"Cofragem")&lt;&gt;1,"Pendente: artigo / material",IF(AND(ISNUMBER(F88),F88&gt;0,F88=INT(F88),ISNUMBER(G88),G88&gt;0,ISNUMBER(H88),H88&gt;0,OR(I88="",AND(ISNUMBER(I88),I88&gt;=0)),N(I88)&lt;=F88*G88*H88),"OK","Pendente: dimensões")))))))</x:f>
      </x:c>
      <x:c r="L88" s="5"/>
    </x:row>
    <x:row r="89" ht="23" customHeight="1">
      <x:c r="A89" s="6"/>
      <x:c r="B89" s="12"/>
      <x:c r="C89" s="5"/>
      <x:c r="D89" s="5"/>
      <x:c r="E89" s="5"/>
      <x:c r="F89" s="13"/>
      <x:c r="G89" s="13"/>
      <x:c r="H89" s="13"/>
      <x:c r="I89" s="13"/>
      <x:c r="J89" s="14" t="str">
        <x:f>IF(K89="OK",F89*G89*H89-N(I89),"")</x:f>
      </x:c>
      <x:c r="K89" s="2" t="str">
        <x:f>IF(COUNTA(A89:I89,L89)=0,"",IF(OR('Auto mensal'!$B$5="",'Auto mensal'!$D$5="",'Auto mensal'!$D$5&lt;'Auto mensal'!$B$5),"Pendente: período",IF(OR(A89="",NOT(ISNUMBER(A89))),"Pendente: data",IF(OR(A89&lt;'Auto mensal'!$B$5,A89&gt;'Auto mensal'!$D$5),"Fora do período",IF(OR(B89="",C89="",D89="",E89=""),"Pendente: identificação",IF(COUNTIFS('Auto mensal'!$A$13:$A$42,B89,'Auto mensal'!$C$13:$C$42,"Cofragem")&lt;&gt;1,"Pendente: artigo / material",IF(AND(ISNUMBER(F89),F89&gt;0,F89=INT(F89),ISNUMBER(G89),G89&gt;0,ISNUMBER(H89),H89&gt;0,OR(I89="",AND(ISNUMBER(I89),I89&gt;=0)),N(I89)&lt;=F89*G89*H89),"OK","Pendente: dimensões")))))))</x:f>
      </x:c>
      <x:c r="L89" s="5"/>
    </x:row>
    <x:row r="90" ht="23" customHeight="1">
      <x:c r="A90" s="6"/>
      <x:c r="B90" s="12"/>
      <x:c r="C90" s="5"/>
      <x:c r="D90" s="5"/>
      <x:c r="E90" s="5"/>
      <x:c r="F90" s="13"/>
      <x:c r="G90" s="13"/>
      <x:c r="H90" s="13"/>
      <x:c r="I90" s="13"/>
      <x:c r="J90" s="14" t="str">
        <x:f>IF(K90="OK",F90*G90*H90-N(I90),"")</x:f>
      </x:c>
      <x:c r="K90" s="2" t="str">
        <x:f>IF(COUNTA(A90:I90,L90)=0,"",IF(OR('Auto mensal'!$B$5="",'Auto mensal'!$D$5="",'Auto mensal'!$D$5&lt;'Auto mensal'!$B$5),"Pendente: período",IF(OR(A90="",NOT(ISNUMBER(A90))),"Pendente: data",IF(OR(A90&lt;'Auto mensal'!$B$5,A90&gt;'Auto mensal'!$D$5),"Fora do período",IF(OR(B90="",C90="",D90="",E90=""),"Pendente: identificação",IF(COUNTIFS('Auto mensal'!$A$13:$A$42,B90,'Auto mensal'!$C$13:$C$42,"Cofragem")&lt;&gt;1,"Pendente: artigo / material",IF(AND(ISNUMBER(F90),F90&gt;0,F90=INT(F90),ISNUMBER(G90),G90&gt;0,ISNUMBER(H90),H90&gt;0,OR(I90="",AND(ISNUMBER(I90),I90&gt;=0)),N(I90)&lt;=F90*G90*H90),"OK","Pendente: dimensões")))))))</x:f>
      </x:c>
      <x:c r="L90" s="5"/>
    </x:row>
    <x:row r="91" ht="23" customHeight="1">
      <x:c r="A91" s="6"/>
      <x:c r="B91" s="12"/>
      <x:c r="C91" s="5"/>
      <x:c r="D91" s="5"/>
      <x:c r="E91" s="5"/>
      <x:c r="F91" s="13"/>
      <x:c r="G91" s="13"/>
      <x:c r="H91" s="13"/>
      <x:c r="I91" s="13"/>
      <x:c r="J91" s="14" t="str">
        <x:f>IF(K91="OK",F91*G91*H91-N(I91),"")</x:f>
      </x:c>
      <x:c r="K91" s="2" t="str">
        <x:f>IF(COUNTA(A91:I91,L91)=0,"",IF(OR('Auto mensal'!$B$5="",'Auto mensal'!$D$5="",'Auto mensal'!$D$5&lt;'Auto mensal'!$B$5),"Pendente: período",IF(OR(A91="",NOT(ISNUMBER(A91))),"Pendente: data",IF(OR(A91&lt;'Auto mensal'!$B$5,A91&gt;'Auto mensal'!$D$5),"Fora do período",IF(OR(B91="",C91="",D91="",E91=""),"Pendente: identificação",IF(COUNTIFS('Auto mensal'!$A$13:$A$42,B91,'Auto mensal'!$C$13:$C$42,"Cofragem")&lt;&gt;1,"Pendente: artigo / material",IF(AND(ISNUMBER(F91),F91&gt;0,F91=INT(F91),ISNUMBER(G91),G91&gt;0,ISNUMBER(H91),H91&gt;0,OR(I91="",AND(ISNUMBER(I91),I91&gt;=0)),N(I91)&lt;=F91*G91*H91),"OK","Pendente: dimensões")))))))</x:f>
      </x:c>
      <x:c r="L91" s="5"/>
    </x:row>
    <x:row r="92" ht="23" customHeight="1">
      <x:c r="A92" s="6"/>
      <x:c r="B92" s="12"/>
      <x:c r="C92" s="5"/>
      <x:c r="D92" s="5"/>
      <x:c r="E92" s="5"/>
      <x:c r="F92" s="13"/>
      <x:c r="G92" s="13"/>
      <x:c r="H92" s="13"/>
      <x:c r="I92" s="13"/>
      <x:c r="J92" s="14" t="str">
        <x:f>IF(K92="OK",F92*G92*H92-N(I92),"")</x:f>
      </x:c>
      <x:c r="K92" s="2" t="str">
        <x:f>IF(COUNTA(A92:I92,L92)=0,"",IF(OR('Auto mensal'!$B$5="",'Auto mensal'!$D$5="",'Auto mensal'!$D$5&lt;'Auto mensal'!$B$5),"Pendente: período",IF(OR(A92="",NOT(ISNUMBER(A92))),"Pendente: data",IF(OR(A92&lt;'Auto mensal'!$B$5,A92&gt;'Auto mensal'!$D$5),"Fora do período",IF(OR(B92="",C92="",D92="",E92=""),"Pendente: identificação",IF(COUNTIFS('Auto mensal'!$A$13:$A$42,B92,'Auto mensal'!$C$13:$C$42,"Cofragem")&lt;&gt;1,"Pendente: artigo / material",IF(AND(ISNUMBER(F92),F92&gt;0,F92=INT(F92),ISNUMBER(G92),G92&gt;0,ISNUMBER(H92),H92&gt;0,OR(I92="",AND(ISNUMBER(I92),I92&gt;=0)),N(I92)&lt;=F92*G92*H92),"OK","Pendente: dimensões")))))))</x:f>
      </x:c>
      <x:c r="L92" s="5"/>
    </x:row>
    <x:row r="93" ht="23" customHeight="1">
      <x:c r="A93" s="6"/>
      <x:c r="B93" s="12"/>
      <x:c r="C93" s="5"/>
      <x:c r="D93" s="5"/>
      <x:c r="E93" s="5"/>
      <x:c r="F93" s="13"/>
      <x:c r="G93" s="13"/>
      <x:c r="H93" s="13"/>
      <x:c r="I93" s="13"/>
      <x:c r="J93" s="14" t="str">
        <x:f>IF(K93="OK",F93*G93*H93-N(I93),"")</x:f>
      </x:c>
      <x:c r="K93" s="2" t="str">
        <x:f>IF(COUNTA(A93:I93,L93)=0,"",IF(OR('Auto mensal'!$B$5="",'Auto mensal'!$D$5="",'Auto mensal'!$D$5&lt;'Auto mensal'!$B$5),"Pendente: período",IF(OR(A93="",NOT(ISNUMBER(A93))),"Pendente: data",IF(OR(A93&lt;'Auto mensal'!$B$5,A93&gt;'Auto mensal'!$D$5),"Fora do período",IF(OR(B93="",C93="",D93="",E93=""),"Pendente: identificação",IF(COUNTIFS('Auto mensal'!$A$13:$A$42,B93,'Auto mensal'!$C$13:$C$42,"Cofragem")&lt;&gt;1,"Pendente: artigo / material",IF(AND(ISNUMBER(F93),F93&gt;0,F93=INT(F93),ISNUMBER(G93),G93&gt;0,ISNUMBER(H93),H93&gt;0,OR(I93="",AND(ISNUMBER(I93),I93&gt;=0)),N(I93)&lt;=F93*G93*H93),"OK","Pendente: dimensões")))))))</x:f>
      </x:c>
      <x:c r="L93" s="5"/>
    </x:row>
    <x:row r="94" ht="23" customHeight="1">
      <x:c r="A94" s="6"/>
      <x:c r="B94" s="12"/>
      <x:c r="C94" s="5"/>
      <x:c r="D94" s="5"/>
      <x:c r="E94" s="5"/>
      <x:c r="F94" s="13"/>
      <x:c r="G94" s="13"/>
      <x:c r="H94" s="13"/>
      <x:c r="I94" s="13"/>
      <x:c r="J94" s="14" t="str">
        <x:f>IF(K94="OK",F94*G94*H94-N(I94),"")</x:f>
      </x:c>
      <x:c r="K94" s="2" t="str">
        <x:f>IF(COUNTA(A94:I94,L94)=0,"",IF(OR('Auto mensal'!$B$5="",'Auto mensal'!$D$5="",'Auto mensal'!$D$5&lt;'Auto mensal'!$B$5),"Pendente: período",IF(OR(A94="",NOT(ISNUMBER(A94))),"Pendente: data",IF(OR(A94&lt;'Auto mensal'!$B$5,A94&gt;'Auto mensal'!$D$5),"Fora do período",IF(OR(B94="",C94="",D94="",E94=""),"Pendente: identificação",IF(COUNTIFS('Auto mensal'!$A$13:$A$42,B94,'Auto mensal'!$C$13:$C$42,"Cofragem")&lt;&gt;1,"Pendente: artigo / material",IF(AND(ISNUMBER(F94),F94&gt;0,F94=INT(F94),ISNUMBER(G94),G94&gt;0,ISNUMBER(H94),H94&gt;0,OR(I94="",AND(ISNUMBER(I94),I94&gt;=0)),N(I94)&lt;=F94*G94*H94),"OK","Pendente: dimensões")))))))</x:f>
      </x:c>
      <x:c r="L94" s="5"/>
    </x:row>
    <x:row r="95" ht="23" customHeight="1">
      <x:c r="A95" s="6"/>
      <x:c r="B95" s="12"/>
      <x:c r="C95" s="5"/>
      <x:c r="D95" s="5"/>
      <x:c r="E95" s="5"/>
      <x:c r="F95" s="13"/>
      <x:c r="G95" s="13"/>
      <x:c r="H95" s="13"/>
      <x:c r="I95" s="13"/>
      <x:c r="J95" s="14" t="str">
        <x:f>IF(K95="OK",F95*G95*H95-N(I95),"")</x:f>
      </x:c>
      <x:c r="K95" s="2" t="str">
        <x:f>IF(COUNTA(A95:I95,L95)=0,"",IF(OR('Auto mensal'!$B$5="",'Auto mensal'!$D$5="",'Auto mensal'!$D$5&lt;'Auto mensal'!$B$5),"Pendente: período",IF(OR(A95="",NOT(ISNUMBER(A95))),"Pendente: data",IF(OR(A95&lt;'Auto mensal'!$B$5,A95&gt;'Auto mensal'!$D$5),"Fora do período",IF(OR(B95="",C95="",D95="",E95=""),"Pendente: identificação",IF(COUNTIFS('Auto mensal'!$A$13:$A$42,B95,'Auto mensal'!$C$13:$C$42,"Cofragem")&lt;&gt;1,"Pendente: artigo / material",IF(AND(ISNUMBER(F95),F95&gt;0,F95=INT(F95),ISNUMBER(G95),G95&gt;0,ISNUMBER(H95),H95&gt;0,OR(I95="",AND(ISNUMBER(I95),I95&gt;=0)),N(I95)&lt;=F95*G95*H95),"OK","Pendente: dimensões")))))))</x:f>
      </x:c>
      <x:c r="L95" s="5"/>
    </x:row>
    <x:row r="96" ht="23" customHeight="1">
      <x:c r="A96" s="6"/>
      <x:c r="B96" s="12"/>
      <x:c r="C96" s="5"/>
      <x:c r="D96" s="5"/>
      <x:c r="E96" s="5"/>
      <x:c r="F96" s="13"/>
      <x:c r="G96" s="13"/>
      <x:c r="H96" s="13"/>
      <x:c r="I96" s="13"/>
      <x:c r="J96" s="14" t="str">
        <x:f>IF(K96="OK",F96*G96*H96-N(I96),"")</x:f>
      </x:c>
      <x:c r="K96" s="2" t="str">
        <x:f>IF(COUNTA(A96:I96,L96)=0,"",IF(OR('Auto mensal'!$B$5="",'Auto mensal'!$D$5="",'Auto mensal'!$D$5&lt;'Auto mensal'!$B$5),"Pendente: período",IF(OR(A96="",NOT(ISNUMBER(A96))),"Pendente: data",IF(OR(A96&lt;'Auto mensal'!$B$5,A96&gt;'Auto mensal'!$D$5),"Fora do período",IF(OR(B96="",C96="",D96="",E96=""),"Pendente: identificação",IF(COUNTIFS('Auto mensal'!$A$13:$A$42,B96,'Auto mensal'!$C$13:$C$42,"Cofragem")&lt;&gt;1,"Pendente: artigo / material",IF(AND(ISNUMBER(F96),F96&gt;0,F96=INT(F96),ISNUMBER(G96),G96&gt;0,ISNUMBER(H96),H96&gt;0,OR(I96="",AND(ISNUMBER(I96),I96&gt;=0)),N(I96)&lt;=F96*G96*H96),"OK","Pendente: dimensões")))))))</x:f>
      </x:c>
      <x:c r="L96" s="5"/>
    </x:row>
    <x:row r="97" ht="23" customHeight="1">
      <x:c r="A97" s="6"/>
      <x:c r="B97" s="12"/>
      <x:c r="C97" s="5"/>
      <x:c r="D97" s="5"/>
      <x:c r="E97" s="5"/>
      <x:c r="F97" s="13"/>
      <x:c r="G97" s="13"/>
      <x:c r="H97" s="13"/>
      <x:c r="I97" s="13"/>
      <x:c r="J97" s="14" t="str">
        <x:f>IF(K97="OK",F97*G97*H97-N(I97),"")</x:f>
      </x:c>
      <x:c r="K97" s="2" t="str">
        <x:f>IF(COUNTA(A97:I97,L97)=0,"",IF(OR('Auto mensal'!$B$5="",'Auto mensal'!$D$5="",'Auto mensal'!$D$5&lt;'Auto mensal'!$B$5),"Pendente: período",IF(OR(A97="",NOT(ISNUMBER(A97))),"Pendente: data",IF(OR(A97&lt;'Auto mensal'!$B$5,A97&gt;'Auto mensal'!$D$5),"Fora do período",IF(OR(B97="",C97="",D97="",E97=""),"Pendente: identificação",IF(COUNTIFS('Auto mensal'!$A$13:$A$42,B97,'Auto mensal'!$C$13:$C$42,"Cofragem")&lt;&gt;1,"Pendente: artigo / material",IF(AND(ISNUMBER(F97),F97&gt;0,F97=INT(F97),ISNUMBER(G97),G97&gt;0,ISNUMBER(H97),H97&gt;0,OR(I97="",AND(ISNUMBER(I97),I97&gt;=0)),N(I97)&lt;=F97*G97*H97),"OK","Pendente: dimensões")))))))</x:f>
      </x:c>
      <x:c r="L97" s="5"/>
    </x:row>
    <x:row r="98" ht="23" customHeight="1">
      <x:c r="A98" s="6"/>
      <x:c r="B98" s="12"/>
      <x:c r="C98" s="5"/>
      <x:c r="D98" s="5"/>
      <x:c r="E98" s="5"/>
      <x:c r="F98" s="13"/>
      <x:c r="G98" s="13"/>
      <x:c r="H98" s="13"/>
      <x:c r="I98" s="13"/>
      <x:c r="J98" s="14" t="str">
        <x:f>IF(K98="OK",F98*G98*H98-N(I98),"")</x:f>
      </x:c>
      <x:c r="K98" s="2" t="str">
        <x:f>IF(COUNTA(A98:I98,L98)=0,"",IF(OR('Auto mensal'!$B$5="",'Auto mensal'!$D$5="",'Auto mensal'!$D$5&lt;'Auto mensal'!$B$5),"Pendente: período",IF(OR(A98="",NOT(ISNUMBER(A98))),"Pendente: data",IF(OR(A98&lt;'Auto mensal'!$B$5,A98&gt;'Auto mensal'!$D$5),"Fora do período",IF(OR(B98="",C98="",D98="",E98=""),"Pendente: identificação",IF(COUNTIFS('Auto mensal'!$A$13:$A$42,B98,'Auto mensal'!$C$13:$C$42,"Cofragem")&lt;&gt;1,"Pendente: artigo / material",IF(AND(ISNUMBER(F98),F98&gt;0,F98=INT(F98),ISNUMBER(G98),G98&gt;0,ISNUMBER(H98),H98&gt;0,OR(I98="",AND(ISNUMBER(I98),I98&gt;=0)),N(I98)&lt;=F98*G98*H98),"OK","Pendente: dimensões")))))))</x:f>
      </x:c>
      <x:c r="L98" s="5"/>
    </x:row>
    <x:row r="99" ht="23" customHeight="1">
      <x:c r="A99" s="6"/>
      <x:c r="B99" s="12"/>
      <x:c r="C99" s="5"/>
      <x:c r="D99" s="5"/>
      <x:c r="E99" s="5"/>
      <x:c r="F99" s="13"/>
      <x:c r="G99" s="13"/>
      <x:c r="H99" s="13"/>
      <x:c r="I99" s="13"/>
      <x:c r="J99" s="14" t="str">
        <x:f>IF(K99="OK",F99*G99*H99-N(I99),"")</x:f>
      </x:c>
      <x:c r="K99" s="2" t="str">
        <x:f>IF(COUNTA(A99:I99,L99)=0,"",IF(OR('Auto mensal'!$B$5="",'Auto mensal'!$D$5="",'Auto mensal'!$D$5&lt;'Auto mensal'!$B$5),"Pendente: período",IF(OR(A99="",NOT(ISNUMBER(A99))),"Pendente: data",IF(OR(A99&lt;'Auto mensal'!$B$5,A99&gt;'Auto mensal'!$D$5),"Fora do período",IF(OR(B99="",C99="",D99="",E99=""),"Pendente: identificação",IF(COUNTIFS('Auto mensal'!$A$13:$A$42,B99,'Auto mensal'!$C$13:$C$42,"Cofragem")&lt;&gt;1,"Pendente: artigo / material",IF(AND(ISNUMBER(F99),F99&gt;0,F99=INT(F99),ISNUMBER(G99),G99&gt;0,ISNUMBER(H99),H99&gt;0,OR(I99="",AND(ISNUMBER(I99),I99&gt;=0)),N(I99)&lt;=F99*G99*H99),"OK","Pendente: dimensões")))))))</x:f>
      </x:c>
      <x:c r="L99" s="5"/>
    </x:row>
    <x:row r="100" ht="23" customHeight="1">
      <x:c r="A100" s="6"/>
      <x:c r="B100" s="12"/>
      <x:c r="C100" s="5"/>
      <x:c r="D100" s="5"/>
      <x:c r="E100" s="5"/>
      <x:c r="F100" s="13"/>
      <x:c r="G100" s="13"/>
      <x:c r="H100" s="13"/>
      <x:c r="I100" s="13"/>
      <x:c r="J100" s="14" t="str">
        <x:f>IF(K100="OK",F100*G100*H100-N(I100),"")</x:f>
      </x:c>
      <x:c r="K100" s="2" t="str">
        <x:f>IF(COUNTA(A100:I100,L100)=0,"",IF(OR('Auto mensal'!$B$5="",'Auto mensal'!$D$5="",'Auto mensal'!$D$5&lt;'Auto mensal'!$B$5),"Pendente: período",IF(OR(A100="",NOT(ISNUMBER(A100))),"Pendente: data",IF(OR(A100&lt;'Auto mensal'!$B$5,A100&gt;'Auto mensal'!$D$5),"Fora do período",IF(OR(B100="",C100="",D100="",E100=""),"Pendente: identificação",IF(COUNTIFS('Auto mensal'!$A$13:$A$42,B100,'Auto mensal'!$C$13:$C$42,"Cofragem")&lt;&gt;1,"Pendente: artigo / material",IF(AND(ISNUMBER(F100),F100&gt;0,F100=INT(F100),ISNUMBER(G100),G100&gt;0,ISNUMBER(H100),H100&gt;0,OR(I100="",AND(ISNUMBER(I100),I100&gt;=0)),N(I100)&lt;=F100*G100*H100),"OK","Pendente: dimensões")))))))</x:f>
      </x:c>
      <x:c r="L100" s="5"/>
    </x:row>
    <x:row r="101" ht="23" customHeight="1">
      <x:c r="A101" s="6"/>
      <x:c r="B101" s="12"/>
      <x:c r="C101" s="5"/>
      <x:c r="D101" s="5"/>
      <x:c r="E101" s="5"/>
      <x:c r="F101" s="13"/>
      <x:c r="G101" s="13"/>
      <x:c r="H101" s="13"/>
      <x:c r="I101" s="13"/>
      <x:c r="J101" s="14" t="str">
        <x:f>IF(K101="OK",F101*G101*H101-N(I101),"")</x:f>
      </x:c>
      <x:c r="K101" s="2" t="str">
        <x:f>IF(COUNTA(A101:I101,L101)=0,"",IF(OR('Auto mensal'!$B$5="",'Auto mensal'!$D$5="",'Auto mensal'!$D$5&lt;'Auto mensal'!$B$5),"Pendente: período",IF(OR(A101="",NOT(ISNUMBER(A101))),"Pendente: data",IF(OR(A101&lt;'Auto mensal'!$B$5,A101&gt;'Auto mensal'!$D$5),"Fora do período",IF(OR(B101="",C101="",D101="",E101=""),"Pendente: identificação",IF(COUNTIFS('Auto mensal'!$A$13:$A$42,B101,'Auto mensal'!$C$13:$C$42,"Cofragem")&lt;&gt;1,"Pendente: artigo / material",IF(AND(ISNUMBER(F101),F101&gt;0,F101=INT(F101),ISNUMBER(G101),G101&gt;0,ISNUMBER(H101),H101&gt;0,OR(I101="",AND(ISNUMBER(I101),I101&gt;=0)),N(I101)&lt;=F101*G101*H101),"OK","Pendente: dimensões")))))))</x:f>
      </x:c>
      <x:c r="L101" s="5"/>
    </x:row>
    <x:row r="102" ht="23" customHeight="1">
      <x:c r="A102" s="6"/>
      <x:c r="B102" s="12"/>
      <x:c r="C102" s="5"/>
      <x:c r="D102" s="5"/>
      <x:c r="E102" s="5"/>
      <x:c r="F102" s="13"/>
      <x:c r="G102" s="13"/>
      <x:c r="H102" s="13"/>
      <x:c r="I102" s="13"/>
      <x:c r="J102" s="14" t="str">
        <x:f>IF(K102="OK",F102*G102*H102-N(I102),"")</x:f>
      </x:c>
      <x:c r="K102" s="2" t="str">
        <x:f>IF(COUNTA(A102:I102,L102)=0,"",IF(OR('Auto mensal'!$B$5="",'Auto mensal'!$D$5="",'Auto mensal'!$D$5&lt;'Auto mensal'!$B$5),"Pendente: período",IF(OR(A102="",NOT(ISNUMBER(A102))),"Pendente: data",IF(OR(A102&lt;'Auto mensal'!$B$5,A102&gt;'Auto mensal'!$D$5),"Fora do período",IF(OR(B102="",C102="",D102="",E102=""),"Pendente: identificação",IF(COUNTIFS('Auto mensal'!$A$13:$A$42,B102,'Auto mensal'!$C$13:$C$42,"Cofragem")&lt;&gt;1,"Pendente: artigo / material",IF(AND(ISNUMBER(F102),F102&gt;0,F102=INT(F102),ISNUMBER(G102),G102&gt;0,ISNUMBER(H102),H102&gt;0,OR(I102="",AND(ISNUMBER(I102),I102&gt;=0)),N(I102)&lt;=F102*G102*H102),"OK","Pendente: dimensões")))))))</x:f>
      </x:c>
      <x:c r="L102" s="5"/>
    </x:row>
    <x:row r="103" ht="23" customHeight="1">
      <x:c r="A103" s="6"/>
      <x:c r="B103" s="12"/>
      <x:c r="C103" s="5"/>
      <x:c r="D103" s="5"/>
      <x:c r="E103" s="5"/>
      <x:c r="F103" s="13"/>
      <x:c r="G103" s="13"/>
      <x:c r="H103" s="13"/>
      <x:c r="I103" s="13"/>
      <x:c r="J103" s="14" t="str">
        <x:f>IF(K103="OK",F103*G103*H103-N(I103),"")</x:f>
      </x:c>
      <x:c r="K103" s="2" t="str">
        <x:f>IF(COUNTA(A103:I103,L103)=0,"",IF(OR('Auto mensal'!$B$5="",'Auto mensal'!$D$5="",'Auto mensal'!$D$5&lt;'Auto mensal'!$B$5),"Pendente: período",IF(OR(A103="",NOT(ISNUMBER(A103))),"Pendente: data",IF(OR(A103&lt;'Auto mensal'!$B$5,A103&gt;'Auto mensal'!$D$5),"Fora do período",IF(OR(B103="",C103="",D103="",E103=""),"Pendente: identificação",IF(COUNTIFS('Auto mensal'!$A$13:$A$42,B103,'Auto mensal'!$C$13:$C$42,"Cofragem")&lt;&gt;1,"Pendente: artigo / material",IF(AND(ISNUMBER(F103),F103&gt;0,F103=INT(F103),ISNUMBER(G103),G103&gt;0,ISNUMBER(H103),H103&gt;0,OR(I103="",AND(ISNUMBER(I103),I103&gt;=0)),N(I103)&lt;=F103*G103*H103),"OK","Pendente: dimensões")))))))</x:f>
      </x:c>
      <x:c r="L103" s="5"/>
    </x:row>
    <x:row r="104" ht="23" customHeight="1">
      <x:c r="A104" s="6"/>
      <x:c r="B104" s="12"/>
      <x:c r="C104" s="5"/>
      <x:c r="D104" s="5"/>
      <x:c r="E104" s="5"/>
      <x:c r="F104" s="13"/>
      <x:c r="G104" s="13"/>
      <x:c r="H104" s="13"/>
      <x:c r="I104" s="13"/>
      <x:c r="J104" s="14" t="str">
        <x:f>IF(K104="OK",F104*G104*H104-N(I104),"")</x:f>
      </x:c>
      <x:c r="K104" s="2" t="str">
        <x:f>IF(COUNTA(A104:I104,L104)=0,"",IF(OR('Auto mensal'!$B$5="",'Auto mensal'!$D$5="",'Auto mensal'!$D$5&lt;'Auto mensal'!$B$5),"Pendente: período",IF(OR(A104="",NOT(ISNUMBER(A104))),"Pendente: data",IF(OR(A104&lt;'Auto mensal'!$B$5,A104&gt;'Auto mensal'!$D$5),"Fora do período",IF(OR(B104="",C104="",D104="",E104=""),"Pendente: identificação",IF(COUNTIFS('Auto mensal'!$A$13:$A$42,B104,'Auto mensal'!$C$13:$C$42,"Cofragem")&lt;&gt;1,"Pendente: artigo / material",IF(AND(ISNUMBER(F104),F104&gt;0,F104=INT(F104),ISNUMBER(G104),G104&gt;0,ISNUMBER(H104),H104&gt;0,OR(I104="",AND(ISNUMBER(I104),I104&gt;=0)),N(I104)&lt;=F104*G104*H104),"OK","Pendente: dimensões")))))))</x:f>
      </x:c>
      <x:c r="L104" s="5"/>
    </x:row>
    <x:row r="105" ht="23" customHeight="1">
      <x:c r="A105" s="6"/>
      <x:c r="B105" s="12"/>
      <x:c r="C105" s="5"/>
      <x:c r="D105" s="5"/>
      <x:c r="E105" s="5"/>
      <x:c r="F105" s="13"/>
      <x:c r="G105" s="13"/>
      <x:c r="H105" s="13"/>
      <x:c r="I105" s="13"/>
      <x:c r="J105" s="14" t="str">
        <x:f>IF(K105="OK",F105*G105*H105-N(I105),"")</x:f>
      </x:c>
      <x:c r="K105" s="2" t="str">
        <x:f>IF(COUNTA(A105:I105,L105)=0,"",IF(OR('Auto mensal'!$B$5="",'Auto mensal'!$D$5="",'Auto mensal'!$D$5&lt;'Auto mensal'!$B$5),"Pendente: período",IF(OR(A105="",NOT(ISNUMBER(A105))),"Pendente: data",IF(OR(A105&lt;'Auto mensal'!$B$5,A105&gt;'Auto mensal'!$D$5),"Fora do período",IF(OR(B105="",C105="",D105="",E105=""),"Pendente: identificação",IF(COUNTIFS('Auto mensal'!$A$13:$A$42,B105,'Auto mensal'!$C$13:$C$42,"Cofragem")&lt;&gt;1,"Pendente: artigo / material",IF(AND(ISNUMBER(F105),F105&gt;0,F105=INT(F105),ISNUMBER(G105),G105&gt;0,ISNUMBER(H105),H105&gt;0,OR(I105="",AND(ISNUMBER(I105),I105&gt;=0)),N(I105)&lt;=F105*G105*H105),"OK","Pendente: dimensões")))))))</x:f>
      </x:c>
      <x:c r="L105" s="5"/>
    </x:row>
    <x:row r="106" ht="23" customHeight="1">
      <x:c r="A106" s="6"/>
      <x:c r="B106" s="12"/>
      <x:c r="C106" s="5"/>
      <x:c r="D106" s="5"/>
      <x:c r="E106" s="5"/>
      <x:c r="F106" s="13"/>
      <x:c r="G106" s="13"/>
      <x:c r="H106" s="13"/>
      <x:c r="I106" s="13"/>
      <x:c r="J106" s="14" t="str">
        <x:f>IF(K106="OK",F106*G106*H106-N(I106),"")</x:f>
      </x:c>
      <x:c r="K106" s="2" t="str">
        <x:f>IF(COUNTA(A106:I106,L106)=0,"",IF(OR('Auto mensal'!$B$5="",'Auto mensal'!$D$5="",'Auto mensal'!$D$5&lt;'Auto mensal'!$B$5),"Pendente: período",IF(OR(A106="",NOT(ISNUMBER(A106))),"Pendente: data",IF(OR(A106&lt;'Auto mensal'!$B$5,A106&gt;'Auto mensal'!$D$5),"Fora do período",IF(OR(B106="",C106="",D106="",E106=""),"Pendente: identificação",IF(COUNTIFS('Auto mensal'!$A$13:$A$42,B106,'Auto mensal'!$C$13:$C$42,"Cofragem")&lt;&gt;1,"Pendente: artigo / material",IF(AND(ISNUMBER(F106),F106&gt;0,F106=INT(F106),ISNUMBER(G106),G106&gt;0,ISNUMBER(H106),H106&gt;0,OR(I106="",AND(ISNUMBER(I106),I106&gt;=0)),N(I106)&lt;=F106*G106*H106),"OK","Pendente: dimensões")))))))</x:f>
      </x:c>
      <x:c r="L106" s="5"/>
    </x:row>
    <x:row r="107" ht="23" customHeight="1">
      <x:c r="A107" s="6"/>
      <x:c r="B107" s="12"/>
      <x:c r="C107" s="5"/>
      <x:c r="D107" s="5"/>
      <x:c r="E107" s="5"/>
      <x:c r="F107" s="13"/>
      <x:c r="G107" s="13"/>
      <x:c r="H107" s="13"/>
      <x:c r="I107" s="13"/>
      <x:c r="J107" s="14" t="str">
        <x:f>IF(K107="OK",F107*G107*H107-N(I107),"")</x:f>
      </x:c>
      <x:c r="K107" s="2" t="str">
        <x:f>IF(COUNTA(A107:I107,L107)=0,"",IF(OR('Auto mensal'!$B$5="",'Auto mensal'!$D$5="",'Auto mensal'!$D$5&lt;'Auto mensal'!$B$5),"Pendente: período",IF(OR(A107="",NOT(ISNUMBER(A107))),"Pendente: data",IF(OR(A107&lt;'Auto mensal'!$B$5,A107&gt;'Auto mensal'!$D$5),"Fora do período",IF(OR(B107="",C107="",D107="",E107=""),"Pendente: identificação",IF(COUNTIFS('Auto mensal'!$A$13:$A$42,B107,'Auto mensal'!$C$13:$C$42,"Cofragem")&lt;&gt;1,"Pendente: artigo / material",IF(AND(ISNUMBER(F107),F107&gt;0,F107=INT(F107),ISNUMBER(G107),G107&gt;0,ISNUMBER(H107),H107&gt;0,OR(I107="",AND(ISNUMBER(I107),I107&gt;=0)),N(I107)&lt;=F107*G107*H107),"OK","Pendente: dimensões")))))))</x:f>
      </x:c>
      <x:c r="L107" s="5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</x:sheetData>
  <x:conditionalFormatting sqref="K8:K107">
    <x:cfRule type="containsText" dxfId="6" priority="1" operator="containsText" text="Pendente"/>
    <x:cfRule type="containsText" dxfId="7" priority="2" operator="containsText" text="Rever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497A6"/>
  </x:sheetPr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Como preencher o auto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11" t="str">
        <x:v>Etapa / critério</x:v>
      </x:c>
      <x:c r="B5" s="11" t="str">
        <x:v>Preenchimento</x:v>
      </x:c>
      <x:c r="C5" s="2"/>
      <x:c r="D5" s="2"/>
      <x:c r="E5" s="2"/>
      <x:c r="F5" s="2"/>
      <x:c r="G5" s="2"/>
      <x:c r="H5" s="2"/>
    </x:row>
    <x:row r="6" ht="49" customHeight="1">
      <x:c r="A6" s="21" t="str">
        <x:v>1. Identificação</x:v>
      </x:c>
      <x:c r="B6" s="20" t="str">
        <x:v>Na folha Auto mensal, preencher obra, subempreiteiro, contrato, número do auto, início/fim e data de emissão. Um ficheiro por subempreiteiro e período.</x:v>
      </x:c>
      <x:c r="C6" s="2"/>
      <x:c r="D6" s="2"/>
      <x:c r="E6" s="2"/>
      <x:c r="F6" s="2"/>
      <x:c r="G6" s="2"/>
      <x:c r="H6" s="2"/>
    </x:row>
    <x:row r="7" ht="49" customHeight="1">
      <x:c r="A7" s="21" t="str">
        <x:v>2. Artigos do contrato</x:v>
      </x:c>
      <x:c r="B7" s="20" t="str">
        <x:v>Inserir até 30 artigos, com código único, descrição, material, quantidade contratada, anterior aprovado e preço unitário. Separar artigos com preços ou âmbitos diferentes.</x:v>
      </x:c>
      <x:c r="C7" s="2"/>
      <x:c r="D7" s="2"/>
      <x:c r="E7" s="2"/>
      <x:c r="F7" s="2"/>
      <x:c r="G7" s="2"/>
      <x:c r="H7" s="2"/>
    </x:row>
    <x:row r="8" ht="49" customHeight="1">
      <x:c r="A8" s="21" t="str">
        <x:v>3. Quantidade anterior</x:v>
      </x:c>
      <x:c r="B8" s="20" t="str">
        <x:v>Transcrever o acumulado aprovado do auto anterior. No primeiro auto, preencher explicitamente 0. Não incluir o mês atual nesta coluna.</x:v>
      </x:c>
      <x:c r="C8" s="2"/>
      <x:c r="D8" s="2"/>
      <x:c r="E8" s="2"/>
      <x:c r="F8" s="2"/>
      <x:c r="G8" s="2"/>
      <x:c r="H8" s="2"/>
    </x:row>
    <x:row r="9" ht="49" customHeight="1">
      <x:c r="A9" s="21" t="str">
        <x:v>4. Execução do mês</x:v>
      </x:c>
      <x:c r="B9" s="20" t="str">
        <x:v>Preencher as memórias com data, artigo, elemento/troço, piso/zona e referência do desenho ou evidência. Há 100 linhas por material. Não repetir quantidades já medidas.</x:v>
      </x:c>
      <x:c r="C9" s="2"/>
      <x:c r="D9" s="2"/>
      <x:c r="E9" s="2"/>
      <x:c r="F9" s="2"/>
      <x:c r="G9" s="2"/>
      <x:c r="H9" s="2"/>
    </x:row>
    <x:row r="10" ht="49" customHeight="1">
      <x:c r="A10" s="21" t="str">
        <x:v>5. Aço</x:v>
      </x:c>
      <x:c r="B10" s="20" t="str">
        <x:v>Uma linha por tipo e diâmetro. N.º varões × (trecho reto + dobras/ganchos + transpasses) × peso linear. Todas as parcelas de comprimento são por varão.</x:v>
      </x:c>
      <x:c r="C10" s="2"/>
      <x:c r="D10" s="2"/>
      <x:c r="E10" s="2"/>
      <x:c r="F10" s="2"/>
      <x:c r="G10" s="2"/>
      <x:c r="H10" s="2"/>
    </x:row>
    <x:row r="11" ht="49" customHeight="1">
      <x:c r="A11" s="21" t="str">
        <x:v>Peso linear</x:v>
      </x:c>
      <x:c r="B11" s="20" t="str">
        <x:v>Coeficiente geométrico: π/4 × 7 850 / 1 000 000 = 0,006165375… kg/m por mm². Peso = coeficiente × diâmetro². Não inclui desperdício de compra.</x:v>
      </x:c>
      <x:c r="C11" s="2"/>
      <x:c r="D11" s="2"/>
      <x:c r="E11" s="2"/>
      <x:c r="F11" s="2"/>
      <x:c r="G11" s="2"/>
      <x:c r="H11" s="2"/>
    </x:row>
    <x:row r="12" ht="49" customHeight="1">
      <x:c r="A12" s="21" t="str">
        <x:v>Estribos e cintas</x:v>
      </x:c>
      <x:c r="B12" s="20" t="str">
        <x:v>Registar o número efetivamente aplicado e o desenvolvimento do varão segundo o pormenor. Inserir dobras/ganchos só se não estiverem já incluídos no trecho indicado.</x:v>
      </x:c>
      <x:c r="C12" s="2"/>
      <x:c r="D12" s="2"/>
      <x:c r="E12" s="2"/>
      <x:c r="F12" s="2"/>
      <x:c r="G12" s="2"/>
      <x:c r="H12" s="2"/>
    </x:row>
    <x:row r="13" ht="49" customHeight="1">
      <x:c r="A13" s="21" t="str">
        <x:v>6. Betão</x:v>
      </x:c>
      <x:c r="B13" s="20" t="str">
        <x:v>Decompor elementos em prismas retangulares ou cilindros. Para lajes, B × H × L são as três dimensões do volume. Medir apenas a parte betonada no período.</x:v>
      </x:c>
      <x:c r="C13" s="2"/>
      <x:c r="D13" s="2"/>
      <x:c r="E13" s="2"/>
      <x:c r="F13" s="2"/>
      <x:c r="G13" s="2"/>
      <x:c r="H13" s="2"/>
    </x:row>
    <x:row r="14" ht="49" customHeight="1">
      <x:c r="A14" s="21" t="str">
        <x:v>7. Cofragem</x:v>
      </x:c>
      <x:c r="B14" s="20" t="str">
        <x:v>Uma linha por conjunto de faces iguais: número de faces × comprimento × altura/largura. Para faces curvas usar o comprimento desenvolvido. Não contar faces sem cofragem.</x:v>
      </x:c>
      <x:c r="C14" s="2"/>
      <x:c r="D14" s="2"/>
      <x:c r="E14" s="2"/>
      <x:c r="F14" s="2"/>
      <x:c r="G14" s="2"/>
      <x:c r="H14" s="2"/>
    </x:row>
    <x:row r="15" ht="49" customHeight="1">
      <x:c r="A15" s="21" t="str">
        <x:v>Deduções</x:v>
      </x:c>
      <x:c r="B15" s="20" t="str">
        <x:v>Betão: m³ totais da linha. Cofragem: m² totais da linha. Vazio significa sem dedução. As regras de vazios, juntas e faces seguem o contrato.</x:v>
      </x:c>
      <x:c r="C15" s="2"/>
      <x:c r="D15" s="2"/>
      <x:c r="E15" s="2"/>
      <x:c r="F15" s="2"/>
      <x:c r="G15" s="2"/>
      <x:c r="H15" s="2"/>
    </x:row>
    <x:row r="16" ht="49" customHeight="1">
      <x:c r="A16" s="21" t="str">
        <x:v>8. Conferência</x:v>
      </x:c>
      <x:c r="B16" s="20" t="str">
        <x:v>Linhas fora do período são excluídas. Linhas incompletas mostram Pendente. Conferir os contadores do auto, os artigos e as memórias antes de emitir.</x:v>
      </x:c>
      <x:c r="C16" s="2"/>
      <x:c r="D16" s="2"/>
      <x:c r="E16" s="2"/>
      <x:c r="F16" s="2"/>
      <x:c r="G16" s="2"/>
      <x:c r="H16" s="2"/>
    </x:row>
    <x:row r="17" ht="49" customHeight="1">
      <x:c r="A17" s="21" t="str">
        <x:v>9. Valor do auto</x:v>
      </x:c>
      <x:c r="B17" s="20" t="str">
        <x:v>Quantidade do período × preço unitário, arredondado aos cêntimos por artigo. Quantidades conservam precisão interna. O valor não inclui IVA, retenções ou adiantamentos.</x:v>
      </x:c>
      <x:c r="C17" s="2"/>
      <x:c r="D17" s="2"/>
      <x:c r="E17" s="2"/>
      <x:c r="F17" s="2"/>
      <x:c r="G17" s="2"/>
      <x:c r="H17" s="2"/>
    </x:row>
    <x:row r="18" ht="49" customHeight="1">
      <x:c r="A18" s="21" t="str">
        <x:v>10. Fecho e mês seguinte</x:v>
      </x:c>
      <x:c r="B18" s="20" t="str">
        <x:v>Guardar uma cópia fechada do mês. Para o seguinte, criar nova cópia, transcrever acumulados aprovados como anterior e limpar só entradas das memórias. Preservar fórmulas.</x:v>
      </x:c>
      <x:c r="C18" s="2"/>
      <x:c r="D18" s="2"/>
      <x:c r="E18" s="2"/>
      <x:c r="F18" s="2"/>
      <x:c r="G18" s="2"/>
      <x:c r="H18" s="2"/>
    </x:row>
    <x:row r="19" ht="49" customHeight="1">
      <x:c r="A19" s="21" t="str">
        <x:v>Capacidade do modelo</x:v>
      </x:c>
      <x:c r="B19" s="20" t="str">
        <x:v>Usar as linhas preparadas: auto 13–42 e memórias 8–107. Para ampliar, estender também fórmulas e intervalos de soma; acrescentar linhas abaixo não as inclui automaticamente.</x:v>
      </x:c>
      <x:c r="C19" s="2"/>
      <x:c r="D19" s="2"/>
      <x:c r="E19" s="2"/>
      <x:c r="F19" s="2"/>
      <x:c r="G19" s="2"/>
      <x:c r="H19" s="2"/>
    </x:row>
    <x:row r="20" ht="49" customHeight="1">
      <x:c r="A20" s="21" t="str">
        <x:v>Critério de medição</x:v>
      </x:c>
      <x:c r="B20" s="20" t="str">
        <x:v>Aço, betão e cofragem têm execução independente. Registar a data de cada trabalho e o critério contratual nas observações, incluindo correções ou exclusões.</x:v>
      </x:c>
      <x:c r="C20" s="2"/>
      <x:c r="D20" s="2"/>
      <x:c r="E20" s="2"/>
      <x:c r="F20" s="2"/>
      <x:c r="G20" s="2"/>
      <x:c r="H20" s="2"/>
    </x:row>
    <x:row r="21" ht="49" customHeight="1">
      <x:c r="A21" s="21" t="str">
        <x:v>Origem dos dados</x:v>
      </x:c>
      <x:c r="B21" s="20" t="str">
        <x:v>Modelo em branco. Não foram importadas quantidades nem preços do repositório. Desenhos, medições de obra e autos aprovados devem suportar cada preenchimento.</x:v>
      </x:c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</x:row>
  </x:sheetData>
  <x:pageMargins left="0.7" right="0.7" top="0.75" bottom="0.75" header="0.3" footer="0.3"/>
</x:worksheet>
</file>