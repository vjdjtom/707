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b57bf0fe3e44d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o mensal" sheetId="1" r:id="Ra483570c11144f4e"/>
    <x:sheet xmlns:r="http://schemas.openxmlformats.org/officeDocument/2006/relationships" name="Execução" sheetId="2" r:id="R6537212b5612405e"/>
    <x:sheet xmlns:r="http://schemas.openxmlformats.org/officeDocument/2006/relationships" name="Tipos" sheetId="3" r:id="Re590d3b062294fb3"/>
    <x:sheet xmlns:r="http://schemas.openxmlformats.org/officeDocument/2006/relationships" name="Armaduras base" sheetId="4" r:id="R1adb82bb9a4f40b8"/>
    <x:sheet xmlns:r="http://schemas.openxmlformats.org/officeDocument/2006/relationships" name="Acertos aço" sheetId="5" r:id="R317afae61dee4dcd"/>
    <x:sheet xmlns:r="http://schemas.openxmlformats.org/officeDocument/2006/relationships" name="Leitura das abas" sheetId="6" r:id="R96212acbb71b4acd"/>
    <x:sheet xmlns:r="http://schemas.openxmlformats.org/officeDocument/2006/relationships" name="Como utilizar" sheetId="7" r:id="R2efe49d5e67c43f3"/>
    <x:sheet xmlns:r="http://schemas.openxmlformats.org/officeDocument/2006/relationships" name="Pormenores PDF" sheetId="8" r:id="R8d2d02240b0f4ebe"/>
    <x:sheet xmlns:r="http://schemas.openxmlformats.org/officeDocument/2006/relationships" name="Contagem de cintas" sheetId="9" r:id="R546ac37700594e3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.000"/>
    <x:numFmt numFmtId="201" formatCode="dd/mm/yyyy"/>
    <x:numFmt numFmtId="202" formatCode="0.000"/>
    <x:numFmt numFmtId="203" formatCode="0"/>
  </x:numFmts>
  <x:fonts count="4">
    <x:font>
      <x:sz val="11"/>
      <x:name val="Carlito"/>
    </x:font>
    <x:font>
      <x:sz val="10"/>
      <x:color rgb="FF203A55"/>
      <x:name val="Arial"/>
    </x:font>
    <x:font>
      <x:b/>
      <x:sz val="16"/>
      <x:color rgb="FF203A55"/>
      <x:name val="Arial"/>
    </x:font>
    <x:font>
      <x:b/>
      <x:sz val="10"/>
      <x:color rgb="FFFFFFFF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203A55"/>
      </x:patternFill>
    </x:fill>
    <x:fill>
      <x:patternFill patternType="solid">
        <x:fgColor rgb="FFFFF2CC"/>
      </x:patternFill>
    </x:fill>
    <x:fill>
      <x:patternFill patternType="solid">
        <x:fgColor rgb="FFDFE8EF"/>
      </x:patternFill>
    </x:fill>
    <x:fill>
      <x:patternFill patternType="solid">
        <x:fgColor rgb="FF203A55"/>
      </x:patternFill>
    </x:fill>
    <x:fill>
      <x:patternFill patternType="solid">
        <x:fgColor rgb="FFFFF2CC"/>
      </x:patternFill>
    </x:fill>
    <x:fill>
      <x:patternFill patternType="solid">
        <x:fgColor rgb="FFEEF3F7"/>
      </x:patternFill>
    </x:fill>
  </x:fills>
  <x:borders count="2">
    <x:border/>
    <x:border>
      <x:bottom style="thin">
        <x:color rgb="FF7893A9"/>
      </x:bottom>
    </x:border>
  </x:borders>
  <x:cellStyleXfs count="1">
    <x:xf numFmtId="0" fontId="0" fillId="0" borderId="0"/>
  </x:cellStyleXfs>
  <x:cellXfs count="3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/>
    </x:xf>
    <x:xf numFmtId="0" fontId="3" fillId="5" borderId="0" xfId="0" applyNumberFormat="1" applyFont="1" applyFill="1" applyBorder="1" applyAlignment="1">
      <x:alignment vertical="center"/>
    </x:xf>
    <x:xf numFmtId="0" fontId="3" fillId="5" borderId="0" xfId="0" applyNumberFormat="1" applyFont="1" applyFill="1" applyBorder="1" applyAlignment="1">
      <x:alignment vertical="center" wrapText="1"/>
    </x:xf>
    <x:xf numFmtId="0" fontId="3" fillId="5" borderId="0" xfId="0" applyNumberFormat="1" applyFont="1" applyFill="1" applyBorder="1" applyAlignment="1">
      <x:alignment horizontal="center" vertical="center" wrapText="1"/>
    </x:xf>
    <x:xf numFmtId="202" fontId="1" fillId="0" borderId="0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horizontal="center" wrapText="1"/>
    </x:xf>
    <x:xf numFmtId="0" fontId="1" fillId="6" borderId="0" xfId="0" applyNumberFormat="1" applyFont="1" applyFill="1" applyBorder="1"/>
    <x:xf numFmtId="200" fontId="1" fillId="7" borderId="0" xfId="0" applyNumberFormat="1" applyFont="1" applyFill="1" applyBorder="1" applyAlignment="1">
      <x:alignment vertical="center"/>
    </x:xf>
    <x:xf numFmtId="202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vertical="center"/>
    </x:xf>
    <x:xf numFmtId="202" fontId="1" fillId="6" borderId="0" xfId="0" applyNumberFormat="1" applyFont="1" applyFill="1" applyBorder="1" applyAlignment="1">
      <x:alignment vertical="center"/>
    </x:xf>
    <x:xf numFmtId="203" fontId="1" fillId="6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6">
    <x:dxf>
      <x:font>
        <x:color rgb="FF9C2F20"/>
      </x:font>
      <x:fill>
        <x:patternFill>
          <x:bgColor rgb="FFFCE4D6"/>
        </x:patternFill>
      </x:fill>
    </x:dxf>
    <x:dxf>
      <x:font>
        <x:color rgb="FF9C2F20"/>
      </x:font>
      <x:fill>
        <x:patternFill>
          <x:bgColor rgb="FFFCE4D6"/>
        </x:patternFill>
      </x:fill>
    </x:dxf>
    <x:dxf>
      <x:font>
        <x:color rgb="FF9C2F20"/>
      </x:font>
      <x:fill>
        <x:patternFill>
          <x:bgColor rgb="FFFCE4D6"/>
        </x:patternFill>
      </x:fill>
    </x:dxf>
    <x:dxf>
      <x:font>
        <x:color rgb="FF9C2F20"/>
      </x:font>
      <x:fill>
        <x:patternFill>
          <x:bgColor rgb="FFFCE4D6"/>
        </x:patternFill>
      </x:fill>
    </x:dxf>
    <x:dxf>
      <x:font>
        <x:color rgb="FF9C2F20"/>
      </x:font>
      <x:fill>
        <x:patternFill>
          <x:bgColor rgb="FFFCE4D6"/>
        </x:patternFill>
      </x:fill>
    </x:dxf>
    <x:dxf>
      <x:font>
        <x:color rgb="FF9C2F20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e7c5074bcaf4cc3" /><Relationship Type="http://schemas.openxmlformats.org/officeDocument/2006/relationships/theme" Target="/xl/theme/theme1.xml" Id="Rdcf608365e2844fc" /><Relationship Type="http://schemas.openxmlformats.org/officeDocument/2006/relationships/sharedStrings" Target="/xl/sharedStrings.xml" Id="Rd93b2a7bfec442b5" /><Relationship Type="http://schemas.openxmlformats.org/officeDocument/2006/relationships/worksheet" Target="/xl/worksheets/sheet1.xml" Id="Ra483570c11144f4e" /><Relationship Type="http://schemas.openxmlformats.org/officeDocument/2006/relationships/worksheet" Target="/xl/worksheets/sheet2.xml" Id="R6537212b5612405e" /><Relationship Type="http://schemas.openxmlformats.org/officeDocument/2006/relationships/worksheet" Target="/xl/worksheets/sheet3.xml" Id="Re590d3b062294fb3" /><Relationship Type="http://schemas.openxmlformats.org/officeDocument/2006/relationships/worksheet" Target="/xl/worksheets/sheet4.xml" Id="R1adb82bb9a4f40b8" /><Relationship Type="http://schemas.openxmlformats.org/officeDocument/2006/relationships/worksheet" Target="/xl/worksheets/sheet5.xml" Id="R317afae61dee4dcd" /><Relationship Type="http://schemas.openxmlformats.org/officeDocument/2006/relationships/worksheet" Target="/xl/worksheets/sheet6.xml" Id="R96212acbb71b4acd" /><Relationship Type="http://schemas.openxmlformats.org/officeDocument/2006/relationships/worksheet" Target="/xl/worksheets/sheet7.xml" Id="R2efe49d5e67c43f3" /><Relationship Type="http://schemas.openxmlformats.org/officeDocument/2006/relationships/worksheet" Target="/xl/worksheets/sheet8.xml" Id="R8d2d02240b0f4ebe" /><Relationship Type="http://schemas.openxmlformats.org/officeDocument/2006/relationships/worksheet" Target="/xl/worksheets/sheet9.xml" Id="R546ac37700594e3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03A55"/>
  </x:sheetPr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40" hidden="0" customWidth="1"/>
    <x:col min="9" max="9" width="25" hidden="0" customWidth="1"/>
    <x:col min="10" max="10" width="15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25" customHeight="1">
      <x:c r="A2" s="3" t="str">
        <x:v>707 — resumo da execução mensal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 ht="25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</x:row>
    <x:row r="4" ht="25" customHeight="1">
      <x:c r="A4" s="2" t="str">
        <x:v>Início</x:v>
      </x:c>
      <x:c r="B4" s="13"/>
      <x:c r="C4" s="2" t="str">
        <x:v>Fim</x:v>
      </x:c>
      <x:c r="D4" s="13"/>
      <x:c r="E4" s="2"/>
      <x:c r="F4" s="2" t="str">
        <x:v>Subempreiteiro</x:v>
      </x:c>
      <x:c r="G4" s="10"/>
      <x:c r="H4" s="10"/>
      <x:c r="I4" s="10"/>
      <x:c r="J4" s="10"/>
    </x:row>
    <x:row r="5" ht="25" customHeight="1">
      <x:c r="A5" s="2" t="str">
        <x:v>Quantidades deste período, sem preços. Todas as linhas de Execução e Acertos aço devem pertencer ao intervalo indicado.</x:v>
      </x:c>
      <x:c r="B5" s="2"/>
      <x:c r="C5" s="2"/>
      <x:c r="D5" s="2"/>
      <x:c r="E5" s="2"/>
      <x:c r="F5" s="2"/>
      <x:c r="G5" s="2"/>
      <x:c r="H5" s="2"/>
      <x:c r="I5" s="2"/>
      <x:c r="J5" s="2"/>
    </x:row>
    <x:row r="6" ht="25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</x:row>
    <x:row r="7" ht="48" customHeight="1">
      <x:c r="A7" s="8" t="str">
        <x:v>Tipo</x:v>
      </x:c>
      <x:c r="B7" s="8" t="str">
        <x:v>Família</x:v>
      </x:c>
      <x:c r="C7" s="8" t="str">
        <x:v>Aço kg</x:v>
      </x:c>
      <x:c r="D7" s="8" t="str">
        <x:v>Betão m³</x:v>
      </x:c>
      <x:c r="E7" s="8" t="str">
        <x:v>Cofragem m²</x:v>
      </x:c>
      <x:c r="F7" s="8" t="str">
        <x:v>Exec. limpeza (base)</x:v>
      </x:c>
      <x:c r="G7" s="8" t="str">
        <x:v>Betão limpeza m³</x:v>
      </x:c>
      <x:c r="H7" s="8" t="str">
        <x:v>Referência de medição</x:v>
      </x:c>
      <x:c r="I7" s="8" t="str">
        <x:v>Estado</x:v>
      </x:c>
      <x:c r="J7" s="8" t="str"/>
    </x:row>
    <x:row r="8" ht="25" customHeight="1">
      <x:c r="A8" s="2" t="str">
        <x:f>Tipos!A7</x:f>
        <x:v>P1-P0</x:v>
      </x:c>
      <x:c r="B8" s="2" t="str">
        <x:f>Tipos!B7</x:f>
        <x:v>Pilar</x:v>
      </x:c>
      <x:c r="C8" s="12" t="str">
        <x:f>IF('Execução'!H7="","",'Execução'!H7)</x:f>
      </x:c>
      <x:c r="D8" s="12" t="str">
        <x:f>IF('Execução'!J7="","",'Execução'!J7)</x:f>
      </x:c>
      <x:c r="E8" s="12" t="str">
        <x:f>IF('Execução'!L7="","",'Execução'!L7)</x:f>
      </x:c>
      <x:c r="F8" s="11"/>
      <x:c r="G8" s="12" t="str">
        <x:f>IF(F8="","",IF(AND(ISNUMBER(F8),F8&gt;=0,Tipos!M7&gt;0),F8*Tipos!M7,"Pendente"))</x:f>
      </x:c>
      <x:c r="H8" s="2" t="str">
        <x:f>IF('Execução'!P7="","",'Execução'!P7)</x:f>
      </x:c>
      <x:c r="I8" s="2" t="str">
        <x:f>IF(AND(C8="",D8="",E8="",G8="",'Execução'!O7=""),"",IF(OR($B$4="",$D$4="",$D$4&lt;$B$4,'Execução'!O7="Pendente",G8="Pendente",AND(F8&lt;&gt;"",H8="")),"Pendente","Para conferência"))</x:f>
      </x:c>
      <x:c r="J8" s="2"/>
    </x:row>
    <x:row r="9" ht="25" customHeight="1">
      <x:c r="A9" s="2" t="str">
        <x:f>Tipos!A8</x:f>
        <x:v>P1-P1</x:v>
      </x:c>
      <x:c r="B9" s="2" t="str">
        <x:f>Tipos!B8</x:f>
        <x:v>Pilar</x:v>
      </x:c>
      <x:c r="C9" s="12" t="str">
        <x:f>IF('Execução'!H8="","",'Execução'!H8)</x:f>
      </x:c>
      <x:c r="D9" s="12" t="str">
        <x:f>IF('Execução'!J8="","",'Execução'!J8)</x:f>
      </x:c>
      <x:c r="E9" s="12" t="str">
        <x:f>IF('Execução'!L8="","",'Execução'!L8)</x:f>
      </x:c>
      <x:c r="F9" s="11"/>
      <x:c r="G9" s="12" t="str">
        <x:f>IF(F9="","",IF(AND(ISNUMBER(F9),F9&gt;=0,Tipos!M8&gt;0),F9*Tipos!M8,"Pendente"))</x:f>
      </x:c>
      <x:c r="H9" s="2" t="str">
        <x:f>IF('Execução'!P8="","",'Execução'!P8)</x:f>
      </x:c>
      <x:c r="I9" s="2" t="str">
        <x:f>IF(AND(C9="",D9="",E9="",G9="",'Execução'!O8=""),"",IF(OR($B$4="",$D$4="",$D$4&lt;$B$4,'Execução'!O8="Pendente",G9="Pendente",AND(F9&lt;&gt;"",H9="")),"Pendente","Para conferência"))</x:f>
      </x:c>
      <x:c r="J9" s="2"/>
    </x:row>
    <x:row r="10" ht="25" customHeight="1">
      <x:c r="A10" s="2" t="str">
        <x:f>Tipos!A9</x:f>
        <x:v>P1-COB</x:v>
      </x:c>
      <x:c r="B10" s="2" t="str">
        <x:f>Tipos!B9</x:f>
        <x:v>Pilar</x:v>
      </x:c>
      <x:c r="C10" s="12" t="str">
        <x:f>IF('Execução'!H9="","",'Execução'!H9)</x:f>
      </x:c>
      <x:c r="D10" s="12" t="str">
        <x:f>IF('Execução'!J9="","",'Execução'!J9)</x:f>
      </x:c>
      <x:c r="E10" s="12" t="str">
        <x:f>IF('Execução'!L9="","",'Execução'!L9)</x:f>
      </x:c>
      <x:c r="F10" s="11"/>
      <x:c r="G10" s="12" t="str">
        <x:f>IF(F10="","",IF(AND(ISNUMBER(F10),F10&gt;=0,Tipos!M9&gt;0),F10*Tipos!M9,"Pendente"))</x:f>
      </x:c>
      <x:c r="H10" s="2" t="str">
        <x:f>IF('Execução'!P9="","",'Execução'!P9)</x:f>
      </x:c>
      <x:c r="I10" s="2" t="str">
        <x:f>IF(AND(C10="",D10="",E10="",G10="",'Execução'!O9=""),"",IF(OR($B$4="",$D$4="",$D$4&lt;$B$4,'Execução'!O9="Pendente",G10="Pendente",AND(F10&lt;&gt;"",H10="")),"Pendente","Para conferência"))</x:f>
      </x:c>
      <x:c r="J10" s="2"/>
    </x:row>
    <x:row r="11" ht="25" customHeight="1">
      <x:c r="A11" s="2" t="str">
        <x:f>Tipos!A10</x:f>
        <x:v>P2-P0</x:v>
      </x:c>
      <x:c r="B11" s="2" t="str">
        <x:f>Tipos!B10</x:f>
        <x:v>Pilar</x:v>
      </x:c>
      <x:c r="C11" s="12" t="str">
        <x:f>IF('Execução'!H10="","",'Execução'!H10)</x:f>
      </x:c>
      <x:c r="D11" s="12" t="str">
        <x:f>IF('Execução'!J10="","",'Execução'!J10)</x:f>
      </x:c>
      <x:c r="E11" s="12" t="str">
        <x:f>IF('Execução'!L10="","",'Execução'!L10)</x:f>
      </x:c>
      <x:c r="F11" s="11"/>
      <x:c r="G11" s="12" t="str">
        <x:f>IF(F11="","",IF(AND(ISNUMBER(F11),F11&gt;=0,Tipos!M10&gt;0),F11*Tipos!M10,"Pendente"))</x:f>
      </x:c>
      <x:c r="H11" s="2" t="str">
        <x:f>IF('Execução'!P10="","",'Execução'!P10)</x:f>
      </x:c>
      <x:c r="I11" s="2" t="str">
        <x:f>IF(AND(C11="",D11="",E11="",G11="",'Execução'!O10=""),"",IF(OR($B$4="",$D$4="",$D$4&lt;$B$4,'Execução'!O10="Pendente",G11="Pendente",AND(F11&lt;&gt;"",H11="")),"Pendente","Para conferência"))</x:f>
      </x:c>
      <x:c r="J11" s="2"/>
    </x:row>
    <x:row r="12" ht="25" customHeight="1">
      <x:c r="A12" s="2" t="str">
        <x:f>Tipos!A11</x:f>
        <x:v>P2-P1</x:v>
      </x:c>
      <x:c r="B12" s="2" t="str">
        <x:f>Tipos!B11</x:f>
        <x:v>Pilar</x:v>
      </x:c>
      <x:c r="C12" s="12" t="str">
        <x:f>IF('Execução'!H11="","",'Execução'!H11)</x:f>
      </x:c>
      <x:c r="D12" s="12" t="str">
        <x:f>IF('Execução'!J11="","",'Execução'!J11)</x:f>
      </x:c>
      <x:c r="E12" s="12" t="str">
        <x:f>IF('Execução'!L11="","",'Execução'!L11)</x:f>
      </x:c>
      <x:c r="F12" s="11"/>
      <x:c r="G12" s="12" t="str">
        <x:f>IF(F12="","",IF(AND(ISNUMBER(F12),F12&gt;=0,Tipos!M11&gt;0),F12*Tipos!M11,"Pendente"))</x:f>
      </x:c>
      <x:c r="H12" s="2" t="str">
        <x:f>IF('Execução'!P11="","",'Execução'!P11)</x:f>
      </x:c>
      <x:c r="I12" s="2" t="str">
        <x:f>IF(AND(C12="",D12="",E12="",G12="",'Execução'!O11=""),"",IF(OR($B$4="",$D$4="",$D$4&lt;$B$4,'Execução'!O11="Pendente",G12="Pendente",AND(F12&lt;&gt;"",H12="")),"Pendente","Para conferência"))</x:f>
      </x:c>
      <x:c r="J12" s="2"/>
    </x:row>
    <x:row r="13" ht="25" customHeight="1">
      <x:c r="A13" s="2" t="str">
        <x:f>Tipos!A12</x:f>
        <x:v>P3-P0</x:v>
      </x:c>
      <x:c r="B13" s="2" t="str">
        <x:f>Tipos!B12</x:f>
        <x:v>Pilar</x:v>
      </x:c>
      <x:c r="C13" s="12" t="str">
        <x:f>IF('Execução'!H12="","",'Execução'!H12)</x:f>
      </x:c>
      <x:c r="D13" s="12" t="str">
        <x:f>IF('Execução'!J12="","",'Execução'!J12)</x:f>
      </x:c>
      <x:c r="E13" s="12" t="str">
        <x:f>IF('Execução'!L12="","",'Execução'!L12)</x:f>
      </x:c>
      <x:c r="F13" s="11"/>
      <x:c r="G13" s="12" t="str">
        <x:f>IF(F13="","",IF(AND(ISNUMBER(F13),F13&gt;=0,Tipos!M12&gt;0),F13*Tipos!M12,"Pendente"))</x:f>
      </x:c>
      <x:c r="H13" s="2" t="str">
        <x:f>IF('Execução'!P12="","",'Execução'!P12)</x:f>
      </x:c>
      <x:c r="I13" s="2" t="str">
        <x:f>IF(AND(C13="",D13="",E13="",G13="",'Execução'!O12=""),"",IF(OR($B$4="",$D$4="",$D$4&lt;$B$4,'Execução'!O12="Pendente",G13="Pendente",AND(F13&lt;&gt;"",H13="")),"Pendente","Para conferência"))</x:f>
      </x:c>
      <x:c r="J13" s="2"/>
    </x:row>
    <x:row r="14" ht="25" customHeight="1">
      <x:c r="A14" s="2" t="str">
        <x:f>Tipos!A13</x:f>
        <x:v>P4-P1</x:v>
      </x:c>
      <x:c r="B14" s="2" t="str">
        <x:f>Tipos!B13</x:f>
        <x:v>Pilar</x:v>
      </x:c>
      <x:c r="C14" s="12" t="str">
        <x:f>IF('Execução'!H13="","",'Execução'!H13)</x:f>
      </x:c>
      <x:c r="D14" s="12" t="str">
        <x:f>IF('Execução'!J13="","",'Execução'!J13)</x:f>
      </x:c>
      <x:c r="E14" s="12" t="str">
        <x:f>IF('Execução'!L13="","",'Execução'!L13)</x:f>
      </x:c>
      <x:c r="F14" s="11"/>
      <x:c r="G14" s="12" t="str">
        <x:f>IF(F14="","",IF(AND(ISNUMBER(F14),F14&gt;=0,Tipos!M13&gt;0),F14*Tipos!M13,"Pendente"))</x:f>
      </x:c>
      <x:c r="H14" s="2" t="str">
        <x:f>IF('Execução'!P13="","",'Execução'!P13)</x:f>
      </x:c>
      <x:c r="I14" s="2" t="str">
        <x:f>IF(AND(C14="",D14="",E14="",G14="",'Execução'!O13=""),"",IF(OR($B$4="",$D$4="",$D$4&lt;$B$4,'Execução'!O13="Pendente",G14="Pendente",AND(F14&lt;&gt;"",H14="")),"Pendente","Para conferência"))</x:f>
      </x:c>
      <x:c r="J14" s="2"/>
    </x:row>
    <x:row r="15" ht="25" customHeight="1">
      <x:c r="A15" s="2" t="str">
        <x:f>Tipos!A14</x:f>
        <x:v>P4-COB</x:v>
      </x:c>
      <x:c r="B15" s="2" t="str">
        <x:f>Tipos!B14</x:f>
        <x:v>Pilar</x:v>
      </x:c>
      <x:c r="C15" s="12" t="str">
        <x:f>IF('Execução'!H14="","",'Execução'!H14)</x:f>
      </x:c>
      <x:c r="D15" s="12" t="str">
        <x:f>IF('Execução'!J14="","",'Execução'!J14)</x:f>
      </x:c>
      <x:c r="E15" s="12" t="str">
        <x:f>IF('Execução'!L14="","",'Execução'!L14)</x:f>
      </x:c>
      <x:c r="F15" s="11"/>
      <x:c r="G15" s="12" t="str">
        <x:f>IF(F15="","",IF(AND(ISNUMBER(F15),F15&gt;=0,Tipos!M14&gt;0),F15*Tipos!M14,"Pendente"))</x:f>
      </x:c>
      <x:c r="H15" s="2" t="str">
        <x:f>IF('Execução'!P14="","",'Execução'!P14)</x:f>
      </x:c>
      <x:c r="I15" s="2" t="str">
        <x:f>IF(AND(C15="",D15="",E15="",G15="",'Execução'!O14=""),"",IF(OR($B$4="",$D$4="",$D$4&lt;$B$4,'Execução'!O14="Pendente",G15="Pendente",AND(F15&lt;&gt;"",H15="")),"Pendente","Para conferência"))</x:f>
      </x:c>
      <x:c r="J15" s="2"/>
    </x:row>
    <x:row r="16" ht="25" customHeight="1">
      <x:c r="A16" s="2" t="str">
        <x:f>Tipos!A15</x:f>
        <x:v>P5-P1</x:v>
      </x:c>
      <x:c r="B16" s="2" t="str">
        <x:f>Tipos!B15</x:f>
        <x:v>Pilar</x:v>
      </x:c>
      <x:c r="C16" s="12" t="str">
        <x:f>IF('Execução'!H15="","",'Execução'!H15)</x:f>
      </x:c>
      <x:c r="D16" s="12" t="str">
        <x:f>IF('Execução'!J15="","",'Execução'!J15)</x:f>
      </x:c>
      <x:c r="E16" s="12" t="str">
        <x:f>IF('Execução'!L15="","",'Execução'!L15)</x:f>
      </x:c>
      <x:c r="F16" s="11"/>
      <x:c r="G16" s="12" t="str">
        <x:f>IF(F16="","",IF(AND(ISNUMBER(F16),F16&gt;=0,Tipos!M15&gt;0),F16*Tipos!M15,"Pendente"))</x:f>
      </x:c>
      <x:c r="H16" s="2" t="str">
        <x:f>IF('Execução'!P15="","",'Execução'!P15)</x:f>
      </x:c>
      <x:c r="I16" s="2" t="str">
        <x:f>IF(AND(C16="",D16="",E16="",G16="",'Execução'!O15=""),"",IF(OR($B$4="",$D$4="",$D$4&lt;$B$4,'Execução'!O15="Pendente",G16="Pendente",AND(F16&lt;&gt;"",H16="")),"Pendente","Para conferência"))</x:f>
      </x:c>
      <x:c r="J16" s="2"/>
    </x:row>
    <x:row r="17" ht="25" customHeight="1">
      <x:c r="A17" s="2" t="str">
        <x:f>Tipos!A16</x:f>
        <x:v>P6-P0</x:v>
      </x:c>
      <x:c r="B17" s="2" t="str">
        <x:f>Tipos!B16</x:f>
        <x:v>Pilar</x:v>
      </x:c>
      <x:c r="C17" s="12" t="str">
        <x:f>IF('Execução'!H16="","",'Execução'!H16)</x:f>
      </x:c>
      <x:c r="D17" s="12" t="str">
        <x:f>IF('Execução'!J16="","",'Execução'!J16)</x:f>
      </x:c>
      <x:c r="E17" s="12" t="str">
        <x:f>IF('Execução'!L16="","",'Execução'!L16)</x:f>
      </x:c>
      <x:c r="F17" s="11"/>
      <x:c r="G17" s="12" t="str">
        <x:f>IF(F17="","",IF(AND(ISNUMBER(F17),F17&gt;=0,Tipos!M16&gt;0),F17*Tipos!M16,"Pendente"))</x:f>
      </x:c>
      <x:c r="H17" s="2" t="str">
        <x:f>IF('Execução'!P16="","",'Execução'!P16)</x:f>
      </x:c>
      <x:c r="I17" s="2" t="str">
        <x:f>IF(AND(C17="",D17="",E17="",G17="",'Execução'!O16=""),"",IF(OR($B$4="",$D$4="",$D$4&lt;$B$4,'Execução'!O16="Pendente",G17="Pendente",AND(F17&lt;&gt;"",H17="")),"Pendente","Para conferência"))</x:f>
      </x:c>
      <x:c r="J17" s="2"/>
    </x:row>
    <x:row r="18" ht="25" customHeight="1">
      <x:c r="A18" s="2" t="str">
        <x:f>Tipos!A17</x:f>
        <x:v>P6-P1</x:v>
      </x:c>
      <x:c r="B18" s="2" t="str">
        <x:f>Tipos!B17</x:f>
        <x:v>Pilar</x:v>
      </x:c>
      <x:c r="C18" s="12" t="str">
        <x:f>IF('Execução'!H17="","",'Execução'!H17)</x:f>
      </x:c>
      <x:c r="D18" s="12" t="str">
        <x:f>IF('Execução'!J17="","",'Execução'!J17)</x:f>
      </x:c>
      <x:c r="E18" s="12" t="str">
        <x:f>IF('Execução'!L17="","",'Execução'!L17)</x:f>
      </x:c>
      <x:c r="F18" s="11"/>
      <x:c r="G18" s="12" t="str">
        <x:f>IF(F18="","",IF(AND(ISNUMBER(F18),F18&gt;=0,Tipos!M17&gt;0),F18*Tipos!M17,"Pendente"))</x:f>
      </x:c>
      <x:c r="H18" s="2" t="str">
        <x:f>IF('Execução'!P17="","",'Execução'!P17)</x:f>
      </x:c>
      <x:c r="I18" s="2" t="str">
        <x:f>IF(AND(C18="",D18="",E18="",G18="",'Execução'!O17=""),"",IF(OR($B$4="",$D$4="",$D$4&lt;$B$4,'Execução'!O17="Pendente",G18="Pendente",AND(F18&lt;&gt;"",H18="")),"Pendente","Para conferência"))</x:f>
      </x:c>
      <x:c r="J18" s="2"/>
    </x:row>
    <x:row r="19" ht="25" customHeight="1">
      <x:c r="A19" s="2" t="str">
        <x:f>Tipos!A18</x:f>
        <x:v>P7-P0</x:v>
      </x:c>
      <x:c r="B19" s="2" t="str">
        <x:f>Tipos!B18</x:f>
        <x:v>Pilar</x:v>
      </x:c>
      <x:c r="C19" s="12" t="str">
        <x:f>IF('Execução'!H18="","",'Execução'!H18)</x:f>
      </x:c>
      <x:c r="D19" s="12" t="str">
        <x:f>IF('Execução'!J18="","",'Execução'!J18)</x:f>
      </x:c>
      <x:c r="E19" s="12" t="str">
        <x:f>IF('Execução'!L18="","",'Execução'!L18)</x:f>
      </x:c>
      <x:c r="F19" s="11"/>
      <x:c r="G19" s="12" t="str">
        <x:f>IF(F19="","",IF(AND(ISNUMBER(F19),F19&gt;=0,Tipos!M18&gt;0),F19*Tipos!M18,"Pendente"))</x:f>
      </x:c>
      <x:c r="H19" s="2" t="str">
        <x:f>IF('Execução'!P18="","",'Execução'!P18)</x:f>
      </x:c>
      <x:c r="I19" s="2" t="str">
        <x:f>IF(AND(C19="",D19="",E19="",G19="",'Execução'!O18=""),"",IF(OR($B$4="",$D$4="",$D$4&lt;$B$4,'Execução'!O18="Pendente",G19="Pendente",AND(F19&lt;&gt;"",H19="")),"Pendente","Para conferência"))</x:f>
      </x:c>
      <x:c r="J19" s="2"/>
    </x:row>
    <x:row r="20" ht="25" customHeight="1">
      <x:c r="A20" s="2" t="str">
        <x:f>Tipos!A19</x:f>
        <x:v>P7-P1</x:v>
      </x:c>
      <x:c r="B20" s="2" t="str">
        <x:f>Tipos!B19</x:f>
        <x:v>Pilar</x:v>
      </x:c>
      <x:c r="C20" s="12" t="str">
        <x:f>IF('Execução'!H19="","",'Execução'!H19)</x:f>
      </x:c>
      <x:c r="D20" s="12" t="str">
        <x:f>IF('Execução'!J19="","",'Execução'!J19)</x:f>
      </x:c>
      <x:c r="E20" s="12" t="str">
        <x:f>IF('Execução'!L19="","",'Execução'!L19)</x:f>
      </x:c>
      <x:c r="F20" s="11"/>
      <x:c r="G20" s="12" t="str">
        <x:f>IF(F20="","",IF(AND(ISNUMBER(F20),F20&gt;=0,Tipos!M19&gt;0),F20*Tipos!M19,"Pendente"))</x:f>
      </x:c>
      <x:c r="H20" s="2" t="str">
        <x:f>IF('Execução'!P19="","",'Execução'!P19)</x:f>
      </x:c>
      <x:c r="I20" s="2" t="str">
        <x:f>IF(AND(C20="",D20="",E20="",G20="",'Execução'!O19=""),"",IF(OR($B$4="",$D$4="",$D$4&lt;$B$4,'Execução'!O19="Pendente",G20="Pendente",AND(F20&lt;&gt;"",H20="")),"Pendente","Para conferência"))</x:f>
      </x:c>
      <x:c r="J20" s="2"/>
    </x:row>
    <x:row r="21" ht="25" customHeight="1">
      <x:c r="A21" s="2" t="str">
        <x:f>Tipos!A20</x:f>
        <x:v>P7-COB</x:v>
      </x:c>
      <x:c r="B21" s="2" t="str">
        <x:f>Tipos!B20</x:f>
        <x:v>Pilar</x:v>
      </x:c>
      <x:c r="C21" s="12" t="str">
        <x:f>IF('Execução'!H20="","",'Execução'!H20)</x:f>
      </x:c>
      <x:c r="D21" s="12" t="str">
        <x:f>IF('Execução'!J20="","",'Execução'!J20)</x:f>
      </x:c>
      <x:c r="E21" s="12" t="str">
        <x:f>IF('Execução'!L20="","",'Execução'!L20)</x:f>
      </x:c>
      <x:c r="F21" s="11"/>
      <x:c r="G21" s="12" t="str">
        <x:f>IF(F21="","",IF(AND(ISNUMBER(F21),F21&gt;=0,Tipos!M20&gt;0),F21*Tipos!M20,"Pendente"))</x:f>
      </x:c>
      <x:c r="H21" s="2" t="str">
        <x:f>IF('Execução'!P20="","",'Execução'!P20)</x:f>
      </x:c>
      <x:c r="I21" s="2" t="str">
        <x:f>IF(AND(C21="",D21="",E21="",G21="",'Execução'!O20=""),"",IF(OR($B$4="",$D$4="",$D$4&lt;$B$4,'Execução'!O20="Pendente",G21="Pendente",AND(F21&lt;&gt;"",H21="")),"Pendente","Para conferência"))</x:f>
      </x:c>
      <x:c r="J21" s="2"/>
    </x:row>
    <x:row r="22" ht="25" customHeight="1">
      <x:c r="A22" s="2" t="str">
        <x:f>Tipos!A21</x:f>
        <x:v>P8-P0</x:v>
      </x:c>
      <x:c r="B22" s="2" t="str">
        <x:f>Tipos!B21</x:f>
        <x:v>Pilar</x:v>
      </x:c>
      <x:c r="C22" s="12" t="str">
        <x:f>IF('Execução'!H21="","",'Execução'!H21)</x:f>
      </x:c>
      <x:c r="D22" s="12" t="str">
        <x:f>IF('Execução'!J21="","",'Execução'!J21)</x:f>
      </x:c>
      <x:c r="E22" s="12" t="str">
        <x:f>IF('Execução'!L21="","",'Execução'!L21)</x:f>
      </x:c>
      <x:c r="F22" s="11"/>
      <x:c r="G22" s="12" t="str">
        <x:f>IF(F22="","",IF(AND(ISNUMBER(F22),F22&gt;=0,Tipos!M21&gt;0),F22*Tipos!M21,"Pendente"))</x:f>
      </x:c>
      <x:c r="H22" s="2" t="str">
        <x:f>IF('Execução'!P21="","",'Execução'!P21)</x:f>
      </x:c>
      <x:c r="I22" s="2" t="str">
        <x:f>IF(AND(C22="",D22="",E22="",G22="",'Execução'!O21=""),"",IF(OR($B$4="",$D$4="",$D$4&lt;$B$4,'Execução'!O21="Pendente",G22="Pendente",AND(F22&lt;&gt;"",H22="")),"Pendente","Para conferência"))</x:f>
      </x:c>
      <x:c r="J22" s="2"/>
    </x:row>
    <x:row r="23" ht="25" customHeight="1">
      <x:c r="A23" s="2" t="str">
        <x:f>Tipos!A22</x:f>
        <x:v>P8-P1</x:v>
      </x:c>
      <x:c r="B23" s="2" t="str">
        <x:f>Tipos!B22</x:f>
        <x:v>Pilar</x:v>
      </x:c>
      <x:c r="C23" s="12" t="str">
        <x:f>IF('Execução'!H22="","",'Execução'!H22)</x:f>
      </x:c>
      <x:c r="D23" s="12" t="str">
        <x:f>IF('Execução'!J22="","",'Execução'!J22)</x:f>
      </x:c>
      <x:c r="E23" s="12" t="str">
        <x:f>IF('Execução'!L22="","",'Execução'!L22)</x:f>
      </x:c>
      <x:c r="F23" s="11"/>
      <x:c r="G23" s="12" t="str">
        <x:f>IF(F23="","",IF(AND(ISNUMBER(F23),F23&gt;=0,Tipos!M22&gt;0),F23*Tipos!M22,"Pendente"))</x:f>
      </x:c>
      <x:c r="H23" s="2" t="str">
        <x:f>IF('Execução'!P22="","",'Execução'!P22)</x:f>
      </x:c>
      <x:c r="I23" s="2" t="str">
        <x:f>IF(AND(C23="",D23="",E23="",G23="",'Execução'!O22=""),"",IF(OR($B$4="",$D$4="",$D$4&lt;$B$4,'Execução'!O22="Pendente",G23="Pendente",AND(F23&lt;&gt;"",H23="")),"Pendente","Para conferência"))</x:f>
      </x:c>
      <x:c r="J23" s="2"/>
    </x:row>
    <x:row r="24" ht="25" customHeight="1">
      <x:c r="A24" s="2" t="str">
        <x:f>Tipos!A23</x:f>
        <x:v>P9-COB</x:v>
      </x:c>
      <x:c r="B24" s="2" t="str">
        <x:f>Tipos!B23</x:f>
        <x:v>Pilar</x:v>
      </x:c>
      <x:c r="C24" s="12" t="str">
        <x:f>IF('Execução'!H23="","",'Execução'!H23)</x:f>
      </x:c>
      <x:c r="D24" s="12" t="str">
        <x:f>IF('Execução'!J23="","",'Execução'!J23)</x:f>
      </x:c>
      <x:c r="E24" s="12" t="str">
        <x:f>IF('Execução'!L23="","",'Execução'!L23)</x:f>
      </x:c>
      <x:c r="F24" s="11"/>
      <x:c r="G24" s="12" t="str">
        <x:f>IF(F24="","",IF(AND(ISNUMBER(F24),F24&gt;=0,Tipos!M23&gt;0),F24*Tipos!M23,"Pendente"))</x:f>
      </x:c>
      <x:c r="H24" s="2" t="str">
        <x:f>IF('Execução'!P23="","",'Execução'!P23)</x:f>
      </x:c>
      <x:c r="I24" s="2" t="str">
        <x:f>IF(AND(C24="",D24="",E24="",G24="",'Execução'!O23=""),"",IF(OR($B$4="",$D$4="",$D$4&lt;$B$4,'Execução'!O23="Pendente",G24="Pendente",AND(F24&lt;&gt;"",H24="")),"Pendente","Para conferência"))</x:f>
      </x:c>
      <x:c r="J24" s="2"/>
    </x:row>
    <x:row r="25" ht="25" customHeight="1">
      <x:c r="A25" s="2" t="str">
        <x:f>Tipos!A24</x:f>
        <x:v>P10-COB</x:v>
      </x:c>
      <x:c r="B25" s="2" t="str">
        <x:f>Tipos!B24</x:f>
        <x:v>Pilar</x:v>
      </x:c>
      <x:c r="C25" s="12" t="str">
        <x:f>IF('Execução'!H24="","",'Execução'!H24)</x:f>
      </x:c>
      <x:c r="D25" s="12" t="str">
        <x:f>IF('Execução'!J24="","",'Execução'!J24)</x:f>
      </x:c>
      <x:c r="E25" s="12" t="str">
        <x:f>IF('Execução'!L24="","",'Execução'!L24)</x:f>
      </x:c>
      <x:c r="F25" s="11"/>
      <x:c r="G25" s="12" t="str">
        <x:f>IF(F25="","",IF(AND(ISNUMBER(F25),F25&gt;=0,Tipos!M24&gt;0),F25*Tipos!M24,"Pendente"))</x:f>
      </x:c>
      <x:c r="H25" s="2" t="str">
        <x:f>IF('Execução'!P24="","",'Execução'!P24)</x:f>
      </x:c>
      <x:c r="I25" s="2" t="str">
        <x:f>IF(AND(C25="",D25="",E25="",G25="",'Execução'!O24=""),"",IF(OR($B$4="",$D$4="",$D$4&lt;$B$4,'Execução'!O24="Pendente",G25="Pendente",AND(F25&lt;&gt;"",H25="")),"Pendente","Para conferência"))</x:f>
      </x:c>
      <x:c r="J25" s="2"/>
    </x:row>
    <x:row r="26" ht="25" customHeight="1">
      <x:c r="A26" s="2" t="str">
        <x:f>Tipos!A25</x:f>
        <x:v>P11-COB</x:v>
      </x:c>
      <x:c r="B26" s="2" t="str">
        <x:f>Tipos!B25</x:f>
        <x:v>Pilar</x:v>
      </x:c>
      <x:c r="C26" s="12" t="str">
        <x:f>IF('Execução'!H25="","",'Execução'!H25)</x:f>
      </x:c>
      <x:c r="D26" s="12" t="str">
        <x:f>IF('Execução'!J25="","",'Execução'!J25)</x:f>
      </x:c>
      <x:c r="E26" s="12" t="str">
        <x:f>IF('Execução'!L25="","",'Execução'!L25)</x:f>
      </x:c>
      <x:c r="F26" s="11"/>
      <x:c r="G26" s="12" t="str">
        <x:f>IF(F26="","",IF(AND(ISNUMBER(F26),F26&gt;=0,Tipos!M25&gt;0),F26*Tipos!M25,"Pendente"))</x:f>
      </x:c>
      <x:c r="H26" s="2" t="str">
        <x:f>IF('Execução'!P25="","",'Execução'!P25)</x:f>
      </x:c>
      <x:c r="I26" s="2" t="str">
        <x:f>IF(AND(C26="",D26="",E26="",G26="",'Execução'!O25=""),"",IF(OR($B$4="",$D$4="",$D$4&lt;$B$4,'Execução'!O25="Pendente",G26="Pendente",AND(F26&lt;&gt;"",H26="")),"Pendente","Para conferência"))</x:f>
      </x:c>
      <x:c r="J26" s="2"/>
    </x:row>
    <x:row r="27" ht="25" customHeight="1">
      <x:c r="A27" s="2" t="str">
        <x:f>Tipos!A26</x:f>
        <x:v>S1</x:v>
      </x:c>
      <x:c r="B27" s="2" t="str">
        <x:f>Tipos!B26</x:f>
        <x:v>Sapata isolada</x:v>
      </x:c>
      <x:c r="C27" s="12" t="str">
        <x:f>IF('Execução'!H26="","",'Execução'!H26)</x:f>
      </x:c>
      <x:c r="D27" s="12" t="str">
        <x:f>IF('Execução'!J26="","",'Execução'!J26)</x:f>
      </x:c>
      <x:c r="E27" s="12" t="str">
        <x:f>IF('Execução'!L26="","",'Execução'!L26)</x:f>
      </x:c>
      <x:c r="F27" s="11"/>
      <x:c r="G27" s="12" t="str">
        <x:f>IF(F27="","",IF(AND(ISNUMBER(F27),F27&gt;=0,Tipos!M26&gt;0),F27*Tipos!M26,"Pendente"))</x:f>
      </x:c>
      <x:c r="H27" s="2" t="str">
        <x:f>IF('Execução'!P26="","",'Execução'!P26)</x:f>
      </x:c>
      <x:c r="I27" s="2" t="str">
        <x:f>IF(AND(C27="",D27="",E27="",G27="",'Execução'!O26=""),"",IF(OR($B$4="",$D$4="",$D$4&lt;$B$4,'Execução'!O26="Pendente",G27="Pendente",AND(F27&lt;&gt;"",H27="")),"Pendente","Para conferência"))</x:f>
      </x:c>
      <x:c r="J27" s="2"/>
    </x:row>
    <x:row r="28" ht="25" customHeight="1">
      <x:c r="A28" s="2" t="str">
        <x:f>Tipos!A27</x:f>
        <x:v>S2</x:v>
      </x:c>
      <x:c r="B28" s="2" t="str">
        <x:f>Tipos!B27</x:f>
        <x:v>Sapata isolada</x:v>
      </x:c>
      <x:c r="C28" s="12" t="str">
        <x:f>IF('Execução'!H27="","",'Execução'!H27)</x:f>
      </x:c>
      <x:c r="D28" s="12" t="str">
        <x:f>IF('Execução'!J27="","",'Execução'!J27)</x:f>
      </x:c>
      <x:c r="E28" s="12" t="str">
        <x:f>IF('Execução'!L27="","",'Execução'!L27)</x:f>
      </x:c>
      <x:c r="F28" s="11"/>
      <x:c r="G28" s="12" t="str">
        <x:f>IF(F28="","",IF(AND(ISNUMBER(F28),F28&gt;=0,Tipos!M27&gt;0),F28*Tipos!M27,"Pendente"))</x:f>
      </x:c>
      <x:c r="H28" s="2" t="str">
        <x:f>IF('Execução'!P27="","",'Execução'!P27)</x:f>
      </x:c>
      <x:c r="I28" s="2" t="str">
        <x:f>IF(AND(C28="",D28="",E28="",G28="",'Execução'!O27=""),"",IF(OR($B$4="",$D$4="",$D$4&lt;$B$4,'Execução'!O27="Pendente",G28="Pendente",AND(F28&lt;&gt;"",H28="")),"Pendente","Para conferência"))</x:f>
      </x:c>
      <x:c r="J28" s="2"/>
    </x:row>
    <x:row r="29" ht="25" customHeight="1">
      <x:c r="A29" s="2" t="str">
        <x:f>Tipos!A28</x:f>
        <x:v>S3</x:v>
      </x:c>
      <x:c r="B29" s="2" t="str">
        <x:f>Tipos!B28</x:f>
        <x:v>Sapata isolada</x:v>
      </x:c>
      <x:c r="C29" s="12" t="str">
        <x:f>IF('Execução'!H28="","",'Execução'!H28)</x:f>
      </x:c>
      <x:c r="D29" s="12" t="str">
        <x:f>IF('Execução'!J28="","",'Execução'!J28)</x:f>
      </x:c>
      <x:c r="E29" s="12" t="str">
        <x:f>IF('Execução'!L28="","",'Execução'!L28)</x:f>
      </x:c>
      <x:c r="F29" s="11"/>
      <x:c r="G29" s="12" t="str">
        <x:f>IF(F29="","",IF(AND(ISNUMBER(F29),F29&gt;=0,Tipos!M28&gt;0),F29*Tipos!M28,"Pendente"))</x:f>
      </x:c>
      <x:c r="H29" s="2" t="str">
        <x:f>IF('Execução'!P28="","",'Execução'!P28)</x:f>
      </x:c>
      <x:c r="I29" s="2" t="str">
        <x:f>IF(AND(C29="",D29="",E29="",G29="",'Execução'!O28=""),"",IF(OR($B$4="",$D$4="",$D$4&lt;$B$4,'Execução'!O28="Pendente",G29="Pendente",AND(F29&lt;&gt;"",H29="")),"Pendente","Para conferência"))</x:f>
      </x:c>
      <x:c r="J29" s="2"/>
    </x:row>
    <x:row r="30" ht="25" customHeight="1">
      <x:c r="A30" s="2" t="str">
        <x:f>Tipos!A29</x:f>
        <x:v>S4</x:v>
      </x:c>
      <x:c r="B30" s="2" t="str">
        <x:f>Tipos!B29</x:f>
        <x:v>Sapata isolada</x:v>
      </x:c>
      <x:c r="C30" s="12" t="str">
        <x:f>IF('Execução'!H29="","",'Execução'!H29)</x:f>
      </x:c>
      <x:c r="D30" s="12" t="str">
        <x:f>IF('Execução'!J29="","",'Execução'!J29)</x:f>
      </x:c>
      <x:c r="E30" s="12" t="str">
        <x:f>IF('Execução'!L29="","",'Execução'!L29)</x:f>
      </x:c>
      <x:c r="F30" s="11"/>
      <x:c r="G30" s="12" t="str">
        <x:f>IF(F30="","",IF(AND(ISNUMBER(F30),F30&gt;=0,Tipos!M29&gt;0),F30*Tipos!M29,"Pendente"))</x:f>
      </x:c>
      <x:c r="H30" s="2" t="str">
        <x:f>IF('Execução'!P29="","",'Execução'!P29)</x:f>
      </x:c>
      <x:c r="I30" s="2" t="str">
        <x:f>IF(AND(C30="",D30="",E30="",G30="",'Execução'!O29=""),"",IF(OR($B$4="",$D$4="",$D$4&lt;$B$4,'Execução'!O29="Pendente",G30="Pendente",AND(F30&lt;&gt;"",H30="")),"Pendente","Para conferência"))</x:f>
      </x:c>
      <x:c r="J30" s="2"/>
    </x:row>
    <x:row r="31" ht="25" customHeight="1">
      <x:c r="A31" s="2" t="str">
        <x:f>Tipos!A30</x:f>
        <x:v>S5</x:v>
      </x:c>
      <x:c r="B31" s="2" t="str">
        <x:f>Tipos!B30</x:f>
        <x:v>Sapata isolada</x:v>
      </x:c>
      <x:c r="C31" s="12" t="str">
        <x:f>IF('Execução'!H30="","",'Execução'!H30)</x:f>
      </x:c>
      <x:c r="D31" s="12" t="str">
        <x:f>IF('Execução'!J30="","",'Execução'!J30)</x:f>
      </x:c>
      <x:c r="E31" s="12" t="str">
        <x:f>IF('Execução'!L30="","",'Execução'!L30)</x:f>
      </x:c>
      <x:c r="F31" s="11"/>
      <x:c r="G31" s="12" t="str">
        <x:f>IF(F31="","",IF(AND(ISNUMBER(F31),F31&gt;=0,Tipos!M30&gt;0),F31*Tipos!M30,"Pendente"))</x:f>
      </x:c>
      <x:c r="H31" s="2" t="str">
        <x:f>IF('Execução'!P30="","",'Execução'!P30)</x:f>
      </x:c>
      <x:c r="I31" s="2" t="str">
        <x:f>IF(AND(C31="",D31="",E31="",G31="",'Execução'!O30=""),"",IF(OR($B$4="",$D$4="",$D$4&lt;$B$4,'Execução'!O30="Pendente",G31="Pendente",AND(F31&lt;&gt;"",H31="")),"Pendente","Para conferência"))</x:f>
      </x:c>
      <x:c r="J31" s="2"/>
    </x:row>
    <x:row r="32" ht="25" customHeight="1">
      <x:c r="A32" s="2" t="str">
        <x:f>Tipos!A31</x:f>
        <x:v>S6</x:v>
      </x:c>
      <x:c r="B32" s="2" t="str">
        <x:f>Tipos!B31</x:f>
        <x:v>Sapata isolada</x:v>
      </x:c>
      <x:c r="C32" s="12" t="str">
        <x:f>IF('Execução'!H31="","",'Execução'!H31)</x:f>
      </x:c>
      <x:c r="D32" s="12" t="str">
        <x:f>IF('Execução'!J31="","",'Execução'!J31)</x:f>
      </x:c>
      <x:c r="E32" s="12" t="str">
        <x:f>IF('Execução'!L31="","",'Execução'!L31)</x:f>
      </x:c>
      <x:c r="F32" s="11"/>
      <x:c r="G32" s="12" t="str">
        <x:f>IF(F32="","",IF(AND(ISNUMBER(F32),F32&gt;=0,Tipos!M31&gt;0),F32*Tipos!M31,"Pendente"))</x:f>
      </x:c>
      <x:c r="H32" s="2" t="str">
        <x:f>IF('Execução'!P31="","",'Execução'!P31)</x:f>
      </x:c>
      <x:c r="I32" s="2" t="str">
        <x:f>IF(AND(C32="",D32="",E32="",G32="",'Execução'!O31=""),"",IF(OR($B$4="",$D$4="",$D$4&lt;$B$4,'Execução'!O31="Pendente",G32="Pendente",AND(F32&lt;&gt;"",H32="")),"Pendente","Para conferência"))</x:f>
      </x:c>
      <x:c r="J32" s="2"/>
    </x:row>
    <x:row r="33" ht="25" customHeight="1">
      <x:c r="A33" s="2" t="str">
        <x:f>Tipos!A32</x:f>
        <x:v>S7</x:v>
      </x:c>
      <x:c r="B33" s="2" t="str">
        <x:f>Tipos!B32</x:f>
        <x:v>Sapata isolada</x:v>
      </x:c>
      <x:c r="C33" s="12" t="str">
        <x:f>IF('Execução'!H32="","",'Execução'!H32)</x:f>
      </x:c>
      <x:c r="D33" s="12" t="str">
        <x:f>IF('Execução'!J32="","",'Execução'!J32)</x:f>
      </x:c>
      <x:c r="E33" s="12" t="str">
        <x:f>IF('Execução'!L32="","",'Execução'!L32)</x:f>
      </x:c>
      <x:c r="F33" s="11"/>
      <x:c r="G33" s="12" t="str">
        <x:f>IF(F33="","",IF(AND(ISNUMBER(F33),F33&gt;=0,Tipos!M32&gt;0),F33*Tipos!M32,"Pendente"))</x:f>
      </x:c>
      <x:c r="H33" s="2" t="str">
        <x:f>IF('Execução'!P32="","",'Execução'!P32)</x:f>
      </x:c>
      <x:c r="I33" s="2" t="str">
        <x:f>IF(AND(C33="",D33="",E33="",G33="",'Execução'!O32=""),"",IF(OR($B$4="",$D$4="",$D$4&lt;$B$4,'Execução'!O32="Pendente",G33="Pendente",AND(F33&lt;&gt;"",H33="")),"Pendente","Para conferência"))</x:f>
      </x:c>
      <x:c r="J33" s="2"/>
    </x:row>
    <x:row r="34" ht="25" customHeight="1">
      <x:c r="A34" s="2" t="str">
        <x:f>Tipos!A33</x:f>
        <x:v>SAP-Pb1</x:v>
      </x:c>
      <x:c r="B34" s="2" t="str">
        <x:f>Tipos!B33</x:f>
        <x:v>Sapata contínua</x:v>
      </x:c>
      <x:c r="C34" s="12" t="str">
        <x:f>IF('Execução'!H33="","",'Execução'!H33)</x:f>
      </x:c>
      <x:c r="D34" s="12" t="str">
        <x:f>IF('Execução'!J33="","",'Execução'!J33)</x:f>
      </x:c>
      <x:c r="E34" s="12" t="str">
        <x:f>IF('Execução'!L33="","",'Execução'!L33)</x:f>
      </x:c>
      <x:c r="F34" s="11"/>
      <x:c r="G34" s="12" t="str">
        <x:f>IF(F34="","",IF(AND(ISNUMBER(F34),F34&gt;=0,Tipos!M33&gt;0),F34*Tipos!M33,"Pendente"))</x:f>
      </x:c>
      <x:c r="H34" s="2" t="str">
        <x:f>IF('Execução'!P33="","",'Execução'!P33)</x:f>
      </x:c>
      <x:c r="I34" s="2" t="str">
        <x:f>IF(AND(C34="",D34="",E34="",G34="",'Execução'!O33=""),"",IF(OR($B$4="",$D$4="",$D$4&lt;$B$4,'Execução'!O33="Pendente",G34="Pendente",AND(F34&lt;&gt;"",H34="")),"Pendente","Para conferência"))</x:f>
      </x:c>
      <x:c r="J34" s="2"/>
    </x:row>
    <x:row r="35" ht="25" customHeight="1">
      <x:c r="A35" s="2" t="str">
        <x:f>Tipos!A34</x:f>
        <x:v>MS.1-MURO</x:v>
      </x:c>
      <x:c r="B35" s="2" t="str">
        <x:f>Tipos!B34</x:f>
        <x:v>Muro</x:v>
      </x:c>
      <x:c r="C35" s="12" t="str">
        <x:f>IF('Execução'!H34="","",'Execução'!H34)</x:f>
      </x:c>
      <x:c r="D35" s="12" t="str">
        <x:f>IF('Execução'!J34="","",'Execução'!J34)</x:f>
      </x:c>
      <x:c r="E35" s="12" t="str">
        <x:f>IF('Execução'!L34="","",'Execução'!L34)</x:f>
      </x:c>
      <x:c r="F35" s="11"/>
      <x:c r="G35" s="12" t="str">
        <x:f>IF(F35="","",IF(AND(ISNUMBER(F35),F35&gt;=0,Tipos!M34&gt;0),F35*Tipos!M34,"Pendente"))</x:f>
      </x:c>
      <x:c r="H35" s="2" t="str">
        <x:f>IF('Execução'!P34="","",'Execução'!P34)</x:f>
      </x:c>
      <x:c r="I35" s="2" t="str">
        <x:f>IF(AND(C35="",D35="",E35="",G35="",'Execução'!O34=""),"",IF(OR($B$4="",$D$4="",$D$4&lt;$B$4,'Execução'!O34="Pendente",G35="Pendente",AND(F35&lt;&gt;"",H35="")),"Pendente","Para conferência"))</x:f>
      </x:c>
      <x:c r="J35" s="2"/>
    </x:row>
    <x:row r="36" ht="25" customHeight="1">
      <x:c r="A36" s="2" t="str">
        <x:f>Tipos!A35</x:f>
        <x:v>MS.1-SAP</x:v>
      </x:c>
      <x:c r="B36" s="2" t="str">
        <x:f>Tipos!B35</x:f>
        <x:v>Sapata de muro</x:v>
      </x:c>
      <x:c r="C36" s="12" t="str">
        <x:f>IF('Execução'!H35="","",'Execução'!H35)</x:f>
      </x:c>
      <x:c r="D36" s="12" t="str">
        <x:f>IF('Execução'!J35="","",'Execução'!J35)</x:f>
      </x:c>
      <x:c r="E36" s="12" t="str">
        <x:f>IF('Execução'!L35="","",'Execução'!L35)</x:f>
      </x:c>
      <x:c r="F36" s="11"/>
      <x:c r="G36" s="12" t="str">
        <x:f>IF(F36="","",IF(AND(ISNUMBER(F36),F36&gt;=0,Tipos!M35&gt;0),F36*Tipos!M35,"Pendente"))</x:f>
      </x:c>
      <x:c r="H36" s="2" t="str">
        <x:f>IF('Execução'!P35="","",'Execução'!P35)</x:f>
      </x:c>
      <x:c r="I36" s="2" t="str">
        <x:f>IF(AND(C36="",D36="",E36="",G36="",'Execução'!O35=""),"",IF(OR($B$4="",$D$4="",$D$4&lt;$B$4,'Execução'!O35="Pendente",G36="Pendente",AND(F36&lt;&gt;"",H36="")),"Pendente","Para conferência"))</x:f>
      </x:c>
      <x:c r="J36" s="2"/>
    </x:row>
    <x:row r="37" ht="25" customHeight="1">
      <x:c r="A37" s="2" t="str">
        <x:f>Tipos!A36</x:f>
        <x:v>MS.2-MURO</x:v>
      </x:c>
      <x:c r="B37" s="2" t="str">
        <x:f>Tipos!B36</x:f>
        <x:v>Muro</x:v>
      </x:c>
      <x:c r="C37" s="12" t="str">
        <x:f>IF('Execução'!H36="","",'Execução'!H36)</x:f>
      </x:c>
      <x:c r="D37" s="12" t="str">
        <x:f>IF('Execução'!J36="","",'Execução'!J36)</x:f>
      </x:c>
      <x:c r="E37" s="12" t="str">
        <x:f>IF('Execução'!L36="","",'Execução'!L36)</x:f>
      </x:c>
      <x:c r="F37" s="11"/>
      <x:c r="G37" s="12" t="str">
        <x:f>IF(F37="","",IF(AND(ISNUMBER(F37),F37&gt;=0,Tipos!M36&gt;0),F37*Tipos!M36,"Pendente"))</x:f>
      </x:c>
      <x:c r="H37" s="2" t="str">
        <x:f>IF('Execução'!P36="","",'Execução'!P36)</x:f>
      </x:c>
      <x:c r="I37" s="2" t="str">
        <x:f>IF(AND(C37="",D37="",E37="",G37="",'Execução'!O36=""),"",IF(OR($B$4="",$D$4="",$D$4&lt;$B$4,'Execução'!O36="Pendente",G37="Pendente",AND(F37&lt;&gt;"",H37="")),"Pendente","Para conferência"))</x:f>
      </x:c>
      <x:c r="J37" s="2"/>
    </x:row>
    <x:row r="38" ht="25" customHeight="1">
      <x:c r="A38" s="2" t="str">
        <x:f>Tipos!A37</x:f>
        <x:v>MS.2-SAP</x:v>
      </x:c>
      <x:c r="B38" s="2" t="str">
        <x:f>Tipos!B37</x:f>
        <x:v>Sapata de muro</x:v>
      </x:c>
      <x:c r="C38" s="12" t="str">
        <x:f>IF('Execução'!H37="","",'Execução'!H37)</x:f>
      </x:c>
      <x:c r="D38" s="12" t="str">
        <x:f>IF('Execução'!J37="","",'Execução'!J37)</x:f>
      </x:c>
      <x:c r="E38" s="12" t="str">
        <x:f>IF('Execução'!L37="","",'Execução'!L37)</x:f>
      </x:c>
      <x:c r="F38" s="11"/>
      <x:c r="G38" s="12" t="str">
        <x:f>IF(F38="","",IF(AND(ISNUMBER(F38),F38&gt;=0,Tipos!M37&gt;0),F38*Tipos!M37,"Pendente"))</x:f>
      </x:c>
      <x:c r="H38" s="2" t="str">
        <x:f>IF('Execução'!P37="","",'Execução'!P37)</x:f>
      </x:c>
      <x:c r="I38" s="2" t="str">
        <x:f>IF(AND(C38="",D38="",E38="",G38="",'Execução'!O37=""),"",IF(OR($B$4="",$D$4="",$D$4&lt;$B$4,'Execução'!O37="Pendente",G38="Pendente",AND(F38&lt;&gt;"",H38="")),"Pendente","Para conferência"))</x:f>
      </x:c>
      <x:c r="J38" s="2"/>
    </x:row>
    <x:row r="39" ht="25" customHeight="1">
      <x:c r="A39" s="2" t="str">
        <x:f>Tipos!A38</x:f>
        <x:v>MS.3-MURO</x:v>
      </x:c>
      <x:c r="B39" s="2" t="str">
        <x:f>Tipos!B38</x:f>
        <x:v>Muro</x:v>
      </x:c>
      <x:c r="C39" s="12" t="str">
        <x:f>IF('Execução'!H38="","",'Execução'!H38)</x:f>
      </x:c>
      <x:c r="D39" s="12" t="str">
        <x:f>IF('Execução'!J38="","",'Execução'!J38)</x:f>
      </x:c>
      <x:c r="E39" s="12" t="str">
        <x:f>IF('Execução'!L38="","",'Execução'!L38)</x:f>
      </x:c>
      <x:c r="F39" s="11"/>
      <x:c r="G39" s="12" t="str">
        <x:f>IF(F39="","",IF(AND(ISNUMBER(F39),F39&gt;=0,Tipos!M38&gt;0),F39*Tipos!M38,"Pendente"))</x:f>
      </x:c>
      <x:c r="H39" s="2" t="str">
        <x:f>IF('Execução'!P38="","",'Execução'!P38)</x:f>
      </x:c>
      <x:c r="I39" s="2" t="str">
        <x:f>IF(AND(C39="",D39="",E39="",G39="",'Execução'!O38=""),"",IF(OR($B$4="",$D$4="",$D$4&lt;$B$4,'Execução'!O38="Pendente",G39="Pendente",AND(F39&lt;&gt;"",H39="")),"Pendente","Para conferência"))</x:f>
      </x:c>
      <x:c r="J39" s="2"/>
    </x:row>
    <x:row r="40" ht="25" customHeight="1">
      <x:c r="A40" s="2" t="str">
        <x:f>Tipos!A39</x:f>
        <x:v>MS.3-SAP</x:v>
      </x:c>
      <x:c r="B40" s="2" t="str">
        <x:f>Tipos!B39</x:f>
        <x:v>Sapata de muro</x:v>
      </x:c>
      <x:c r="C40" s="12" t="str">
        <x:f>IF('Execução'!H39="","",'Execução'!H39)</x:f>
      </x:c>
      <x:c r="D40" s="12" t="str">
        <x:f>IF('Execução'!J39="","",'Execução'!J39)</x:f>
      </x:c>
      <x:c r="E40" s="12" t="str">
        <x:f>IF('Execução'!L39="","",'Execução'!L39)</x:f>
      </x:c>
      <x:c r="F40" s="11"/>
      <x:c r="G40" s="12" t="str">
        <x:f>IF(F40="","",IF(AND(ISNUMBER(F40),F40&gt;=0,Tipos!M39&gt;0),F40*Tipos!M39,"Pendente"))</x:f>
      </x:c>
      <x:c r="H40" s="2" t="str">
        <x:f>IF('Execução'!P39="","",'Execução'!P39)</x:f>
      </x:c>
      <x:c r="I40" s="2" t="str">
        <x:f>IF(AND(C40="",D40="",E40="",G40="",'Execução'!O39=""),"",IF(OR($B$4="",$D$4="",$D$4&lt;$B$4,'Execução'!O39="Pendente",G40="Pendente",AND(F40&lt;&gt;"",H40="")),"Pendente","Para conferência"))</x:f>
      </x:c>
      <x:c r="J40" s="2"/>
    </x:row>
    <x:row r="41" ht="25" customHeight="1">
      <x:c r="A41" s="2" t="str">
        <x:f>Tipos!A40</x:f>
        <x:v>MS.4-MURO</x:v>
      </x:c>
      <x:c r="B41" s="2" t="str">
        <x:f>Tipos!B40</x:f>
        <x:v>Muro</x:v>
      </x:c>
      <x:c r="C41" s="12" t="str">
        <x:f>IF('Execução'!H40="","",'Execução'!H40)</x:f>
      </x:c>
      <x:c r="D41" s="12" t="str">
        <x:f>IF('Execução'!J40="","",'Execução'!J40)</x:f>
      </x:c>
      <x:c r="E41" s="12" t="str">
        <x:f>IF('Execução'!L40="","",'Execução'!L40)</x:f>
      </x:c>
      <x:c r="F41" s="11"/>
      <x:c r="G41" s="12" t="str">
        <x:f>IF(F41="","",IF(AND(ISNUMBER(F41),F41&gt;=0,Tipos!M40&gt;0),F41*Tipos!M40,"Pendente"))</x:f>
      </x:c>
      <x:c r="H41" s="2" t="str">
        <x:f>IF('Execução'!P40="","",'Execução'!P40)</x:f>
      </x:c>
      <x:c r="I41" s="2" t="str">
        <x:f>IF(AND(C41="",D41="",E41="",G41="",'Execução'!O40=""),"",IF(OR($B$4="",$D$4="",$D$4&lt;$B$4,'Execução'!O40="Pendente",G41="Pendente",AND(F41&lt;&gt;"",H41="")),"Pendente","Para conferência"))</x:f>
      </x:c>
      <x:c r="J41" s="2"/>
    </x:row>
    <x:row r="42" ht="25" customHeight="1">
      <x:c r="A42" s="2" t="str">
        <x:f>Tipos!A41</x:f>
        <x:v>MS.4-SAP</x:v>
      </x:c>
      <x:c r="B42" s="2" t="str">
        <x:f>Tipos!B41</x:f>
        <x:v>Sapata de muro</x:v>
      </x:c>
      <x:c r="C42" s="12" t="str">
        <x:f>IF('Execução'!H41="","",'Execução'!H41)</x:f>
      </x:c>
      <x:c r="D42" s="12" t="str">
        <x:f>IF('Execução'!J41="","",'Execução'!J41)</x:f>
      </x:c>
      <x:c r="E42" s="12" t="str">
        <x:f>IF('Execução'!L41="","",'Execução'!L41)</x:f>
      </x:c>
      <x:c r="F42" s="11"/>
      <x:c r="G42" s="12" t="str">
        <x:f>IF(F42="","",IF(AND(ISNUMBER(F42),F42&gt;=0,Tipos!M41&gt;0),F42*Tipos!M41,"Pendente"))</x:f>
      </x:c>
      <x:c r="H42" s="2" t="str">
        <x:f>IF('Execução'!P41="","",'Execução'!P41)</x:f>
      </x:c>
      <x:c r="I42" s="2" t="str">
        <x:f>IF(AND(C42="",D42="",E42="",G42="",'Execução'!O41=""),"",IF(OR($B$4="",$D$4="",$D$4&lt;$B$4,'Execução'!O41="Pendente",G42="Pendente",AND(F42&lt;&gt;"",H42="")),"Pendente","Para conferência"))</x:f>
      </x:c>
      <x:c r="J42" s="2"/>
    </x:row>
    <x:row r="43" ht="25" customHeight="1">
      <x:c r="A43" s="2" t="str">
        <x:f>Tipos!A42</x:f>
        <x:v>Pb.1-MURO</x:v>
      </x:c>
      <x:c r="B43" s="2" t="str">
        <x:f>Tipos!B42</x:f>
        <x:v>Muro</x:v>
      </x:c>
      <x:c r="C43" s="12" t="str">
        <x:f>IF('Execução'!H42="","",'Execução'!H42)</x:f>
      </x:c>
      <x:c r="D43" s="12" t="str">
        <x:f>IF('Execução'!J42="","",'Execução'!J42)</x:f>
      </x:c>
      <x:c r="E43" s="12" t="str">
        <x:f>IF('Execução'!L42="","",'Execução'!L42)</x:f>
      </x:c>
      <x:c r="F43" s="11"/>
      <x:c r="G43" s="12" t="str">
        <x:f>IF(F43="","",IF(AND(ISNUMBER(F43),F43&gt;=0,Tipos!M42&gt;0),F43*Tipos!M42,"Pendente"))</x:f>
      </x:c>
      <x:c r="H43" s="2" t="str">
        <x:f>IF('Execução'!P42="","",'Execução'!P42)</x:f>
      </x:c>
      <x:c r="I43" s="2" t="str">
        <x:f>IF(AND(C43="",D43="",E43="",G43="",'Execução'!O42=""),"",IF(OR($B$4="",$D$4="",$D$4&lt;$B$4,'Execução'!O42="Pendente",G43="Pendente",AND(F43&lt;&gt;"",H43="")),"Pendente","Para conferência"))</x:f>
      </x:c>
      <x:c r="J43" s="2"/>
    </x:row>
    <x:row r="44" ht="25" customHeight="1">
      <x:c r="A44" s="2" t="str">
        <x:f>Tipos!A43</x:f>
        <x:v>Pb.1-SAP</x:v>
      </x:c>
      <x:c r="B44" s="2" t="str">
        <x:f>Tipos!B43</x:f>
        <x:v>Sapata de muro</x:v>
      </x:c>
      <x:c r="C44" s="12" t="str">
        <x:f>IF('Execução'!H43="","",'Execução'!H43)</x:f>
      </x:c>
      <x:c r="D44" s="12" t="str">
        <x:f>IF('Execução'!J43="","",'Execução'!J43)</x:f>
      </x:c>
      <x:c r="E44" s="12" t="str">
        <x:f>IF('Execução'!L43="","",'Execução'!L43)</x:f>
      </x:c>
      <x:c r="F44" s="11"/>
      <x:c r="G44" s="12" t="str">
        <x:f>IF(F44="","",IF(AND(ISNUMBER(F44),F44&gt;=0,Tipos!M43&gt;0),F44*Tipos!M43,"Pendente"))</x:f>
      </x:c>
      <x:c r="H44" s="2" t="str">
        <x:f>IF('Execução'!P43="","",'Execução'!P43)</x:f>
      </x:c>
      <x:c r="I44" s="2" t="str">
        <x:f>IF(AND(C44="",D44="",E44="",G44="",'Execução'!O43=""),"",IF(OR($B$4="",$D$4="",$D$4&lt;$B$4,'Execução'!O43="Pendente",G44="Pendente",AND(F44&lt;&gt;"",H44="")),"Pendente","Para conferência"))</x:f>
      </x:c>
      <x:c r="J44" s="2"/>
    </x:row>
    <x:row r="45" ht="25" customHeight="1">
      <x:c r="A45" s="2" t="str">
        <x:f>Tipos!A44</x:f>
        <x:v>Pb.2-MURO</x:v>
      </x:c>
      <x:c r="B45" s="2" t="str">
        <x:f>Tipos!B44</x:f>
        <x:v>Muro</x:v>
      </x:c>
      <x:c r="C45" s="12" t="str">
        <x:f>IF('Execução'!H44="","",'Execução'!H44)</x:f>
      </x:c>
      <x:c r="D45" s="12" t="str">
        <x:f>IF('Execução'!J44="","",'Execução'!J44)</x:f>
      </x:c>
      <x:c r="E45" s="12" t="str">
        <x:f>IF('Execução'!L44="","",'Execução'!L44)</x:f>
      </x:c>
      <x:c r="F45" s="11"/>
      <x:c r="G45" s="12" t="str">
        <x:f>IF(F45="","",IF(AND(ISNUMBER(F45),F45&gt;=0,Tipos!M44&gt;0),F45*Tipos!M44,"Pendente"))</x:f>
      </x:c>
      <x:c r="H45" s="2" t="str">
        <x:f>IF('Execução'!P44="","",'Execução'!P44)</x:f>
      </x:c>
      <x:c r="I45" s="2" t="str">
        <x:f>IF(AND(C45="",D45="",E45="",G45="",'Execução'!O44=""),"",IF(OR($B$4="",$D$4="",$D$4&lt;$B$4,'Execução'!O44="Pendente",G45="Pendente",AND(F45&lt;&gt;"",H45="")),"Pendente","Para conferência"))</x:f>
      </x:c>
      <x:c r="J45" s="2"/>
    </x:row>
    <x:row r="46" ht="25" customHeight="1">
      <x:c r="A46" s="2" t="str">
        <x:f>Tipos!A45</x:f>
        <x:v>Pb.2-SAP</x:v>
      </x:c>
      <x:c r="B46" s="2" t="str">
        <x:f>Tipos!B45</x:f>
        <x:v>Sapata de muro</x:v>
      </x:c>
      <x:c r="C46" s="12" t="str">
        <x:f>IF('Execução'!H45="","",'Execução'!H45)</x:f>
      </x:c>
      <x:c r="D46" s="12" t="str">
        <x:f>IF('Execução'!J45="","",'Execução'!J45)</x:f>
      </x:c>
      <x:c r="E46" s="12" t="str">
        <x:f>IF('Execução'!L45="","",'Execução'!L45)</x:f>
      </x:c>
      <x:c r="F46" s="11"/>
      <x:c r="G46" s="12" t="str">
        <x:f>IF(F46="","",IF(AND(ISNUMBER(F46),F46&gt;=0,Tipos!M45&gt;0),F46*Tipos!M45,"Pendente"))</x:f>
      </x:c>
      <x:c r="H46" s="2" t="str">
        <x:f>IF('Execução'!P45="","",'Execução'!P45)</x:f>
      </x:c>
      <x:c r="I46" s="2" t="str">
        <x:f>IF(AND(C46="",D46="",E46="",G46="",'Execução'!O45=""),"",IF(OR($B$4="",$D$4="",$D$4&lt;$B$4,'Execução'!O45="Pendente",G46="Pendente",AND(F46&lt;&gt;"",H46="")),"Pendente","Para conferência"))</x:f>
      </x:c>
      <x:c r="J46" s="2"/>
    </x:row>
    <x:row r="47" ht="25" customHeight="1">
      <x:c r="A47" s="2" t="str">
        <x:f>Tipos!A46</x:f>
        <x:v>Pa.2-P0-COB</x:v>
      </x:c>
      <x:c r="B47" s="2" t="str">
        <x:f>Tipos!B46</x:f>
        <x:v>Parede</x:v>
      </x:c>
      <x:c r="C47" s="12" t="str">
        <x:f>IF('Execução'!H46="","",'Execução'!H46)</x:f>
      </x:c>
      <x:c r="D47" s="12" t="str">
        <x:f>IF('Execução'!J46="","",'Execução'!J46)</x:f>
      </x:c>
      <x:c r="E47" s="12" t="str">
        <x:f>IF('Execução'!L46="","",'Execução'!L46)</x:f>
      </x:c>
      <x:c r="F47" s="11"/>
      <x:c r="G47" s="12" t="str">
        <x:f>IF(F47="","",IF(AND(ISNUMBER(F47),F47&gt;=0,Tipos!M46&gt;0),F47*Tipos!M46,"Pendente"))</x:f>
      </x:c>
      <x:c r="H47" s="2" t="str">
        <x:f>IF('Execução'!P46="","",'Execução'!P46)</x:f>
      </x:c>
      <x:c r="I47" s="2" t="str">
        <x:f>IF(AND(C47="",D47="",E47="",G47="",'Execução'!O46=""),"",IF(OR($B$4="",$D$4="",$D$4&lt;$B$4,'Execução'!O46="Pendente",G47="Pendente",AND(F47&lt;&gt;"",H47="")),"Pendente","Para conferência"))</x:f>
      </x:c>
      <x:c r="J47" s="2"/>
    </x:row>
    <x:row r="48" ht="25" customHeight="1">
      <x:c r="A48" s="2" t="str">
        <x:f>Tipos!A47</x:f>
        <x:v>Pa.2-P-1-P0</x:v>
      </x:c>
      <x:c r="B48" s="2" t="str">
        <x:f>Tipos!B47</x:f>
        <x:v>Parede</x:v>
      </x:c>
      <x:c r="C48" s="12" t="str">
        <x:f>IF('Execução'!H47="","",'Execução'!H47)</x:f>
      </x:c>
      <x:c r="D48" s="12" t="str">
        <x:f>IF('Execução'!J47="","",'Execução'!J47)</x:f>
      </x:c>
      <x:c r="E48" s="12" t="str">
        <x:f>IF('Execução'!L47="","",'Execução'!L47)</x:f>
      </x:c>
      <x:c r="F48" s="11"/>
      <x:c r="G48" s="12" t="str">
        <x:f>IF(F48="","",IF(AND(ISNUMBER(F48),F48&gt;=0,Tipos!M47&gt;0),F48*Tipos!M47,"Pendente"))</x:f>
      </x:c>
      <x:c r="H48" s="2" t="str">
        <x:f>IF('Execução'!P47="","",'Execução'!P47)</x:f>
      </x:c>
      <x:c r="I48" s="2" t="str">
        <x:f>IF(AND(C48="",D48="",E48="",G48="",'Execução'!O47=""),"",IF(OR($B$4="",$D$4="",$D$4&lt;$B$4,'Execução'!O47="Pendente",G48="Pendente",AND(F48&lt;&gt;"",H48="")),"Pendente","Para conferência"))</x:f>
      </x:c>
      <x:c r="J48" s="2"/>
    </x:row>
    <x:row r="49" ht="25" customHeight="1">
      <x:c r="A49" s="2" t="str">
        <x:f>Tipos!A48</x:f>
        <x:v>V1</x:v>
      </x:c>
      <x:c r="B49" s="2" t="str">
        <x:f>Tipos!B48</x:f>
        <x:v>Viga</x:v>
      </x:c>
      <x:c r="C49" s="12" t="str">
        <x:f>IF('Execução'!H48="","",'Execução'!H48)</x:f>
      </x:c>
      <x:c r="D49" s="12" t="str">
        <x:f>IF('Execução'!J48="","",'Execução'!J48)</x:f>
      </x:c>
      <x:c r="E49" s="12" t="str">
        <x:f>IF('Execução'!L48="","",'Execução'!L48)</x:f>
      </x:c>
      <x:c r="F49" s="11"/>
      <x:c r="G49" s="12" t="str">
        <x:f>IF(F49="","",IF(AND(ISNUMBER(F49),F49&gt;=0,Tipos!M48&gt;0),F49*Tipos!M48,"Pendente"))</x:f>
      </x:c>
      <x:c r="H49" s="2" t="str">
        <x:f>IF('Execução'!P48="","",'Execução'!P48)</x:f>
      </x:c>
      <x:c r="I49" s="2" t="str">
        <x:f>IF(AND(C49="",D49="",E49="",G49="",'Execução'!O48=""),"",IF(OR($B$4="",$D$4="",$D$4&lt;$B$4,'Execução'!O48="Pendente",G49="Pendente",AND(F49&lt;&gt;"",H49="")),"Pendente","Para conferência"))</x:f>
      </x:c>
      <x:c r="J49" s="2"/>
    </x:row>
    <x:row r="50" ht="25" customHeight="1">
      <x:c r="A50" s="2" t="str">
        <x:f>Tipos!A49</x:f>
        <x:v>V2</x:v>
      </x:c>
      <x:c r="B50" s="2" t="str">
        <x:f>Tipos!B49</x:f>
        <x:v>Viga</x:v>
      </x:c>
      <x:c r="C50" s="12" t="str">
        <x:f>IF('Execução'!H49="","",'Execução'!H49)</x:f>
      </x:c>
      <x:c r="D50" s="12" t="str">
        <x:f>IF('Execução'!J49="","",'Execução'!J49)</x:f>
      </x:c>
      <x:c r="E50" s="12" t="str">
        <x:f>IF('Execução'!L49="","",'Execução'!L49)</x:f>
      </x:c>
      <x:c r="F50" s="11"/>
      <x:c r="G50" s="12" t="str">
        <x:f>IF(F50="","",IF(AND(ISNUMBER(F50),F50&gt;=0,Tipos!M49&gt;0),F50*Tipos!M49,"Pendente"))</x:f>
      </x:c>
      <x:c r="H50" s="2" t="str">
        <x:f>IF('Execução'!P49="","",'Execução'!P49)</x:f>
      </x:c>
      <x:c r="I50" s="2" t="str">
        <x:f>IF(AND(C50="",D50="",E50="",G50="",'Execução'!O49=""),"",IF(OR($B$4="",$D$4="",$D$4&lt;$B$4,'Execução'!O49="Pendente",G50="Pendente",AND(F50&lt;&gt;"",H50="")),"Pendente","Para conferência"))</x:f>
      </x:c>
      <x:c r="J50" s="2"/>
    </x:row>
    <x:row r="51" ht="25" customHeight="1">
      <x:c r="A51" s="2" t="str">
        <x:f>Tipos!A50</x:f>
        <x:v>L1</x:v>
      </x:c>
      <x:c r="B51" s="2" t="str">
        <x:f>Tipos!B50</x:f>
        <x:v>Laje</x:v>
      </x:c>
      <x:c r="C51" s="12" t="str">
        <x:f>IF('Execução'!H50="","",'Execução'!H50)</x:f>
      </x:c>
      <x:c r="D51" s="12" t="str">
        <x:f>IF('Execução'!J50="","",'Execução'!J50)</x:f>
      </x:c>
      <x:c r="E51" s="12" t="str">
        <x:f>IF('Execução'!L50="","",'Execução'!L50)</x:f>
      </x:c>
      <x:c r="F51" s="11"/>
      <x:c r="G51" s="12" t="str">
        <x:f>IF(F51="","",IF(AND(ISNUMBER(F51),F51&gt;=0,Tipos!M50&gt;0),F51*Tipos!M50,"Pendente"))</x:f>
      </x:c>
      <x:c r="H51" s="2" t="str">
        <x:f>IF('Execução'!P50="","",'Execução'!P50)</x:f>
      </x:c>
      <x:c r="I51" s="2" t="str">
        <x:f>IF(AND(C51="",D51="",E51="",G51="",'Execução'!O50=""),"",IF(OR($B$4="",$D$4="",$D$4&lt;$B$4,'Execução'!O50="Pendente",G51="Pendente",AND(F51&lt;&gt;"",H51="")),"Pendente","Para conferência"))</x:f>
      </x:c>
      <x:c r="J51" s="2"/>
    </x:row>
    <x:row r="52" ht="25" customHeight="1">
      <x:c r="A52" s="2" t="str">
        <x:f>Tipos!A51</x:f>
        <x:v>L2</x:v>
      </x:c>
      <x:c r="B52" s="2" t="str">
        <x:f>Tipos!B51</x:f>
        <x:v>Laje</x:v>
      </x:c>
      <x:c r="C52" s="12" t="str">
        <x:f>IF('Execução'!H51="","",'Execução'!H51)</x:f>
      </x:c>
      <x:c r="D52" s="12" t="str">
        <x:f>IF('Execução'!J51="","",'Execução'!J51)</x:f>
      </x:c>
      <x:c r="E52" s="12" t="str">
        <x:f>IF('Execução'!L51="","",'Execução'!L51)</x:f>
      </x:c>
      <x:c r="F52" s="11"/>
      <x:c r="G52" s="12" t="str">
        <x:f>IF(F52="","",IF(AND(ISNUMBER(F52),F52&gt;=0,Tipos!M51&gt;0),F52*Tipos!M51,"Pendente"))</x:f>
      </x:c>
      <x:c r="H52" s="2" t="str">
        <x:f>IF('Execução'!P51="","",'Execução'!P51)</x:f>
      </x:c>
      <x:c r="I52" s="2" t="str">
        <x:f>IF(AND(C52="",D52="",E52="",G52="",'Execução'!O51=""),"",IF(OR($B$4="",$D$4="",$D$4&lt;$B$4,'Execução'!O51="Pendente",G52="Pendente",AND(F52&lt;&gt;"",H52="")),"Pendente","Para conferência"))</x:f>
      </x:c>
      <x:c r="J52" s="2"/>
    </x:row>
    <x:row r="53" ht="25" customHeight="1">
      <x:c r="A53" s="2" t="str">
        <x:f>Tipos!A52</x:f>
        <x:v>L3</x:v>
      </x:c>
      <x:c r="B53" s="2" t="str">
        <x:f>Tipos!B52</x:f>
        <x:v>Laje</x:v>
      </x:c>
      <x:c r="C53" s="12" t="str">
        <x:f>IF('Execução'!H52="","",'Execução'!H52)</x:f>
      </x:c>
      <x:c r="D53" s="12" t="str">
        <x:f>IF('Execução'!J52="","",'Execução'!J52)</x:f>
      </x:c>
      <x:c r="E53" s="12" t="str">
        <x:f>IF('Execução'!L52="","",'Execução'!L52)</x:f>
      </x:c>
      <x:c r="F53" s="11"/>
      <x:c r="G53" s="12" t="str">
        <x:f>IF(F53="","",IF(AND(ISNUMBER(F53),F53&gt;=0,Tipos!M52&gt;0),F53*Tipos!M52,"Pendente"))</x:f>
      </x:c>
      <x:c r="H53" s="2" t="str">
        <x:f>IF('Execução'!P52="","",'Execução'!P52)</x:f>
      </x:c>
      <x:c r="I53" s="2" t="str">
        <x:f>IF(AND(C53="",D53="",E53="",G53="",'Execução'!O52=""),"",IF(OR($B$4="",$D$4="",$D$4&lt;$B$4,'Execução'!O52="Pendente",G53="Pendente",AND(F53&lt;&gt;"",H53="")),"Pendente","Para conferência"))</x:f>
      </x:c>
      <x:c r="J53" s="2"/>
    </x:row>
    <x:row r="54" ht="25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</x:row>
    <x:row r="55" ht="25" customHeight="1">
      <x:c r="A55" s="14" t="str">
        <x:v>TOTAL DO PERÍODO</x:v>
      </x:c>
      <x:c r="B55" s="14"/>
      <x:c r="C55" s="14" t="str">
        <x:f>IF(OR(COUNTIF(I8:I53,"Pendente")&gt;0,COUNTIF('Acertos aço'!H7:H106,"Pendente")&gt;0),"Pendente",IF(COUNT(C8:C53)=0,"",SUM(C8:C53)))</x:f>
      </x:c>
      <x:c r="D55" s="14" t="str">
        <x:f>IF(OR(COUNTIF(I8:I53,"Pendente")&gt;0,COUNTIF('Acertos aço'!H7:H106,"Pendente")&gt;0),"Pendente",IF(COUNT(D8:D53)=0,"",SUM(D8:D53)))</x:f>
      </x:c>
      <x:c r="E55" s="14" t="str">
        <x:f>IF(OR(COUNTIF(I8:I53,"Pendente")&gt;0,COUNTIF('Acertos aço'!H7:H106,"Pendente")&gt;0),"Pendente",IF(COUNT(E8:E53)=0,"",SUM(E8:E53)))</x:f>
      </x:c>
      <x:c r="F55" s="14"/>
      <x:c r="G55" s="14" t="str">
        <x:f>IF(OR(COUNTIF(I8:I53,"Pendente")&gt;0,COUNTIF('Acertos aço'!H7:H106,"Pendente")&gt;0),"Pendente",IF(COUNT(G8:G53)=0,"",SUM(G8:G53)))</x:f>
      </x:c>
      <x:c r="H55" s="14"/>
      <x:c r="I55" s="14"/>
      <x:c r="J55" s="2"/>
    </x:row>
    <x:row r="56" ht="25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</x:row>
    <x:row r="57" ht="25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</x:row>
    <x:row r="58" ht="25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</x:row>
    <x:row r="59" ht="25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</x:row>
    <x:row r="60" ht="25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</x:row>
    <x:row r="61" ht="25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</x:row>
    <x:row r="62" ht="25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</x:row>
    <x:row r="63" ht="25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</x:row>
    <x:row r="64" ht="25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</x:row>
    <x:row r="65" ht="25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</x:row>
    <x:row r="66" ht="25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</x:row>
    <x:row r="67" ht="25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</x:row>
  </x:sheetData>
  <x:conditionalFormatting sqref="A1:J67">
    <x:cfRule type="containsText" dxfId="4" priority="1" operator="containsText" text="Pendente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3" hidden="0" customWidth="1"/>
    <x:col min="2" max="2" width="20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23" hidden="0" customWidth="1"/>
    <x:col min="15" max="15" width="23" hidden="0" customWidth="1"/>
    <x:col min="16" max="16" width="65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</x:row>
    <x:row r="2" ht="25" customHeight="1">
      <x:c r="A2" s="3" t="str">
        <x:v>Execução mensal por tipo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</x:row>
    <x:row r="3" ht="25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</x:row>
    <x:row r="4" ht="25" customHeight="1">
      <x:c r="A4" s="2" t="str">
        <x:v>Indicar separadamente a metragem executada de aço, betão e cofragem. Vazio = não registado; 0 = sem execução. Não preencher como exemplo real.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</x:row>
    <x:row r="5" ht="25" customHeight="1">
      <x:c r="A5" s="2" t="str">
        <x:v>Cofragem e betão: acertos assinados em unidades finais, com memória nas observações. Fechar aço só depois de conferir contagens, nós e reforços.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</x:row>
    <x:row r="6" ht="48" customHeight="1">
      <x:c r="A6" s="8" t="str">
        <x:v>Tipo</x:v>
      </x:c>
      <x:c r="B6" s="8" t="str">
        <x:v>Unidade base</x:v>
      </x:c>
      <x:c r="C6" s="8" t="str">
        <x:v>Exec. aço (base)</x:v>
      </x:c>
      <x:c r="D6" s="8" t="str">
        <x:v>Exec. betão (base)</x:v>
      </x:c>
      <x:c r="E6" s="8" t="str">
        <x:v>Exec. cofr. (base)</x:v>
      </x:c>
      <x:c r="F6" s="8" t="str">
        <x:v>Aço base kg</x:v>
      </x:c>
      <x:c r="G6" s="8" t="str">
        <x:v>Acertos aço kg</x:v>
      </x:c>
      <x:c r="H6" s="8" t="str">
        <x:v>Aço total kg</x:v>
      </x:c>
      <x:c r="I6" s="8" t="str">
        <x:v>Acerto betão m³</x:v>
      </x:c>
      <x:c r="J6" s="8" t="str">
        <x:v>Betão total m³</x:v>
      </x:c>
      <x:c r="K6" s="8" t="str">
        <x:v>Acerto cofr. m²</x:v>
      </x:c>
      <x:c r="L6" s="8" t="str">
        <x:v>Cofragem total m²</x:v>
      </x:c>
      <x:c r="M6" s="8" t="str">
        <x:v>Limpeza m³/base</x:v>
      </x:c>
      <x:c r="N6" s="8" t="str">
        <x:v>Aço conferido?</x:v>
      </x:c>
      <x:c r="O6" s="8" t="str">
        <x:v>Conferência</x:v>
      </x:c>
      <x:c r="P6" s="8" t="str">
        <x:v>Registo / memória dos acertos</x:v>
      </x:c>
    </x:row>
    <x:row r="7" ht="25" customHeight="1">
      <x:c r="A7" s="2" t="str">
        <x:f>Tipos!A7</x:f>
        <x:v>P1-P0</x:v>
      </x:c>
      <x:c r="B7" s="2" t="str">
        <x:f>Tipos!D7</x:f>
        <x:v>m altura</x:v>
      </x:c>
      <x:c r="C7" s="11"/>
      <x:c r="D7" s="11"/>
      <x:c r="E7" s="11"/>
      <x:c r="F7" s="12" t="str">
        <x:f>IF(C7="","",IF(C7=0,0,IF(AND(ISNUMBER(C7),C7&gt;0,ISNUMBER(Tipos!N7)),C7*Tipos!N7,"Pendente")))</x:f>
      </x:c>
      <x:c r="G7" s="12" t="n">
        <x:f>IF(COUNTIFS('Acertos aço'!$A$7:$A$106,A7,'Acertos aço'!$H$7:$H$106,"Pendente")&gt;0,"Pendente",SUMIF('Acertos aço'!$A$7:$A$106,A7,'Acertos aço'!$G$7:$G$106))</x:f>
        <x:v>0</x:v>
      </x:c>
      <x:c r="H7" s="12" t="str">
        <x:f>IF(AND(C7="",G7=0),"",IF(AND(ISNUMBER(F7),ISNUMBER(G7),OR(AND(F7=0,G7=0),N7="Sim")),F7+G7,"Pendente"))</x:f>
      </x:c>
      <x:c r="I7" s="11"/>
      <x:c r="J7" s="12" t="str">
        <x:f>IF(AND(D7="",I7=""),"",IF(AND(ISNUMBER(D7),D7&gt;=0,OR(I7="",ISNUMBER(I7)),OR(D7=0,ISNUMBER(Tipos!K7))),IF(D7=0,0,D7*Tipos!K7)+N(I7),"Pendente"))</x:f>
      </x:c>
      <x:c r="K7" s="11"/>
      <x:c r="L7" s="12" t="str">
        <x:f>IF(AND(E7="",K7=""),"",IF(AND(ISNUMBER(E7),E7&gt;=0,OR(K7="",ISNUMBER(K7))),E7*Tipos!L7+N(K7),"Pendente"))</x:f>
      </x:c>
      <x:c r="M7" s="12" t="n">
        <x:f>Tipos!M7</x:f>
        <x:v>0</x:v>
      </x:c>
      <x:c r="N7" s="10"/>
      <x:c r="O7" s="2" t="str">
        <x:f>IF(COUNTA(C7:E7,I7,K7,N7,P7)=0,IF(G7=0,"","Pendente"),IF(OR(Tipos!R7="Não usar duplicado",AND(B7="un",OR(AND(ISNUMBER(C7),C7&lt;&gt;INT(C7)),AND(ISNUMBER(D7),D7&lt;&gt;INT(D7)),AND(ISNUMBER(E7),E7&lt;&gt;INT(E7)))),H7="Pendente",J7="Pendente",L7="Pendente",AND(ISNUMBER(H7),H7&lt;0),AND(ISNUMBER(J7),J7&lt;0),AND(ISNUMBER(L7),L7&lt;0),P7=""),"Pendente","Conferir / registar"))</x:f>
      </x:c>
      <x:c r="P7" s="10"/>
    </x:row>
    <x:row r="8" ht="25" customHeight="1">
      <x:c r="A8" s="2" t="str">
        <x:f>Tipos!A8</x:f>
        <x:v>P1-P1</x:v>
      </x:c>
      <x:c r="B8" s="2" t="str">
        <x:f>Tipos!D8</x:f>
        <x:v>m altura</x:v>
      </x:c>
      <x:c r="C8" s="11"/>
      <x:c r="D8" s="11"/>
      <x:c r="E8" s="11"/>
      <x:c r="F8" s="12" t="str">
        <x:f>IF(C8="","",IF(C8=0,0,IF(AND(ISNUMBER(C8),C8&gt;0,ISNUMBER(Tipos!N8)),C8*Tipos!N8,"Pendente")))</x:f>
      </x:c>
      <x:c r="G8" s="12" t="n">
        <x:f>IF(COUNTIFS('Acertos aço'!$A$7:$A$106,A8,'Acertos aço'!$H$7:$H$106,"Pendente")&gt;0,"Pendente",SUMIF('Acertos aço'!$A$7:$A$106,A8,'Acertos aço'!$G$7:$G$106))</x:f>
        <x:v>0</x:v>
      </x:c>
      <x:c r="H8" s="12" t="str">
        <x:f>IF(AND(C8="",G8=0),"",IF(AND(ISNUMBER(F8),ISNUMBER(G8),OR(AND(F8=0,G8=0),N8="Sim")),F8+G8,"Pendente"))</x:f>
      </x:c>
      <x:c r="I8" s="11"/>
      <x:c r="J8" s="12" t="str">
        <x:f>IF(AND(D8="",I8=""),"",IF(AND(ISNUMBER(D8),D8&gt;=0,OR(I8="",ISNUMBER(I8)),OR(D8=0,ISNUMBER(Tipos!K8))),IF(D8=0,0,D8*Tipos!K8)+N(I8),"Pendente"))</x:f>
      </x:c>
      <x:c r="K8" s="11"/>
      <x:c r="L8" s="12" t="str">
        <x:f>IF(AND(E8="",K8=""),"",IF(AND(ISNUMBER(E8),E8&gt;=0,OR(K8="",ISNUMBER(K8))),E8*Tipos!L8+N(K8),"Pendente"))</x:f>
      </x:c>
      <x:c r="M8" s="12" t="n">
        <x:f>Tipos!M8</x:f>
        <x:v>0</x:v>
      </x:c>
      <x:c r="N8" s="10"/>
      <x:c r="O8" s="2" t="str">
        <x:f>IF(COUNTA(C8:E8,I8,K8,N8,P8)=0,IF(G8=0,"","Pendente"),IF(OR(Tipos!R8="Não usar duplicado",AND(B8="un",OR(AND(ISNUMBER(C8),C8&lt;&gt;INT(C8)),AND(ISNUMBER(D8),D8&lt;&gt;INT(D8)),AND(ISNUMBER(E8),E8&lt;&gt;INT(E8)))),H8="Pendente",J8="Pendente",L8="Pendente",AND(ISNUMBER(H8),H8&lt;0),AND(ISNUMBER(J8),J8&lt;0),AND(ISNUMBER(L8),L8&lt;0),P8=""),"Pendente","Conferir / registar"))</x:f>
      </x:c>
      <x:c r="P8" s="10"/>
    </x:row>
    <x:row r="9" ht="25" customHeight="1">
      <x:c r="A9" s="2" t="str">
        <x:f>Tipos!A9</x:f>
        <x:v>P1-COB</x:v>
      </x:c>
      <x:c r="B9" s="2" t="str">
        <x:f>Tipos!D9</x:f>
        <x:v>m altura</x:v>
      </x:c>
      <x:c r="C9" s="11"/>
      <x:c r="D9" s="11"/>
      <x:c r="E9" s="11"/>
      <x:c r="F9" s="12" t="str">
        <x:f>IF(C9="","",IF(C9=0,0,IF(AND(ISNUMBER(C9),C9&gt;0,ISNUMBER(Tipos!N9)),C9*Tipos!N9,"Pendente")))</x:f>
      </x:c>
      <x:c r="G9" s="12" t="n">
        <x:f>IF(COUNTIFS('Acertos aço'!$A$7:$A$106,A9,'Acertos aço'!$H$7:$H$106,"Pendente")&gt;0,"Pendente",SUMIF('Acertos aço'!$A$7:$A$106,A9,'Acertos aço'!$G$7:$G$106))</x:f>
        <x:v>0</x:v>
      </x:c>
      <x:c r="H9" s="12" t="str">
        <x:f>IF(AND(C9="",G9=0),"",IF(AND(ISNUMBER(F9),ISNUMBER(G9),OR(AND(F9=0,G9=0),N9="Sim")),F9+G9,"Pendente"))</x:f>
      </x:c>
      <x:c r="I9" s="11"/>
      <x:c r="J9" s="12" t="str">
        <x:f>IF(AND(D9="",I9=""),"",IF(AND(ISNUMBER(D9),D9&gt;=0,OR(I9="",ISNUMBER(I9)),OR(D9=0,ISNUMBER(Tipos!K9))),IF(D9=0,0,D9*Tipos!K9)+N(I9),"Pendente"))</x:f>
      </x:c>
      <x:c r="K9" s="11"/>
      <x:c r="L9" s="12" t="str">
        <x:f>IF(AND(E9="",K9=""),"",IF(AND(ISNUMBER(E9),E9&gt;=0,OR(K9="",ISNUMBER(K9))),E9*Tipos!L9+N(K9),"Pendente"))</x:f>
      </x:c>
      <x:c r="M9" s="12" t="n">
        <x:f>Tipos!M9</x:f>
        <x:v>0</x:v>
      </x:c>
      <x:c r="N9" s="10"/>
      <x:c r="O9" s="2" t="str">
        <x:f>IF(COUNTA(C9:E9,I9,K9,N9,P9)=0,IF(G9=0,"","Pendente"),IF(OR(Tipos!R9="Não usar duplicado",AND(B9="un",OR(AND(ISNUMBER(C9),C9&lt;&gt;INT(C9)),AND(ISNUMBER(D9),D9&lt;&gt;INT(D9)),AND(ISNUMBER(E9),E9&lt;&gt;INT(E9)))),H9="Pendente",J9="Pendente",L9="Pendente",AND(ISNUMBER(H9),H9&lt;0),AND(ISNUMBER(J9),J9&lt;0),AND(ISNUMBER(L9),L9&lt;0),P9=""),"Pendente","Conferir / registar"))</x:f>
      </x:c>
      <x:c r="P9" s="10"/>
    </x:row>
    <x:row r="10" ht="25" customHeight="1">
      <x:c r="A10" s="2" t="str">
        <x:f>Tipos!A10</x:f>
        <x:v>P2-P0</x:v>
      </x:c>
      <x:c r="B10" s="2" t="str">
        <x:f>Tipos!D10</x:f>
        <x:v>m altura</x:v>
      </x:c>
      <x:c r="C10" s="11"/>
      <x:c r="D10" s="11"/>
      <x:c r="E10" s="11"/>
      <x:c r="F10" s="12" t="str">
        <x:f>IF(C10="","",IF(C10=0,0,IF(AND(ISNUMBER(C10),C10&gt;0,ISNUMBER(Tipos!N10)),C10*Tipos!N10,"Pendente")))</x:f>
      </x:c>
      <x:c r="G10" s="12" t="n">
        <x:f>IF(COUNTIFS('Acertos aço'!$A$7:$A$106,A10,'Acertos aço'!$H$7:$H$106,"Pendente")&gt;0,"Pendente",SUMIF('Acertos aço'!$A$7:$A$106,A10,'Acertos aço'!$G$7:$G$106))</x:f>
        <x:v>0</x:v>
      </x:c>
      <x:c r="H10" s="12" t="str">
        <x:f>IF(AND(C10="",G10=0),"",IF(AND(ISNUMBER(F10),ISNUMBER(G10),OR(AND(F10=0,G10=0),N10="Sim")),F10+G10,"Pendente"))</x:f>
      </x:c>
      <x:c r="I10" s="11"/>
      <x:c r="J10" s="12" t="str">
        <x:f>IF(AND(D10="",I10=""),"",IF(AND(ISNUMBER(D10),D10&gt;=0,OR(I10="",ISNUMBER(I10)),OR(D10=0,ISNUMBER(Tipos!K10))),IF(D10=0,0,D10*Tipos!K10)+N(I10),"Pendente"))</x:f>
      </x:c>
      <x:c r="K10" s="11"/>
      <x:c r="L10" s="12" t="str">
        <x:f>IF(AND(E10="",K10=""),"",IF(AND(ISNUMBER(E10),E10&gt;=0,OR(K10="",ISNUMBER(K10))),E10*Tipos!L10+N(K10),"Pendente"))</x:f>
      </x:c>
      <x:c r="M10" s="12" t="n">
        <x:f>Tipos!M10</x:f>
        <x:v>0</x:v>
      </x:c>
      <x:c r="N10" s="10"/>
      <x:c r="O10" s="2" t="str">
        <x:f>IF(COUNTA(C10:E10,I10,K10,N10,P10)=0,IF(G10=0,"","Pendente"),IF(OR(Tipos!R10="Não usar duplicado",AND(B10="un",OR(AND(ISNUMBER(C10),C10&lt;&gt;INT(C10)),AND(ISNUMBER(D10),D10&lt;&gt;INT(D10)),AND(ISNUMBER(E10),E10&lt;&gt;INT(E10)))),H10="Pendente",J10="Pendente",L10="Pendente",AND(ISNUMBER(H10),H10&lt;0),AND(ISNUMBER(J10),J10&lt;0),AND(ISNUMBER(L10),L10&lt;0),P10=""),"Pendente","Conferir / registar"))</x:f>
      </x:c>
      <x:c r="P10" s="10"/>
    </x:row>
    <x:row r="11" ht="25" customHeight="1">
      <x:c r="A11" s="2" t="str">
        <x:f>Tipos!A11</x:f>
        <x:v>P2-P1</x:v>
      </x:c>
      <x:c r="B11" s="2" t="str">
        <x:f>Tipos!D11</x:f>
        <x:v>m altura</x:v>
      </x:c>
      <x:c r="C11" s="11"/>
      <x:c r="D11" s="11"/>
      <x:c r="E11" s="11"/>
      <x:c r="F11" s="12" t="str">
        <x:f>IF(C11="","",IF(C11=0,0,IF(AND(ISNUMBER(C11),C11&gt;0,ISNUMBER(Tipos!N11)),C11*Tipos!N11,"Pendente")))</x:f>
      </x:c>
      <x:c r="G11" s="12" t="n">
        <x:f>IF(COUNTIFS('Acertos aço'!$A$7:$A$106,A11,'Acertos aço'!$H$7:$H$106,"Pendente")&gt;0,"Pendente",SUMIF('Acertos aço'!$A$7:$A$106,A11,'Acertos aço'!$G$7:$G$106))</x:f>
        <x:v>0</x:v>
      </x:c>
      <x:c r="H11" s="12" t="str">
        <x:f>IF(AND(C11="",G11=0),"",IF(AND(ISNUMBER(F11),ISNUMBER(G11),OR(AND(F11=0,G11=0),N11="Sim")),F11+G11,"Pendente"))</x:f>
      </x:c>
      <x:c r="I11" s="11"/>
      <x:c r="J11" s="12" t="str">
        <x:f>IF(AND(D11="",I11=""),"",IF(AND(ISNUMBER(D11),D11&gt;=0,OR(I11="",ISNUMBER(I11)),OR(D11=0,ISNUMBER(Tipos!K11))),IF(D11=0,0,D11*Tipos!K11)+N(I11),"Pendente"))</x:f>
      </x:c>
      <x:c r="K11" s="11"/>
      <x:c r="L11" s="12" t="str">
        <x:f>IF(AND(E11="",K11=""),"",IF(AND(ISNUMBER(E11),E11&gt;=0,OR(K11="",ISNUMBER(K11))),E11*Tipos!L11+N(K11),"Pendente"))</x:f>
      </x:c>
      <x:c r="M11" s="12" t="n">
        <x:f>Tipos!M11</x:f>
        <x:v>0</x:v>
      </x:c>
      <x:c r="N11" s="10"/>
      <x:c r="O11" s="2" t="str">
        <x:f>IF(COUNTA(C11:E11,I11,K11,N11,P11)=0,IF(G11=0,"","Pendente"),IF(OR(Tipos!R11="Não usar duplicado",AND(B11="un",OR(AND(ISNUMBER(C11),C11&lt;&gt;INT(C11)),AND(ISNUMBER(D11),D11&lt;&gt;INT(D11)),AND(ISNUMBER(E11),E11&lt;&gt;INT(E11)))),H11="Pendente",J11="Pendente",L11="Pendente",AND(ISNUMBER(H11),H11&lt;0),AND(ISNUMBER(J11),J11&lt;0),AND(ISNUMBER(L11),L11&lt;0),P11=""),"Pendente","Conferir / registar"))</x:f>
      </x:c>
      <x:c r="P11" s="10"/>
    </x:row>
    <x:row r="12" ht="25" customHeight="1">
      <x:c r="A12" s="2" t="str">
        <x:f>Tipos!A12</x:f>
        <x:v>P3-P0</x:v>
      </x:c>
      <x:c r="B12" s="2" t="str">
        <x:f>Tipos!D12</x:f>
        <x:v>m altura</x:v>
      </x:c>
      <x:c r="C12" s="11"/>
      <x:c r="D12" s="11"/>
      <x:c r="E12" s="11"/>
      <x:c r="F12" s="12" t="str">
        <x:f>IF(C12="","",IF(C12=0,0,IF(AND(ISNUMBER(C12),C12&gt;0,ISNUMBER(Tipos!N12)),C12*Tipos!N12,"Pendente")))</x:f>
      </x:c>
      <x:c r="G12" s="12" t="n">
        <x:f>IF(COUNTIFS('Acertos aço'!$A$7:$A$106,A12,'Acertos aço'!$H$7:$H$106,"Pendente")&gt;0,"Pendente",SUMIF('Acertos aço'!$A$7:$A$106,A12,'Acertos aço'!$G$7:$G$106))</x:f>
        <x:v>0</x:v>
      </x:c>
      <x:c r="H12" s="12" t="str">
        <x:f>IF(AND(C12="",G12=0),"",IF(AND(ISNUMBER(F12),ISNUMBER(G12),OR(AND(F12=0,G12=0),N12="Sim")),F12+G12,"Pendente"))</x:f>
      </x:c>
      <x:c r="I12" s="11"/>
      <x:c r="J12" s="12" t="str">
        <x:f>IF(AND(D12="",I12=""),"",IF(AND(ISNUMBER(D12),D12&gt;=0,OR(I12="",ISNUMBER(I12)),OR(D12=0,ISNUMBER(Tipos!K12))),IF(D12=0,0,D12*Tipos!K12)+N(I12),"Pendente"))</x:f>
      </x:c>
      <x:c r="K12" s="11"/>
      <x:c r="L12" s="12" t="str">
        <x:f>IF(AND(E12="",K12=""),"",IF(AND(ISNUMBER(E12),E12&gt;=0,OR(K12="",ISNUMBER(K12))),E12*Tipos!L12+N(K12),"Pendente"))</x:f>
      </x:c>
      <x:c r="M12" s="12" t="n">
        <x:f>Tipos!M12</x:f>
        <x:v>0</x:v>
      </x:c>
      <x:c r="N12" s="10"/>
      <x:c r="O12" s="2" t="str">
        <x:f>IF(COUNTA(C12:E12,I12,K12,N12,P12)=0,IF(G12=0,"","Pendente"),IF(OR(Tipos!R12="Não usar duplicado",AND(B12="un",OR(AND(ISNUMBER(C12),C12&lt;&gt;INT(C12)),AND(ISNUMBER(D12),D12&lt;&gt;INT(D12)),AND(ISNUMBER(E12),E12&lt;&gt;INT(E12)))),H12="Pendente",J12="Pendente",L12="Pendente",AND(ISNUMBER(H12),H12&lt;0),AND(ISNUMBER(J12),J12&lt;0),AND(ISNUMBER(L12),L12&lt;0),P12=""),"Pendente","Conferir / registar"))</x:f>
      </x:c>
      <x:c r="P12" s="10"/>
    </x:row>
    <x:row r="13" ht="25" customHeight="1">
      <x:c r="A13" s="2" t="str">
        <x:f>Tipos!A13</x:f>
        <x:v>P4-P1</x:v>
      </x:c>
      <x:c r="B13" s="2" t="str">
        <x:f>Tipos!D13</x:f>
        <x:v>m altura</x:v>
      </x:c>
      <x:c r="C13" s="11"/>
      <x:c r="D13" s="11"/>
      <x:c r="E13" s="11"/>
      <x:c r="F13" s="12" t="str">
        <x:f>IF(C13="","",IF(C13=0,0,IF(AND(ISNUMBER(C13),C13&gt;0,ISNUMBER(Tipos!N13)),C13*Tipos!N13,"Pendente")))</x:f>
      </x:c>
      <x:c r="G13" s="12" t="n">
        <x:f>IF(COUNTIFS('Acertos aço'!$A$7:$A$106,A13,'Acertos aço'!$H$7:$H$106,"Pendente")&gt;0,"Pendente",SUMIF('Acertos aço'!$A$7:$A$106,A13,'Acertos aço'!$G$7:$G$106))</x:f>
        <x:v>0</x:v>
      </x:c>
      <x:c r="H13" s="12" t="str">
        <x:f>IF(AND(C13="",G13=0),"",IF(AND(ISNUMBER(F13),ISNUMBER(G13),OR(AND(F13=0,G13=0),N13="Sim")),F13+G13,"Pendente"))</x:f>
      </x:c>
      <x:c r="I13" s="11"/>
      <x:c r="J13" s="12" t="str">
        <x:f>IF(AND(D13="",I13=""),"",IF(AND(ISNUMBER(D13),D13&gt;=0,OR(I13="",ISNUMBER(I13)),OR(D13=0,ISNUMBER(Tipos!K13))),IF(D13=0,0,D13*Tipos!K13)+N(I13),"Pendente"))</x:f>
      </x:c>
      <x:c r="K13" s="11"/>
      <x:c r="L13" s="12" t="str">
        <x:f>IF(AND(E13="",K13=""),"",IF(AND(ISNUMBER(E13),E13&gt;=0,OR(K13="",ISNUMBER(K13))),E13*Tipos!L13+N(K13),"Pendente"))</x:f>
      </x:c>
      <x:c r="M13" s="12" t="n">
        <x:f>Tipos!M13</x:f>
        <x:v>0</x:v>
      </x:c>
      <x:c r="N13" s="10"/>
      <x:c r="O13" s="2" t="str">
        <x:f>IF(COUNTA(C13:E13,I13,K13,N13,P13)=0,IF(G13=0,"","Pendente"),IF(OR(Tipos!R13="Não usar duplicado",AND(B13="un",OR(AND(ISNUMBER(C13),C13&lt;&gt;INT(C13)),AND(ISNUMBER(D13),D13&lt;&gt;INT(D13)),AND(ISNUMBER(E13),E13&lt;&gt;INT(E13)))),H13="Pendente",J13="Pendente",L13="Pendente",AND(ISNUMBER(H13),H13&lt;0),AND(ISNUMBER(J13),J13&lt;0),AND(ISNUMBER(L13),L13&lt;0),P13=""),"Pendente","Conferir / registar"))</x:f>
      </x:c>
      <x:c r="P13" s="10"/>
    </x:row>
    <x:row r="14" ht="25" customHeight="1">
      <x:c r="A14" s="2" t="str">
        <x:f>Tipos!A14</x:f>
        <x:v>P4-COB</x:v>
      </x:c>
      <x:c r="B14" s="2" t="str">
        <x:f>Tipos!D14</x:f>
        <x:v>m altura</x:v>
      </x:c>
      <x:c r="C14" s="11"/>
      <x:c r="D14" s="11"/>
      <x:c r="E14" s="11"/>
      <x:c r="F14" s="12" t="str">
        <x:f>IF(C14="","",IF(C14=0,0,IF(AND(ISNUMBER(C14),C14&gt;0,ISNUMBER(Tipos!N14)),C14*Tipos!N14,"Pendente")))</x:f>
      </x:c>
      <x:c r="G14" s="12" t="n">
        <x:f>IF(COUNTIFS('Acertos aço'!$A$7:$A$106,A14,'Acertos aço'!$H$7:$H$106,"Pendente")&gt;0,"Pendente",SUMIF('Acertos aço'!$A$7:$A$106,A14,'Acertos aço'!$G$7:$G$106))</x:f>
        <x:v>0</x:v>
      </x:c>
      <x:c r="H14" s="12" t="str">
        <x:f>IF(AND(C14="",G14=0),"",IF(AND(ISNUMBER(F14),ISNUMBER(G14),OR(AND(F14=0,G14=0),N14="Sim")),F14+G14,"Pendente"))</x:f>
      </x:c>
      <x:c r="I14" s="11"/>
      <x:c r="J14" s="12" t="str">
        <x:f>IF(AND(D14="",I14=""),"",IF(AND(ISNUMBER(D14),D14&gt;=0,OR(I14="",ISNUMBER(I14)),OR(D14=0,ISNUMBER(Tipos!K14))),IF(D14=0,0,D14*Tipos!K14)+N(I14),"Pendente"))</x:f>
      </x:c>
      <x:c r="K14" s="11"/>
      <x:c r="L14" s="12" t="str">
        <x:f>IF(AND(E14="",K14=""),"",IF(AND(ISNUMBER(E14),E14&gt;=0,OR(K14="",ISNUMBER(K14))),E14*Tipos!L14+N(K14),"Pendente"))</x:f>
      </x:c>
      <x:c r="M14" s="12" t="n">
        <x:f>Tipos!M14</x:f>
        <x:v>0</x:v>
      </x:c>
      <x:c r="N14" s="10"/>
      <x:c r="O14" s="2" t="str">
        <x:f>IF(COUNTA(C14:E14,I14,K14,N14,P14)=0,IF(G14=0,"","Pendente"),IF(OR(Tipos!R14="Não usar duplicado",AND(B14="un",OR(AND(ISNUMBER(C14),C14&lt;&gt;INT(C14)),AND(ISNUMBER(D14),D14&lt;&gt;INT(D14)),AND(ISNUMBER(E14),E14&lt;&gt;INT(E14)))),H14="Pendente",J14="Pendente",L14="Pendente",AND(ISNUMBER(H14),H14&lt;0),AND(ISNUMBER(J14),J14&lt;0),AND(ISNUMBER(L14),L14&lt;0),P14=""),"Pendente","Conferir / registar"))</x:f>
      </x:c>
      <x:c r="P14" s="10"/>
    </x:row>
    <x:row r="15" ht="25" customHeight="1">
      <x:c r="A15" s="2" t="str">
        <x:f>Tipos!A15</x:f>
        <x:v>P5-P1</x:v>
      </x:c>
      <x:c r="B15" s="2" t="str">
        <x:f>Tipos!D15</x:f>
        <x:v>m altura</x:v>
      </x:c>
      <x:c r="C15" s="11"/>
      <x:c r="D15" s="11"/>
      <x:c r="E15" s="11"/>
      <x:c r="F15" s="12" t="str">
        <x:f>IF(C15="","",IF(C15=0,0,IF(AND(ISNUMBER(C15),C15&gt;0,ISNUMBER(Tipos!N15)),C15*Tipos!N15,"Pendente")))</x:f>
      </x:c>
      <x:c r="G15" s="12" t="n">
        <x:f>IF(COUNTIFS('Acertos aço'!$A$7:$A$106,A15,'Acertos aço'!$H$7:$H$106,"Pendente")&gt;0,"Pendente",SUMIF('Acertos aço'!$A$7:$A$106,A15,'Acertos aço'!$G$7:$G$106))</x:f>
        <x:v>0</x:v>
      </x:c>
      <x:c r="H15" s="12" t="str">
        <x:f>IF(AND(C15="",G15=0),"",IF(AND(ISNUMBER(F15),ISNUMBER(G15),OR(AND(F15=0,G15=0),N15="Sim")),F15+G15,"Pendente"))</x:f>
      </x:c>
      <x:c r="I15" s="11"/>
      <x:c r="J15" s="12" t="str">
        <x:f>IF(AND(D15="",I15=""),"",IF(AND(ISNUMBER(D15),D15&gt;=0,OR(I15="",ISNUMBER(I15)),OR(D15=0,ISNUMBER(Tipos!K15))),IF(D15=0,0,D15*Tipos!K15)+N(I15),"Pendente"))</x:f>
      </x:c>
      <x:c r="K15" s="11"/>
      <x:c r="L15" s="12" t="str">
        <x:f>IF(AND(E15="",K15=""),"",IF(AND(ISNUMBER(E15),E15&gt;=0,OR(K15="",ISNUMBER(K15))),E15*Tipos!L15+N(K15),"Pendente"))</x:f>
      </x:c>
      <x:c r="M15" s="12" t="n">
        <x:f>Tipos!M15</x:f>
        <x:v>0</x:v>
      </x:c>
      <x:c r="N15" s="10"/>
      <x:c r="O15" s="2" t="str">
        <x:f>IF(COUNTA(C15:E15,I15,K15,N15,P15)=0,IF(G15=0,"","Pendente"),IF(OR(Tipos!R15="Não usar duplicado",AND(B15="un",OR(AND(ISNUMBER(C15),C15&lt;&gt;INT(C15)),AND(ISNUMBER(D15),D15&lt;&gt;INT(D15)),AND(ISNUMBER(E15),E15&lt;&gt;INT(E15)))),H15="Pendente",J15="Pendente",L15="Pendente",AND(ISNUMBER(H15),H15&lt;0),AND(ISNUMBER(J15),J15&lt;0),AND(ISNUMBER(L15),L15&lt;0),P15=""),"Pendente","Conferir / registar"))</x:f>
      </x:c>
      <x:c r="P15" s="10"/>
    </x:row>
    <x:row r="16" ht="25" customHeight="1">
      <x:c r="A16" s="2" t="str">
        <x:f>Tipos!A16</x:f>
        <x:v>P6-P0</x:v>
      </x:c>
      <x:c r="B16" s="2" t="str">
        <x:f>Tipos!D16</x:f>
        <x:v>m altura</x:v>
      </x:c>
      <x:c r="C16" s="11"/>
      <x:c r="D16" s="11"/>
      <x:c r="E16" s="11"/>
      <x:c r="F16" s="12" t="str">
        <x:f>IF(C16="","",IF(C16=0,0,IF(AND(ISNUMBER(C16),C16&gt;0,ISNUMBER(Tipos!N16)),C16*Tipos!N16,"Pendente")))</x:f>
      </x:c>
      <x:c r="G16" s="12" t="n">
        <x:f>IF(COUNTIFS('Acertos aço'!$A$7:$A$106,A16,'Acertos aço'!$H$7:$H$106,"Pendente")&gt;0,"Pendente",SUMIF('Acertos aço'!$A$7:$A$106,A16,'Acertos aço'!$G$7:$G$106))</x:f>
        <x:v>0</x:v>
      </x:c>
      <x:c r="H16" s="12" t="str">
        <x:f>IF(AND(C16="",G16=0),"",IF(AND(ISNUMBER(F16),ISNUMBER(G16),OR(AND(F16=0,G16=0),N16="Sim")),F16+G16,"Pendente"))</x:f>
      </x:c>
      <x:c r="I16" s="11"/>
      <x:c r="J16" s="12" t="str">
        <x:f>IF(AND(D16="",I16=""),"",IF(AND(ISNUMBER(D16),D16&gt;=0,OR(I16="",ISNUMBER(I16)),OR(D16=0,ISNUMBER(Tipos!K16))),IF(D16=0,0,D16*Tipos!K16)+N(I16),"Pendente"))</x:f>
      </x:c>
      <x:c r="K16" s="11"/>
      <x:c r="L16" s="12" t="str">
        <x:f>IF(AND(E16="",K16=""),"",IF(AND(ISNUMBER(E16),E16&gt;=0,OR(K16="",ISNUMBER(K16))),E16*Tipos!L16+N(K16),"Pendente"))</x:f>
      </x:c>
      <x:c r="M16" s="12" t="n">
        <x:f>Tipos!M16</x:f>
        <x:v>0</x:v>
      </x:c>
      <x:c r="N16" s="10"/>
      <x:c r="O16" s="2" t="str">
        <x:f>IF(COUNTA(C16:E16,I16,K16,N16,P16)=0,IF(G16=0,"","Pendente"),IF(OR(Tipos!R16="Não usar duplicado",AND(B16="un",OR(AND(ISNUMBER(C16),C16&lt;&gt;INT(C16)),AND(ISNUMBER(D16),D16&lt;&gt;INT(D16)),AND(ISNUMBER(E16),E16&lt;&gt;INT(E16)))),H16="Pendente",J16="Pendente",L16="Pendente",AND(ISNUMBER(H16),H16&lt;0),AND(ISNUMBER(J16),J16&lt;0),AND(ISNUMBER(L16),L16&lt;0),P16=""),"Pendente","Conferir / registar"))</x:f>
      </x:c>
      <x:c r="P16" s="10"/>
    </x:row>
    <x:row r="17" ht="25" customHeight="1">
      <x:c r="A17" s="2" t="str">
        <x:f>Tipos!A17</x:f>
        <x:v>P6-P1</x:v>
      </x:c>
      <x:c r="B17" s="2" t="str">
        <x:f>Tipos!D17</x:f>
        <x:v>m altura</x:v>
      </x:c>
      <x:c r="C17" s="11"/>
      <x:c r="D17" s="11"/>
      <x:c r="E17" s="11"/>
      <x:c r="F17" s="12" t="str">
        <x:f>IF(C17="","",IF(C17=0,0,IF(AND(ISNUMBER(C17),C17&gt;0,ISNUMBER(Tipos!N17)),C17*Tipos!N17,"Pendente")))</x:f>
      </x:c>
      <x:c r="G17" s="12" t="n">
        <x:f>IF(COUNTIFS('Acertos aço'!$A$7:$A$106,A17,'Acertos aço'!$H$7:$H$106,"Pendente")&gt;0,"Pendente",SUMIF('Acertos aço'!$A$7:$A$106,A17,'Acertos aço'!$G$7:$G$106))</x:f>
        <x:v>0</x:v>
      </x:c>
      <x:c r="H17" s="12" t="str">
        <x:f>IF(AND(C17="",G17=0),"",IF(AND(ISNUMBER(F17),ISNUMBER(G17),OR(AND(F17=0,G17=0),N17="Sim")),F17+G17,"Pendente"))</x:f>
      </x:c>
      <x:c r="I17" s="11"/>
      <x:c r="J17" s="12" t="str">
        <x:f>IF(AND(D17="",I17=""),"",IF(AND(ISNUMBER(D17),D17&gt;=0,OR(I17="",ISNUMBER(I17)),OR(D17=0,ISNUMBER(Tipos!K17))),IF(D17=0,0,D17*Tipos!K17)+N(I17),"Pendente"))</x:f>
      </x:c>
      <x:c r="K17" s="11"/>
      <x:c r="L17" s="12" t="str">
        <x:f>IF(AND(E17="",K17=""),"",IF(AND(ISNUMBER(E17),E17&gt;=0,OR(K17="",ISNUMBER(K17))),E17*Tipos!L17+N(K17),"Pendente"))</x:f>
      </x:c>
      <x:c r="M17" s="12" t="n">
        <x:f>Tipos!M17</x:f>
        <x:v>0</x:v>
      </x:c>
      <x:c r="N17" s="10"/>
      <x:c r="O17" s="2" t="str">
        <x:f>IF(COUNTA(C17:E17,I17,K17,N17,P17)=0,IF(G17=0,"","Pendente"),IF(OR(Tipos!R17="Não usar duplicado",AND(B17="un",OR(AND(ISNUMBER(C17),C17&lt;&gt;INT(C17)),AND(ISNUMBER(D17),D17&lt;&gt;INT(D17)),AND(ISNUMBER(E17),E17&lt;&gt;INT(E17)))),H17="Pendente",J17="Pendente",L17="Pendente",AND(ISNUMBER(H17),H17&lt;0),AND(ISNUMBER(J17),J17&lt;0),AND(ISNUMBER(L17),L17&lt;0),P17=""),"Pendente","Conferir / registar"))</x:f>
      </x:c>
      <x:c r="P17" s="10"/>
    </x:row>
    <x:row r="18" ht="25" customHeight="1">
      <x:c r="A18" s="2" t="str">
        <x:f>Tipos!A18</x:f>
        <x:v>P7-P0</x:v>
      </x:c>
      <x:c r="B18" s="2" t="str">
        <x:f>Tipos!D18</x:f>
        <x:v>m altura</x:v>
      </x:c>
      <x:c r="C18" s="11"/>
      <x:c r="D18" s="11"/>
      <x:c r="E18" s="11"/>
      <x:c r="F18" s="12" t="str">
        <x:f>IF(C18="","",IF(C18=0,0,IF(AND(ISNUMBER(C18),C18&gt;0,ISNUMBER(Tipos!N18)),C18*Tipos!N18,"Pendente")))</x:f>
      </x:c>
      <x:c r="G18" s="12" t="n">
        <x:f>IF(COUNTIFS('Acertos aço'!$A$7:$A$106,A18,'Acertos aço'!$H$7:$H$106,"Pendente")&gt;0,"Pendente",SUMIF('Acertos aço'!$A$7:$A$106,A18,'Acertos aço'!$G$7:$G$106))</x:f>
        <x:v>0</x:v>
      </x:c>
      <x:c r="H18" s="12" t="str">
        <x:f>IF(AND(C18="",G18=0),"",IF(AND(ISNUMBER(F18),ISNUMBER(G18),OR(AND(F18=0,G18=0),N18="Sim")),F18+G18,"Pendente"))</x:f>
      </x:c>
      <x:c r="I18" s="11"/>
      <x:c r="J18" s="12" t="str">
        <x:f>IF(AND(D18="",I18=""),"",IF(AND(ISNUMBER(D18),D18&gt;=0,OR(I18="",ISNUMBER(I18)),OR(D18=0,ISNUMBER(Tipos!K18))),IF(D18=0,0,D18*Tipos!K18)+N(I18),"Pendente"))</x:f>
      </x:c>
      <x:c r="K18" s="11"/>
      <x:c r="L18" s="12" t="str">
        <x:f>IF(AND(E18="",K18=""),"",IF(AND(ISNUMBER(E18),E18&gt;=0,OR(K18="",ISNUMBER(K18))),E18*Tipos!L18+N(K18),"Pendente"))</x:f>
      </x:c>
      <x:c r="M18" s="12" t="n">
        <x:f>Tipos!M18</x:f>
        <x:v>0</x:v>
      </x:c>
      <x:c r="N18" s="10"/>
      <x:c r="O18" s="2" t="str">
        <x:f>IF(COUNTA(C18:E18,I18,K18,N18,P18)=0,IF(G18=0,"","Pendente"),IF(OR(Tipos!R18="Não usar duplicado",AND(B18="un",OR(AND(ISNUMBER(C18),C18&lt;&gt;INT(C18)),AND(ISNUMBER(D18),D18&lt;&gt;INT(D18)),AND(ISNUMBER(E18),E18&lt;&gt;INT(E18)))),H18="Pendente",J18="Pendente",L18="Pendente",AND(ISNUMBER(H18),H18&lt;0),AND(ISNUMBER(J18),J18&lt;0),AND(ISNUMBER(L18),L18&lt;0),P18=""),"Pendente","Conferir / registar"))</x:f>
      </x:c>
      <x:c r="P18" s="10"/>
    </x:row>
    <x:row r="19" ht="25" customHeight="1">
      <x:c r="A19" s="2" t="str">
        <x:f>Tipos!A19</x:f>
        <x:v>P7-P1</x:v>
      </x:c>
      <x:c r="B19" s="2" t="str">
        <x:f>Tipos!D19</x:f>
        <x:v>m altura</x:v>
      </x:c>
      <x:c r="C19" s="11"/>
      <x:c r="D19" s="11"/>
      <x:c r="E19" s="11"/>
      <x:c r="F19" s="12" t="str">
        <x:f>IF(C19="","",IF(C19=0,0,IF(AND(ISNUMBER(C19),C19&gt;0,ISNUMBER(Tipos!N19)),C19*Tipos!N19,"Pendente")))</x:f>
      </x:c>
      <x:c r="G19" s="12" t="n">
        <x:f>IF(COUNTIFS('Acertos aço'!$A$7:$A$106,A19,'Acertos aço'!$H$7:$H$106,"Pendente")&gt;0,"Pendente",SUMIF('Acertos aço'!$A$7:$A$106,A19,'Acertos aço'!$G$7:$G$106))</x:f>
        <x:v>0</x:v>
      </x:c>
      <x:c r="H19" s="12" t="str">
        <x:f>IF(AND(C19="",G19=0),"",IF(AND(ISNUMBER(F19),ISNUMBER(G19),OR(AND(F19=0,G19=0),N19="Sim")),F19+G19,"Pendente"))</x:f>
      </x:c>
      <x:c r="I19" s="11"/>
      <x:c r="J19" s="12" t="str">
        <x:f>IF(AND(D19="",I19=""),"",IF(AND(ISNUMBER(D19),D19&gt;=0,OR(I19="",ISNUMBER(I19)),OR(D19=0,ISNUMBER(Tipos!K19))),IF(D19=0,0,D19*Tipos!K19)+N(I19),"Pendente"))</x:f>
      </x:c>
      <x:c r="K19" s="11"/>
      <x:c r="L19" s="12" t="str">
        <x:f>IF(AND(E19="",K19=""),"",IF(AND(ISNUMBER(E19),E19&gt;=0,OR(K19="",ISNUMBER(K19))),E19*Tipos!L19+N(K19),"Pendente"))</x:f>
      </x:c>
      <x:c r="M19" s="12" t="n">
        <x:f>Tipos!M19</x:f>
        <x:v>0</x:v>
      </x:c>
      <x:c r="N19" s="10"/>
      <x:c r="O19" s="2" t="str">
        <x:f>IF(COUNTA(C19:E19,I19,K19,N19,P19)=0,IF(G19=0,"","Pendente"),IF(OR(Tipos!R19="Não usar duplicado",AND(B19="un",OR(AND(ISNUMBER(C19),C19&lt;&gt;INT(C19)),AND(ISNUMBER(D19),D19&lt;&gt;INT(D19)),AND(ISNUMBER(E19),E19&lt;&gt;INT(E19)))),H19="Pendente",J19="Pendente",L19="Pendente",AND(ISNUMBER(H19),H19&lt;0),AND(ISNUMBER(J19),J19&lt;0),AND(ISNUMBER(L19),L19&lt;0),P19=""),"Pendente","Conferir / registar"))</x:f>
      </x:c>
      <x:c r="P19" s="10"/>
    </x:row>
    <x:row r="20" ht="25" customHeight="1">
      <x:c r="A20" s="2" t="str">
        <x:f>Tipos!A20</x:f>
        <x:v>P7-COB</x:v>
      </x:c>
      <x:c r="B20" s="2" t="str">
        <x:f>Tipos!D20</x:f>
        <x:v>m altura</x:v>
      </x:c>
      <x:c r="C20" s="11"/>
      <x:c r="D20" s="11"/>
      <x:c r="E20" s="11"/>
      <x:c r="F20" s="12" t="str">
        <x:f>IF(C20="","",IF(C20=0,0,IF(AND(ISNUMBER(C20),C20&gt;0,ISNUMBER(Tipos!N20)),C20*Tipos!N20,"Pendente")))</x:f>
      </x:c>
      <x:c r="G20" s="12" t="n">
        <x:f>IF(COUNTIFS('Acertos aço'!$A$7:$A$106,A20,'Acertos aço'!$H$7:$H$106,"Pendente")&gt;0,"Pendente",SUMIF('Acertos aço'!$A$7:$A$106,A20,'Acertos aço'!$G$7:$G$106))</x:f>
        <x:v>0</x:v>
      </x:c>
      <x:c r="H20" s="12" t="str">
        <x:f>IF(AND(C20="",G20=0),"",IF(AND(ISNUMBER(F20),ISNUMBER(G20),OR(AND(F20=0,G20=0),N20="Sim")),F20+G20,"Pendente"))</x:f>
      </x:c>
      <x:c r="I20" s="11"/>
      <x:c r="J20" s="12" t="str">
        <x:f>IF(AND(D20="",I20=""),"",IF(AND(ISNUMBER(D20),D20&gt;=0,OR(I20="",ISNUMBER(I20)),OR(D20=0,ISNUMBER(Tipos!K20))),IF(D20=0,0,D20*Tipos!K20)+N(I20),"Pendente"))</x:f>
      </x:c>
      <x:c r="K20" s="11"/>
      <x:c r="L20" s="12" t="str">
        <x:f>IF(AND(E20="",K20=""),"",IF(AND(ISNUMBER(E20),E20&gt;=0,OR(K20="",ISNUMBER(K20))),E20*Tipos!L20+N(K20),"Pendente"))</x:f>
      </x:c>
      <x:c r="M20" s="12" t="n">
        <x:f>Tipos!M20</x:f>
        <x:v>0</x:v>
      </x:c>
      <x:c r="N20" s="10"/>
      <x:c r="O20" s="2" t="str">
        <x:f>IF(COUNTA(C20:E20,I20,K20,N20,P20)=0,IF(G20=0,"","Pendente"),IF(OR(Tipos!R20="Não usar duplicado",AND(B20="un",OR(AND(ISNUMBER(C20),C20&lt;&gt;INT(C20)),AND(ISNUMBER(D20),D20&lt;&gt;INT(D20)),AND(ISNUMBER(E20),E20&lt;&gt;INT(E20)))),H20="Pendente",J20="Pendente",L20="Pendente",AND(ISNUMBER(H20),H20&lt;0),AND(ISNUMBER(J20),J20&lt;0),AND(ISNUMBER(L20),L20&lt;0),P20=""),"Pendente","Conferir / registar"))</x:f>
      </x:c>
      <x:c r="P20" s="10"/>
    </x:row>
    <x:row r="21" ht="25" customHeight="1">
      <x:c r="A21" s="2" t="str">
        <x:f>Tipos!A21</x:f>
        <x:v>P8-P0</x:v>
      </x:c>
      <x:c r="B21" s="2" t="str">
        <x:f>Tipos!D21</x:f>
        <x:v>m altura</x:v>
      </x:c>
      <x:c r="C21" s="11"/>
      <x:c r="D21" s="11"/>
      <x:c r="E21" s="11"/>
      <x:c r="F21" s="12" t="str">
        <x:f>IF(C21="","",IF(C21=0,0,IF(AND(ISNUMBER(C21),C21&gt;0,ISNUMBER(Tipos!N21)),C21*Tipos!N21,"Pendente")))</x:f>
      </x:c>
      <x:c r="G21" s="12" t="n">
        <x:f>IF(COUNTIFS('Acertos aço'!$A$7:$A$106,A21,'Acertos aço'!$H$7:$H$106,"Pendente")&gt;0,"Pendente",SUMIF('Acertos aço'!$A$7:$A$106,A21,'Acertos aço'!$G$7:$G$106))</x:f>
        <x:v>0</x:v>
      </x:c>
      <x:c r="H21" s="12" t="str">
        <x:f>IF(AND(C21="",G21=0),"",IF(AND(ISNUMBER(F21),ISNUMBER(G21),OR(AND(F21=0,G21=0),N21="Sim")),F21+G21,"Pendente"))</x:f>
      </x:c>
      <x:c r="I21" s="11"/>
      <x:c r="J21" s="12" t="str">
        <x:f>IF(AND(D21="",I21=""),"",IF(AND(ISNUMBER(D21),D21&gt;=0,OR(I21="",ISNUMBER(I21)),OR(D21=0,ISNUMBER(Tipos!K21))),IF(D21=0,0,D21*Tipos!K21)+N(I21),"Pendente"))</x:f>
      </x:c>
      <x:c r="K21" s="11"/>
      <x:c r="L21" s="12" t="str">
        <x:f>IF(AND(E21="",K21=""),"",IF(AND(ISNUMBER(E21),E21&gt;=0,OR(K21="",ISNUMBER(K21))),E21*Tipos!L21+N(K21),"Pendente"))</x:f>
      </x:c>
      <x:c r="M21" s="12" t="n">
        <x:f>Tipos!M21</x:f>
        <x:v>0</x:v>
      </x:c>
      <x:c r="N21" s="10"/>
      <x:c r="O21" s="2" t="str">
        <x:f>IF(COUNTA(C21:E21,I21,K21,N21,P21)=0,IF(G21=0,"","Pendente"),IF(OR(Tipos!R21="Não usar duplicado",AND(B21="un",OR(AND(ISNUMBER(C21),C21&lt;&gt;INT(C21)),AND(ISNUMBER(D21),D21&lt;&gt;INT(D21)),AND(ISNUMBER(E21),E21&lt;&gt;INT(E21)))),H21="Pendente",J21="Pendente",L21="Pendente",AND(ISNUMBER(H21),H21&lt;0),AND(ISNUMBER(J21),J21&lt;0),AND(ISNUMBER(L21),L21&lt;0),P21=""),"Pendente","Conferir / registar"))</x:f>
      </x:c>
      <x:c r="P21" s="10"/>
    </x:row>
    <x:row r="22" ht="25" customHeight="1">
      <x:c r="A22" s="2" t="str">
        <x:f>Tipos!A22</x:f>
        <x:v>P8-P1</x:v>
      </x:c>
      <x:c r="B22" s="2" t="str">
        <x:f>Tipos!D22</x:f>
        <x:v>m altura</x:v>
      </x:c>
      <x:c r="C22" s="11"/>
      <x:c r="D22" s="11"/>
      <x:c r="E22" s="11"/>
      <x:c r="F22" s="12" t="str">
        <x:f>IF(C22="","",IF(C22=0,0,IF(AND(ISNUMBER(C22),C22&gt;0,ISNUMBER(Tipos!N22)),C22*Tipos!N22,"Pendente")))</x:f>
      </x:c>
      <x:c r="G22" s="12" t="n">
        <x:f>IF(COUNTIFS('Acertos aço'!$A$7:$A$106,A22,'Acertos aço'!$H$7:$H$106,"Pendente")&gt;0,"Pendente",SUMIF('Acertos aço'!$A$7:$A$106,A22,'Acertos aço'!$G$7:$G$106))</x:f>
        <x:v>0</x:v>
      </x:c>
      <x:c r="H22" s="12" t="str">
        <x:f>IF(AND(C22="",G22=0),"",IF(AND(ISNUMBER(F22),ISNUMBER(G22),OR(AND(F22=0,G22=0),N22="Sim")),F22+G22,"Pendente"))</x:f>
      </x:c>
      <x:c r="I22" s="11"/>
      <x:c r="J22" s="12" t="str">
        <x:f>IF(AND(D22="",I22=""),"",IF(AND(ISNUMBER(D22),D22&gt;=0,OR(I22="",ISNUMBER(I22)),OR(D22=0,ISNUMBER(Tipos!K22))),IF(D22=0,0,D22*Tipos!K22)+N(I22),"Pendente"))</x:f>
      </x:c>
      <x:c r="K22" s="11"/>
      <x:c r="L22" s="12" t="str">
        <x:f>IF(AND(E22="",K22=""),"",IF(AND(ISNUMBER(E22),E22&gt;=0,OR(K22="",ISNUMBER(K22))),E22*Tipos!L22+N(K22),"Pendente"))</x:f>
      </x:c>
      <x:c r="M22" s="12" t="n">
        <x:f>Tipos!M22</x:f>
        <x:v>0</x:v>
      </x:c>
      <x:c r="N22" s="10"/>
      <x:c r="O22" s="2" t="str">
        <x:f>IF(COUNTA(C22:E22,I22,K22,N22,P22)=0,IF(G22=0,"","Pendente"),IF(OR(Tipos!R22="Não usar duplicado",AND(B22="un",OR(AND(ISNUMBER(C22),C22&lt;&gt;INT(C22)),AND(ISNUMBER(D22),D22&lt;&gt;INT(D22)),AND(ISNUMBER(E22),E22&lt;&gt;INT(E22)))),H22="Pendente",J22="Pendente",L22="Pendente",AND(ISNUMBER(H22),H22&lt;0),AND(ISNUMBER(J22),J22&lt;0),AND(ISNUMBER(L22),L22&lt;0),P22=""),"Pendente","Conferir / registar"))</x:f>
      </x:c>
      <x:c r="P22" s="10"/>
    </x:row>
    <x:row r="23" ht="25" customHeight="1">
      <x:c r="A23" s="2" t="str">
        <x:f>Tipos!A23</x:f>
        <x:v>P9-COB</x:v>
      </x:c>
      <x:c r="B23" s="2" t="str">
        <x:f>Tipos!D23</x:f>
        <x:v>m altura</x:v>
      </x:c>
      <x:c r="C23" s="11"/>
      <x:c r="D23" s="11"/>
      <x:c r="E23" s="11"/>
      <x:c r="F23" s="12" t="str">
        <x:f>IF(C23="","",IF(C23=0,0,IF(AND(ISNUMBER(C23),C23&gt;0,ISNUMBER(Tipos!N23)),C23*Tipos!N23,"Pendente")))</x:f>
      </x:c>
      <x:c r="G23" s="12" t="n">
        <x:f>IF(COUNTIFS('Acertos aço'!$A$7:$A$106,A23,'Acertos aço'!$H$7:$H$106,"Pendente")&gt;0,"Pendente",SUMIF('Acertos aço'!$A$7:$A$106,A23,'Acertos aço'!$G$7:$G$106))</x:f>
        <x:v>0</x:v>
      </x:c>
      <x:c r="H23" s="12" t="str">
        <x:f>IF(AND(C23="",G23=0),"",IF(AND(ISNUMBER(F23),ISNUMBER(G23),OR(AND(F23=0,G23=0),N23="Sim")),F23+G23,"Pendente"))</x:f>
      </x:c>
      <x:c r="I23" s="11"/>
      <x:c r="J23" s="12" t="str">
        <x:f>IF(AND(D23="",I23=""),"",IF(AND(ISNUMBER(D23),D23&gt;=0,OR(I23="",ISNUMBER(I23)),OR(D23=0,ISNUMBER(Tipos!K23))),IF(D23=0,0,D23*Tipos!K23)+N(I23),"Pendente"))</x:f>
      </x:c>
      <x:c r="K23" s="11"/>
      <x:c r="L23" s="12" t="str">
        <x:f>IF(AND(E23="",K23=""),"",IF(AND(ISNUMBER(E23),E23&gt;=0,OR(K23="",ISNUMBER(K23))),E23*Tipos!L23+N(K23),"Pendente"))</x:f>
      </x:c>
      <x:c r="M23" s="12" t="n">
        <x:f>Tipos!M23</x:f>
        <x:v>0</x:v>
      </x:c>
      <x:c r="N23" s="10"/>
      <x:c r="O23" s="2" t="str">
        <x:f>IF(COUNTA(C23:E23,I23,K23,N23,P23)=0,IF(G23=0,"","Pendente"),IF(OR(Tipos!R23="Não usar duplicado",AND(B23="un",OR(AND(ISNUMBER(C23),C23&lt;&gt;INT(C23)),AND(ISNUMBER(D23),D23&lt;&gt;INT(D23)),AND(ISNUMBER(E23),E23&lt;&gt;INT(E23)))),H23="Pendente",J23="Pendente",L23="Pendente",AND(ISNUMBER(H23),H23&lt;0),AND(ISNUMBER(J23),J23&lt;0),AND(ISNUMBER(L23),L23&lt;0),P23=""),"Pendente","Conferir / registar"))</x:f>
      </x:c>
      <x:c r="P23" s="10"/>
    </x:row>
    <x:row r="24" ht="25" customHeight="1">
      <x:c r="A24" s="2" t="str">
        <x:f>Tipos!A24</x:f>
        <x:v>P10-COB</x:v>
      </x:c>
      <x:c r="B24" s="2" t="str">
        <x:f>Tipos!D24</x:f>
        <x:v>m altura</x:v>
      </x:c>
      <x:c r="C24" s="11"/>
      <x:c r="D24" s="11"/>
      <x:c r="E24" s="11"/>
      <x:c r="F24" s="12" t="str">
        <x:f>IF(C24="","",IF(C24=0,0,IF(AND(ISNUMBER(C24),C24&gt;0,ISNUMBER(Tipos!N24)),C24*Tipos!N24,"Pendente")))</x:f>
      </x:c>
      <x:c r="G24" s="12" t="n">
        <x:f>IF(COUNTIFS('Acertos aço'!$A$7:$A$106,A24,'Acertos aço'!$H$7:$H$106,"Pendente")&gt;0,"Pendente",SUMIF('Acertos aço'!$A$7:$A$106,A24,'Acertos aço'!$G$7:$G$106))</x:f>
        <x:v>0</x:v>
      </x:c>
      <x:c r="H24" s="12" t="str">
        <x:f>IF(AND(C24="",G24=0),"",IF(AND(ISNUMBER(F24),ISNUMBER(G24),OR(AND(F24=0,G24=0),N24="Sim")),F24+G24,"Pendente"))</x:f>
      </x:c>
      <x:c r="I24" s="11"/>
      <x:c r="J24" s="12" t="str">
        <x:f>IF(AND(D24="",I24=""),"",IF(AND(ISNUMBER(D24),D24&gt;=0,OR(I24="",ISNUMBER(I24)),OR(D24=0,ISNUMBER(Tipos!K24))),IF(D24=0,0,D24*Tipos!K24)+N(I24),"Pendente"))</x:f>
      </x:c>
      <x:c r="K24" s="11"/>
      <x:c r="L24" s="12" t="str">
        <x:f>IF(AND(E24="",K24=""),"",IF(AND(ISNUMBER(E24),E24&gt;=0,OR(K24="",ISNUMBER(K24))),E24*Tipos!L24+N(K24),"Pendente"))</x:f>
      </x:c>
      <x:c r="M24" s="12" t="n">
        <x:f>Tipos!M24</x:f>
        <x:v>0</x:v>
      </x:c>
      <x:c r="N24" s="10"/>
      <x:c r="O24" s="2" t="str">
        <x:f>IF(COUNTA(C24:E24,I24,K24,N24,P24)=0,IF(G24=0,"","Pendente"),IF(OR(Tipos!R24="Não usar duplicado",AND(B24="un",OR(AND(ISNUMBER(C24),C24&lt;&gt;INT(C24)),AND(ISNUMBER(D24),D24&lt;&gt;INT(D24)),AND(ISNUMBER(E24),E24&lt;&gt;INT(E24)))),H24="Pendente",J24="Pendente",L24="Pendente",AND(ISNUMBER(H24),H24&lt;0),AND(ISNUMBER(J24),J24&lt;0),AND(ISNUMBER(L24),L24&lt;0),P24=""),"Pendente","Conferir / registar"))</x:f>
      </x:c>
      <x:c r="P24" s="10"/>
    </x:row>
    <x:row r="25" ht="25" customHeight="1">
      <x:c r="A25" s="2" t="str">
        <x:f>Tipos!A25</x:f>
        <x:v>P11-COB</x:v>
      </x:c>
      <x:c r="B25" s="2" t="str">
        <x:f>Tipos!D25</x:f>
        <x:v>m altura</x:v>
      </x:c>
      <x:c r="C25" s="11"/>
      <x:c r="D25" s="11"/>
      <x:c r="E25" s="11"/>
      <x:c r="F25" s="12" t="str">
        <x:f>IF(C25="","",IF(C25=0,0,IF(AND(ISNUMBER(C25),C25&gt;0,ISNUMBER(Tipos!N25)),C25*Tipos!N25,"Pendente")))</x:f>
      </x:c>
      <x:c r="G25" s="12" t="n">
        <x:f>IF(COUNTIFS('Acertos aço'!$A$7:$A$106,A25,'Acertos aço'!$H$7:$H$106,"Pendente")&gt;0,"Pendente",SUMIF('Acertos aço'!$A$7:$A$106,A25,'Acertos aço'!$G$7:$G$106))</x:f>
        <x:v>0</x:v>
      </x:c>
      <x:c r="H25" s="12" t="str">
        <x:f>IF(AND(C25="",G25=0),"",IF(AND(ISNUMBER(F25),ISNUMBER(G25),OR(AND(F25=0,G25=0),N25="Sim")),F25+G25,"Pendente"))</x:f>
      </x:c>
      <x:c r="I25" s="11"/>
      <x:c r="J25" s="12" t="str">
        <x:f>IF(AND(D25="",I25=""),"",IF(AND(ISNUMBER(D25),D25&gt;=0,OR(I25="",ISNUMBER(I25)),OR(D25=0,ISNUMBER(Tipos!K25))),IF(D25=0,0,D25*Tipos!K25)+N(I25),"Pendente"))</x:f>
      </x:c>
      <x:c r="K25" s="11"/>
      <x:c r="L25" s="12" t="str">
        <x:f>IF(AND(E25="",K25=""),"",IF(AND(ISNUMBER(E25),E25&gt;=0,OR(K25="",ISNUMBER(K25))),E25*Tipos!L25+N(K25),"Pendente"))</x:f>
      </x:c>
      <x:c r="M25" s="12" t="n">
        <x:f>Tipos!M25</x:f>
        <x:v>0</x:v>
      </x:c>
      <x:c r="N25" s="10"/>
      <x:c r="O25" s="2" t="str">
        <x:f>IF(COUNTA(C25:E25,I25,K25,N25,P25)=0,IF(G25=0,"","Pendente"),IF(OR(Tipos!R25="Não usar duplicado",AND(B25="un",OR(AND(ISNUMBER(C25),C25&lt;&gt;INT(C25)),AND(ISNUMBER(D25),D25&lt;&gt;INT(D25)),AND(ISNUMBER(E25),E25&lt;&gt;INT(E25)))),H25="Pendente",J25="Pendente",L25="Pendente",AND(ISNUMBER(H25),H25&lt;0),AND(ISNUMBER(J25),J25&lt;0),AND(ISNUMBER(L25),L25&lt;0),P25=""),"Pendente","Conferir / registar"))</x:f>
      </x:c>
      <x:c r="P25" s="10"/>
    </x:row>
    <x:row r="26" ht="25" customHeight="1">
      <x:c r="A26" s="2" t="str">
        <x:f>Tipos!A26</x:f>
        <x:v>S1</x:v>
      </x:c>
      <x:c r="B26" s="2" t="str">
        <x:f>Tipos!D26</x:f>
        <x:v>un</x:v>
      </x:c>
      <x:c r="C26" s="11"/>
      <x:c r="D26" s="11"/>
      <x:c r="E26" s="11"/>
      <x:c r="F26" s="12" t="str">
        <x:f>IF(C26="","",IF(C26=0,0,IF(AND(ISNUMBER(C26),C26&gt;0,ISNUMBER(Tipos!N26)),C26*Tipos!N26,"Pendente")))</x:f>
      </x:c>
      <x:c r="G26" s="12" t="n">
        <x:f>IF(COUNTIFS('Acertos aço'!$A$7:$A$106,A26,'Acertos aço'!$H$7:$H$106,"Pendente")&gt;0,"Pendente",SUMIF('Acertos aço'!$A$7:$A$106,A26,'Acertos aço'!$G$7:$G$106))</x:f>
        <x:v>0</x:v>
      </x:c>
      <x:c r="H26" s="12" t="str">
        <x:f>IF(AND(C26="",G26=0),"",IF(AND(ISNUMBER(F26),ISNUMBER(G26),OR(AND(F26=0,G26=0),N26="Sim")),F26+G26,"Pendente"))</x:f>
      </x:c>
      <x:c r="I26" s="11"/>
      <x:c r="J26" s="12" t="str">
        <x:f>IF(AND(D26="",I26=""),"",IF(AND(ISNUMBER(D26),D26&gt;=0,OR(I26="",ISNUMBER(I26)),OR(D26=0,ISNUMBER(Tipos!K26))),IF(D26=0,0,D26*Tipos!K26)+N(I26),"Pendente"))</x:f>
      </x:c>
      <x:c r="K26" s="11"/>
      <x:c r="L26" s="12" t="str">
        <x:f>IF(AND(E26="",K26=""),"",IF(AND(ISNUMBER(E26),E26&gt;=0,OR(K26="",ISNUMBER(K26))),E26*Tipos!L26+N(K26),"Pendente"))</x:f>
      </x:c>
      <x:c r="M26" s="12" t="n">
        <x:f>Tipos!M26</x:f>
        <x:v>0.66</x:v>
      </x:c>
      <x:c r="N26" s="10"/>
      <x:c r="O26" s="2" t="str">
        <x:f>IF(COUNTA(C26:E26,I26,K26,N26,P26)=0,IF(G26=0,"","Pendente"),IF(OR(Tipos!R26="Não usar duplicado",AND(B26="un",OR(AND(ISNUMBER(C26),C26&lt;&gt;INT(C26)),AND(ISNUMBER(D26),D26&lt;&gt;INT(D26)),AND(ISNUMBER(E26),E26&lt;&gt;INT(E26)))),H26="Pendente",J26="Pendente",L26="Pendente",AND(ISNUMBER(H26),H26&lt;0),AND(ISNUMBER(J26),J26&lt;0),AND(ISNUMBER(L26),L26&lt;0),P26=""),"Pendente","Conferir / registar"))</x:f>
      </x:c>
      <x:c r="P26" s="10"/>
    </x:row>
    <x:row r="27" ht="25" customHeight="1">
      <x:c r="A27" s="2" t="str">
        <x:f>Tipos!A27</x:f>
        <x:v>S2</x:v>
      </x:c>
      <x:c r="B27" s="2" t="str">
        <x:f>Tipos!D27</x:f>
        <x:v>un</x:v>
      </x:c>
      <x:c r="C27" s="11"/>
      <x:c r="D27" s="11"/>
      <x:c r="E27" s="11"/>
      <x:c r="F27" s="12" t="str">
        <x:f>IF(C27="","",IF(C27=0,0,IF(AND(ISNUMBER(C27),C27&gt;0,ISNUMBER(Tipos!N27)),C27*Tipos!N27,"Pendente")))</x:f>
      </x:c>
      <x:c r="G27" s="12" t="n">
        <x:f>IF(COUNTIFS('Acertos aço'!$A$7:$A$106,A27,'Acertos aço'!$H$7:$H$106,"Pendente")&gt;0,"Pendente",SUMIF('Acertos aço'!$A$7:$A$106,A27,'Acertos aço'!$G$7:$G$106))</x:f>
        <x:v>0</x:v>
      </x:c>
      <x:c r="H27" s="12" t="str">
        <x:f>IF(AND(C27="",G27=0),"",IF(AND(ISNUMBER(F27),ISNUMBER(G27),OR(AND(F27=0,G27=0),N27="Sim")),F27+G27,"Pendente"))</x:f>
      </x:c>
      <x:c r="I27" s="11"/>
      <x:c r="J27" s="12" t="str">
        <x:f>IF(AND(D27="",I27=""),"",IF(AND(ISNUMBER(D27),D27&gt;=0,OR(I27="",ISNUMBER(I27)),OR(D27=0,ISNUMBER(Tipos!K27))),IF(D27=0,0,D27*Tipos!K27)+N(I27),"Pendente"))</x:f>
      </x:c>
      <x:c r="K27" s="11"/>
      <x:c r="L27" s="12" t="str">
        <x:f>IF(AND(E27="",K27=""),"",IF(AND(ISNUMBER(E27),E27&gt;=0,OR(K27="",ISNUMBER(K27))),E27*Tipos!L27+N(K27),"Pendente"))</x:f>
      </x:c>
      <x:c r="M27" s="12" t="n">
        <x:f>Tipos!M27</x:f>
        <x:v>0.7250000000000001</x:v>
      </x:c>
      <x:c r="N27" s="10"/>
      <x:c r="O27" s="2" t="str">
        <x:f>IF(COUNTA(C27:E27,I27,K27,N27,P27)=0,IF(G27=0,"","Pendente"),IF(OR(Tipos!R27="Não usar duplicado",AND(B27="un",OR(AND(ISNUMBER(C27),C27&lt;&gt;INT(C27)),AND(ISNUMBER(D27),D27&lt;&gt;INT(D27)),AND(ISNUMBER(E27),E27&lt;&gt;INT(E27)))),H27="Pendente",J27="Pendente",L27="Pendente",AND(ISNUMBER(H27),H27&lt;0),AND(ISNUMBER(J27),J27&lt;0),AND(ISNUMBER(L27),L27&lt;0),P27=""),"Pendente","Conferir / registar"))</x:f>
      </x:c>
      <x:c r="P27" s="10"/>
    </x:row>
    <x:row r="28" ht="25" customHeight="1">
      <x:c r="A28" s="2" t="str">
        <x:f>Tipos!A28</x:f>
        <x:v>S3</x:v>
      </x:c>
      <x:c r="B28" s="2" t="str">
        <x:f>Tipos!D28</x:f>
        <x:v>un</x:v>
      </x:c>
      <x:c r="C28" s="11"/>
      <x:c r="D28" s="11"/>
      <x:c r="E28" s="11"/>
      <x:c r="F28" s="12" t="str">
        <x:f>IF(C28="","",IF(C28=0,0,IF(AND(ISNUMBER(C28),C28&gt;0,ISNUMBER(Tipos!N28)),C28*Tipos!N28,"Pendente")))</x:f>
      </x:c>
      <x:c r="G28" s="12" t="n">
        <x:f>IF(COUNTIFS('Acertos aço'!$A$7:$A$106,A28,'Acertos aço'!$H$7:$H$106,"Pendente")&gt;0,"Pendente",SUMIF('Acertos aço'!$A$7:$A$106,A28,'Acertos aço'!$G$7:$G$106))</x:f>
        <x:v>0</x:v>
      </x:c>
      <x:c r="H28" s="12" t="str">
        <x:f>IF(AND(C28="",G28=0),"",IF(AND(ISNUMBER(F28),ISNUMBER(G28),OR(AND(F28=0,G28=0),N28="Sim")),F28+G28,"Pendente"))</x:f>
      </x:c>
      <x:c r="I28" s="11"/>
      <x:c r="J28" s="12" t="str">
        <x:f>IF(AND(D28="",I28=""),"",IF(AND(ISNUMBER(D28),D28&gt;=0,OR(I28="",ISNUMBER(I28)),OR(D28=0,ISNUMBER(Tipos!K28))),IF(D28=0,0,D28*Tipos!K28)+N(I28),"Pendente"))</x:f>
      </x:c>
      <x:c r="K28" s="11"/>
      <x:c r="L28" s="12" t="str">
        <x:f>IF(AND(E28="",K28=""),"",IF(AND(ISNUMBER(E28),E28&gt;=0,OR(K28="",ISNUMBER(K28))),E28*Tipos!L28+N(K28),"Pendente"))</x:f>
      </x:c>
      <x:c r="M28" s="12" t="n">
        <x:f>Tipos!M28</x:f>
        <x:v>0.135</x:v>
      </x:c>
      <x:c r="N28" s="10"/>
      <x:c r="O28" s="2" t="str">
        <x:f>IF(COUNTA(C28:E28,I28,K28,N28,P28)=0,IF(G28=0,"","Pendente"),IF(OR(Tipos!R28="Não usar duplicado",AND(B28="un",OR(AND(ISNUMBER(C28),C28&lt;&gt;INT(C28)),AND(ISNUMBER(D28),D28&lt;&gt;INT(D28)),AND(ISNUMBER(E28),E28&lt;&gt;INT(E28)))),H28="Pendente",J28="Pendente",L28="Pendente",AND(ISNUMBER(H28),H28&lt;0),AND(ISNUMBER(J28),J28&lt;0),AND(ISNUMBER(L28),L28&lt;0),P28=""),"Pendente","Conferir / registar"))</x:f>
      </x:c>
      <x:c r="P28" s="10"/>
    </x:row>
    <x:row r="29" ht="25" customHeight="1">
      <x:c r="A29" s="2" t="str">
        <x:f>Tipos!A29</x:f>
        <x:v>S4</x:v>
      </x:c>
      <x:c r="B29" s="2" t="str">
        <x:f>Tipos!D29</x:f>
        <x:v>un</x:v>
      </x:c>
      <x:c r="C29" s="11"/>
      <x:c r="D29" s="11"/>
      <x:c r="E29" s="11"/>
      <x:c r="F29" s="12" t="str">
        <x:f>IF(C29="","",IF(C29=0,0,IF(AND(ISNUMBER(C29),C29&gt;0,ISNUMBER(Tipos!N29)),C29*Tipos!N29,"Pendente")))</x:f>
      </x:c>
      <x:c r="G29" s="12" t="n">
        <x:f>IF(COUNTIFS('Acertos aço'!$A$7:$A$106,A29,'Acertos aço'!$H$7:$H$106,"Pendente")&gt;0,"Pendente",SUMIF('Acertos aço'!$A$7:$A$106,A29,'Acertos aço'!$G$7:$G$106))</x:f>
        <x:v>0</x:v>
      </x:c>
      <x:c r="H29" s="12" t="str">
        <x:f>IF(AND(C29="",G29=0),"",IF(AND(ISNUMBER(F29),ISNUMBER(G29),OR(AND(F29=0,G29=0),N29="Sim")),F29+G29,"Pendente"))</x:f>
      </x:c>
      <x:c r="I29" s="11"/>
      <x:c r="J29" s="12" t="str">
        <x:f>IF(AND(D29="",I29=""),"",IF(AND(ISNUMBER(D29),D29&gt;=0,OR(I29="",ISNUMBER(I29)),OR(D29=0,ISNUMBER(Tipos!K29))),IF(D29=0,0,D29*Tipos!K29)+N(I29),"Pendente"))</x:f>
      </x:c>
      <x:c r="K29" s="11"/>
      <x:c r="L29" s="12" t="str">
        <x:f>IF(AND(E29="",K29=""),"",IF(AND(ISNUMBER(E29),E29&gt;=0,OR(K29="",ISNUMBER(K29))),E29*Tipos!L29+N(K29),"Pendente"))</x:f>
      </x:c>
      <x:c r="M29" s="12" t="n">
        <x:f>Tipos!M29</x:f>
        <x:v>0.11199999999999999</x:v>
      </x:c>
      <x:c r="N29" s="10"/>
      <x:c r="O29" s="2" t="str">
        <x:f>IF(COUNTA(C29:E29,I29,K29,N29,P29)=0,IF(G29=0,"","Pendente"),IF(OR(Tipos!R29="Não usar duplicado",AND(B29="un",OR(AND(ISNUMBER(C29),C29&lt;&gt;INT(C29)),AND(ISNUMBER(D29),D29&lt;&gt;INT(D29)),AND(ISNUMBER(E29),E29&lt;&gt;INT(E29)))),H29="Pendente",J29="Pendente",L29="Pendente",AND(ISNUMBER(H29),H29&lt;0),AND(ISNUMBER(J29),J29&lt;0),AND(ISNUMBER(L29),L29&lt;0),P29=""),"Pendente","Conferir / registar"))</x:f>
      </x:c>
      <x:c r="P29" s="10"/>
    </x:row>
    <x:row r="30" ht="25" customHeight="1">
      <x:c r="A30" s="2" t="str">
        <x:f>Tipos!A30</x:f>
        <x:v>S5</x:v>
      </x:c>
      <x:c r="B30" s="2" t="str">
        <x:f>Tipos!D30</x:f>
        <x:v>un</x:v>
      </x:c>
      <x:c r="C30" s="11"/>
      <x:c r="D30" s="11"/>
      <x:c r="E30" s="11"/>
      <x:c r="F30" s="12" t="str">
        <x:f>IF(C30="","",IF(C30=0,0,IF(AND(ISNUMBER(C30),C30&gt;0,ISNUMBER(Tipos!N30)),C30*Tipos!N30,"Pendente")))</x:f>
      </x:c>
      <x:c r="G30" s="12" t="n">
        <x:f>IF(COUNTIFS('Acertos aço'!$A$7:$A$106,A30,'Acertos aço'!$H$7:$H$106,"Pendente")&gt;0,"Pendente",SUMIF('Acertos aço'!$A$7:$A$106,A30,'Acertos aço'!$G$7:$G$106))</x:f>
        <x:v>0</x:v>
      </x:c>
      <x:c r="H30" s="12" t="str">
        <x:f>IF(AND(C30="",G30=0),"",IF(AND(ISNUMBER(F30),ISNUMBER(G30),OR(AND(F30=0,G30=0),N30="Sim")),F30+G30,"Pendente"))</x:f>
      </x:c>
      <x:c r="I30" s="11"/>
      <x:c r="J30" s="12" t="str">
        <x:f>IF(AND(D30="",I30=""),"",IF(AND(ISNUMBER(D30),D30&gt;=0,OR(I30="",ISNUMBER(I30)),OR(D30=0,ISNUMBER(Tipos!K30))),IF(D30=0,0,D30*Tipos!K30)+N(I30),"Pendente"))</x:f>
      </x:c>
      <x:c r="K30" s="11"/>
      <x:c r="L30" s="12" t="str">
        <x:f>IF(AND(E30="",K30=""),"",IF(AND(ISNUMBER(E30),E30&gt;=0,OR(K30="",ISNUMBER(K30))),E30*Tipos!L30+N(K30),"Pendente"))</x:f>
      </x:c>
      <x:c r="M30" s="12" t="n">
        <x:f>Tipos!M30</x:f>
        <x:v>0.05</x:v>
      </x:c>
      <x:c r="N30" s="10"/>
      <x:c r="O30" s="2" t="str">
        <x:f>IF(COUNTA(C30:E30,I30,K30,N30,P30)=0,IF(G30=0,"","Pendente"),IF(OR(Tipos!R30="Não usar duplicado",AND(B30="un",OR(AND(ISNUMBER(C30),C30&lt;&gt;INT(C30)),AND(ISNUMBER(D30),D30&lt;&gt;INT(D30)),AND(ISNUMBER(E30),E30&lt;&gt;INT(E30)))),H30="Pendente",J30="Pendente",L30="Pendente",AND(ISNUMBER(H30),H30&lt;0),AND(ISNUMBER(J30),J30&lt;0),AND(ISNUMBER(L30),L30&lt;0),P30=""),"Pendente","Conferir / registar"))</x:f>
      </x:c>
      <x:c r="P30" s="10"/>
    </x:row>
    <x:row r="31" ht="25" customHeight="1">
      <x:c r="A31" s="2" t="str">
        <x:f>Tipos!A31</x:f>
        <x:v>S6</x:v>
      </x:c>
      <x:c r="B31" s="2" t="str">
        <x:f>Tipos!D31</x:f>
        <x:v>un</x:v>
      </x:c>
      <x:c r="C31" s="11"/>
      <x:c r="D31" s="11"/>
      <x:c r="E31" s="11"/>
      <x:c r="F31" s="12" t="str">
        <x:f>IF(C31="","",IF(C31=0,0,IF(AND(ISNUMBER(C31),C31&gt;0,ISNUMBER(Tipos!N31)),C31*Tipos!N31,"Pendente")))</x:f>
      </x:c>
      <x:c r="G31" s="12" t="n">
        <x:f>IF(COUNTIFS('Acertos aço'!$A$7:$A$106,A31,'Acertos aço'!$H$7:$H$106,"Pendente")&gt;0,"Pendente",SUMIF('Acertos aço'!$A$7:$A$106,A31,'Acertos aço'!$G$7:$G$106))</x:f>
        <x:v>0</x:v>
      </x:c>
      <x:c r="H31" s="12" t="str">
        <x:f>IF(AND(C31="",G31=0),"",IF(AND(ISNUMBER(F31),ISNUMBER(G31),OR(AND(F31=0,G31=0),N31="Sim")),F31+G31,"Pendente"))</x:f>
      </x:c>
      <x:c r="I31" s="11"/>
      <x:c r="J31" s="12" t="str">
        <x:f>IF(AND(D31="",I31=""),"",IF(AND(ISNUMBER(D31),D31&gt;=0,OR(I31="",ISNUMBER(I31)),OR(D31=0,ISNUMBER(Tipos!K31))),IF(D31=0,0,D31*Tipos!K31)+N(I31),"Pendente"))</x:f>
      </x:c>
      <x:c r="K31" s="11"/>
      <x:c r="L31" s="12" t="str">
        <x:f>IF(AND(E31="",K31=""),"",IF(AND(ISNUMBER(E31),E31&gt;=0,OR(K31="",ISNUMBER(K31))),E31*Tipos!L31+N(K31),"Pendente"))</x:f>
      </x:c>
      <x:c r="M31" s="12" t="n">
        <x:f>Tipos!M31</x:f>
        <x:v>0.10400000000000001</x:v>
      </x:c>
      <x:c r="N31" s="10"/>
      <x:c r="O31" s="2" t="str">
        <x:f>IF(COUNTA(C31:E31,I31,K31,N31,P31)=0,IF(G31=0,"","Pendente"),IF(OR(Tipos!R31="Não usar duplicado",AND(B31="un",OR(AND(ISNUMBER(C31),C31&lt;&gt;INT(C31)),AND(ISNUMBER(D31),D31&lt;&gt;INT(D31)),AND(ISNUMBER(E31),E31&lt;&gt;INT(E31)))),H31="Pendente",J31="Pendente",L31="Pendente",AND(ISNUMBER(H31),H31&lt;0),AND(ISNUMBER(J31),J31&lt;0),AND(ISNUMBER(L31),L31&lt;0),P31=""),"Pendente","Conferir / registar"))</x:f>
      </x:c>
      <x:c r="P31" s="10"/>
    </x:row>
    <x:row r="32" ht="25" customHeight="1">
      <x:c r="A32" s="2" t="str">
        <x:f>Tipos!A32</x:f>
        <x:v>S7</x:v>
      </x:c>
      <x:c r="B32" s="2" t="str">
        <x:f>Tipos!D32</x:f>
        <x:v>un</x:v>
      </x:c>
      <x:c r="C32" s="11"/>
      <x:c r="D32" s="11"/>
      <x:c r="E32" s="11"/>
      <x:c r="F32" s="12" t="str">
        <x:f>IF(C32="","",IF(C32=0,0,IF(AND(ISNUMBER(C32),C32&gt;0,ISNUMBER(Tipos!N32)),C32*Tipos!N32,"Pendente")))</x:f>
      </x:c>
      <x:c r="G32" s="12" t="n">
        <x:f>IF(COUNTIFS('Acertos aço'!$A$7:$A$106,A32,'Acertos aço'!$H$7:$H$106,"Pendente")&gt;0,"Pendente",SUMIF('Acertos aço'!$A$7:$A$106,A32,'Acertos aço'!$G$7:$G$106))</x:f>
        <x:v>0</x:v>
      </x:c>
      <x:c r="H32" s="12" t="str">
        <x:f>IF(AND(C32="",G32=0),"",IF(AND(ISNUMBER(F32),ISNUMBER(G32),OR(AND(F32=0,G32=0),N32="Sim")),F32+G32,"Pendente"))</x:f>
      </x:c>
      <x:c r="I32" s="11"/>
      <x:c r="J32" s="12" t="str">
        <x:f>IF(AND(D32="",I32=""),"",IF(AND(ISNUMBER(D32),D32&gt;=0,OR(I32="",ISNUMBER(I32)),OR(D32=0,ISNUMBER(Tipos!K32))),IF(D32=0,0,D32*Tipos!K32)+N(I32),"Pendente"))</x:f>
      </x:c>
      <x:c r="K32" s="11"/>
      <x:c r="L32" s="12" t="str">
        <x:f>IF(AND(E32="",K32=""),"",IF(AND(ISNUMBER(E32),E32&gt;=0,OR(K32="",ISNUMBER(K32))),E32*Tipos!L32+N(K32),"Pendente"))</x:f>
      </x:c>
      <x:c r="M32" s="12" t="n">
        <x:f>Tipos!M32</x:f>
        <x:v>0.124</x:v>
      </x:c>
      <x:c r="N32" s="10"/>
      <x:c r="O32" s="2" t="str">
        <x:f>IF(COUNTA(C32:E32,I32,K32,N32,P32)=0,IF(G32=0,"","Pendente"),IF(OR(Tipos!R32="Não usar duplicado",AND(B32="un",OR(AND(ISNUMBER(C32),C32&lt;&gt;INT(C32)),AND(ISNUMBER(D32),D32&lt;&gt;INT(D32)),AND(ISNUMBER(E32),E32&lt;&gt;INT(E32)))),H32="Pendente",J32="Pendente",L32="Pendente",AND(ISNUMBER(H32),H32&lt;0),AND(ISNUMBER(J32),J32&lt;0),AND(ISNUMBER(L32),L32&lt;0),P32=""),"Pendente","Conferir / registar"))</x:f>
      </x:c>
      <x:c r="P32" s="10"/>
    </x:row>
    <x:row r="33" ht="25" customHeight="1">
      <x:c r="A33" s="2" t="str">
        <x:f>Tipos!A33</x:f>
        <x:v>SAP-Pb1</x:v>
      </x:c>
      <x:c r="B33" s="2" t="str">
        <x:f>Tipos!D33</x:f>
        <x:v>m comprimento</x:v>
      </x:c>
      <x:c r="C33" s="11"/>
      <x:c r="D33" s="11"/>
      <x:c r="E33" s="11"/>
      <x:c r="F33" s="12" t="str">
        <x:f>IF(C33="","",IF(C33=0,0,IF(AND(ISNUMBER(C33),C33&gt;0,ISNUMBER(Tipos!N33)),C33*Tipos!N33,"Pendente")))</x:f>
      </x:c>
      <x:c r="G33" s="12" t="n">
        <x:f>IF(COUNTIFS('Acertos aço'!$A$7:$A$106,A33,'Acertos aço'!$H$7:$H$106,"Pendente")&gt;0,"Pendente",SUMIF('Acertos aço'!$A$7:$A$106,A33,'Acertos aço'!$G$7:$G$106))</x:f>
        <x:v>0</x:v>
      </x:c>
      <x:c r="H33" s="12" t="str">
        <x:f>IF(AND(C33="",G33=0),"",IF(AND(ISNUMBER(F33),ISNUMBER(G33),OR(AND(F33=0,G33=0),N33="Sim")),F33+G33,"Pendente"))</x:f>
      </x:c>
      <x:c r="I33" s="11"/>
      <x:c r="J33" s="12" t="str">
        <x:f>IF(AND(D33="",I33=""),"",IF(AND(ISNUMBER(D33),D33&gt;=0,OR(I33="",ISNUMBER(I33)),OR(D33=0,ISNUMBER(Tipos!K33))),IF(D33=0,0,D33*Tipos!K33)+N(I33),"Pendente"))</x:f>
      </x:c>
      <x:c r="K33" s="11"/>
      <x:c r="L33" s="12" t="str">
        <x:f>IF(AND(E33="",K33=""),"",IF(AND(ISNUMBER(E33),E33&gt;=0,OR(K33="",ISNUMBER(K33))),E33*Tipos!L33+N(K33),"Pendente"))</x:f>
      </x:c>
      <x:c r="M33" s="12" t="n">
        <x:f>Tipos!M33</x:f>
        <x:v>0.04000000000000001</x:v>
      </x:c>
      <x:c r="N33" s="10"/>
      <x:c r="O33" s="2" t="str">
        <x:f>IF(COUNTA(C33:E33,I33,K33,N33,P33)=0,IF(G33=0,"","Pendente"),IF(OR(Tipos!R33="Não usar duplicado",AND(B33="un",OR(AND(ISNUMBER(C33),C33&lt;&gt;INT(C33)),AND(ISNUMBER(D33),D33&lt;&gt;INT(D33)),AND(ISNUMBER(E33),E33&lt;&gt;INT(E33)))),H33="Pendente",J33="Pendente",L33="Pendente",AND(ISNUMBER(H33),H33&lt;0),AND(ISNUMBER(J33),J33&lt;0),AND(ISNUMBER(L33),L33&lt;0),P33=""),"Pendente","Conferir / registar"))</x:f>
      </x:c>
      <x:c r="P33" s="10"/>
    </x:row>
    <x:row r="34" ht="25" customHeight="1">
      <x:c r="A34" s="2" t="str">
        <x:f>Tipos!A34</x:f>
        <x:v>MS.1-MURO</x:v>
      </x:c>
      <x:c r="B34" s="2" t="str">
        <x:f>Tipos!D34</x:f>
        <x:v>m comprimento</x:v>
      </x:c>
      <x:c r="C34" s="11"/>
      <x:c r="D34" s="11"/>
      <x:c r="E34" s="11"/>
      <x:c r="F34" s="12" t="str">
        <x:f>IF(C34="","",IF(C34=0,0,IF(AND(ISNUMBER(C34),C34&gt;0,ISNUMBER(Tipos!N34)),C34*Tipos!N34,"Pendente")))</x:f>
      </x:c>
      <x:c r="G34" s="12" t="n">
        <x:f>IF(COUNTIFS('Acertos aço'!$A$7:$A$106,A34,'Acertos aço'!$H$7:$H$106,"Pendente")&gt;0,"Pendente",SUMIF('Acertos aço'!$A$7:$A$106,A34,'Acertos aço'!$G$7:$G$106))</x:f>
        <x:v>0</x:v>
      </x:c>
      <x:c r="H34" s="12" t="str">
        <x:f>IF(AND(C34="",G34=0),"",IF(AND(ISNUMBER(F34),ISNUMBER(G34),OR(AND(F34=0,G34=0),N34="Sim")),F34+G34,"Pendente"))</x:f>
      </x:c>
      <x:c r="I34" s="11"/>
      <x:c r="J34" s="12" t="str">
        <x:f>IF(AND(D34="",I34=""),"",IF(AND(ISNUMBER(D34),D34&gt;=0,OR(I34="",ISNUMBER(I34)),OR(D34=0,ISNUMBER(Tipos!K34))),IF(D34=0,0,D34*Tipos!K34)+N(I34),"Pendente"))</x:f>
      </x:c>
      <x:c r="K34" s="11"/>
      <x:c r="L34" s="12" t="str">
        <x:f>IF(AND(E34="",K34=""),"",IF(AND(ISNUMBER(E34),E34&gt;=0,OR(K34="",ISNUMBER(K34))),E34*Tipos!L34+N(K34),"Pendente"))</x:f>
      </x:c>
      <x:c r="M34" s="12" t="n">
        <x:f>Tipos!M34</x:f>
        <x:v>0</x:v>
      </x:c>
      <x:c r="N34" s="10"/>
      <x:c r="O34" s="2" t="str">
        <x:f>IF(COUNTA(C34:E34,I34,K34,N34,P34)=0,IF(G34=0,"","Pendente"),IF(OR(Tipos!R34="Não usar duplicado",AND(B34="un",OR(AND(ISNUMBER(C34),C34&lt;&gt;INT(C34)),AND(ISNUMBER(D34),D34&lt;&gt;INT(D34)),AND(ISNUMBER(E34),E34&lt;&gt;INT(E34)))),H34="Pendente",J34="Pendente",L34="Pendente",AND(ISNUMBER(H34),H34&lt;0),AND(ISNUMBER(J34),J34&lt;0),AND(ISNUMBER(L34),L34&lt;0),P34=""),"Pendente","Conferir / registar"))</x:f>
      </x:c>
      <x:c r="P34" s="10"/>
    </x:row>
    <x:row r="35" ht="25" customHeight="1">
      <x:c r="A35" s="2" t="str">
        <x:f>Tipos!A35</x:f>
        <x:v>MS.1-SAP</x:v>
      </x:c>
      <x:c r="B35" s="2" t="str">
        <x:f>Tipos!D35</x:f>
        <x:v>m comprimento</x:v>
      </x:c>
      <x:c r="C35" s="11"/>
      <x:c r="D35" s="11"/>
      <x:c r="E35" s="11"/>
      <x:c r="F35" s="12" t="str">
        <x:f>IF(C35="","",IF(C35=0,0,IF(AND(ISNUMBER(C35),C35&gt;0,ISNUMBER(Tipos!N35)),C35*Tipos!N35,"Pendente")))</x:f>
      </x:c>
      <x:c r="G35" s="12" t="n">
        <x:f>IF(COUNTIFS('Acertos aço'!$A$7:$A$106,A35,'Acertos aço'!$H$7:$H$106,"Pendente")&gt;0,"Pendente",SUMIF('Acertos aço'!$A$7:$A$106,A35,'Acertos aço'!$G$7:$G$106))</x:f>
        <x:v>0</x:v>
      </x:c>
      <x:c r="H35" s="12" t="str">
        <x:f>IF(AND(C35="",G35=0),"",IF(AND(ISNUMBER(F35),ISNUMBER(G35),OR(AND(F35=0,G35=0),N35="Sim")),F35+G35,"Pendente"))</x:f>
      </x:c>
      <x:c r="I35" s="11"/>
      <x:c r="J35" s="12" t="str">
        <x:f>IF(AND(D35="",I35=""),"",IF(AND(ISNUMBER(D35),D35&gt;=0,OR(I35="",ISNUMBER(I35)),OR(D35=0,ISNUMBER(Tipos!K35))),IF(D35=0,0,D35*Tipos!K35)+N(I35),"Pendente"))</x:f>
      </x:c>
      <x:c r="K35" s="11"/>
      <x:c r="L35" s="12" t="str">
        <x:f>IF(AND(E35="",K35=""),"",IF(AND(ISNUMBER(E35),E35&gt;=0,OR(K35="",ISNUMBER(K35))),E35*Tipos!L35+N(K35),"Pendente"))</x:f>
      </x:c>
      <x:c r="M35" s="12" t="n">
        <x:f>Tipos!M35</x:f>
        <x:v>0.04000000000000001</x:v>
      </x:c>
      <x:c r="N35" s="10"/>
      <x:c r="O35" s="2" t="str">
        <x:f>IF(COUNTA(C35:E35,I35,K35,N35,P35)=0,IF(G35=0,"","Pendente"),IF(OR(Tipos!R35="Não usar duplicado",AND(B35="un",OR(AND(ISNUMBER(C35),C35&lt;&gt;INT(C35)),AND(ISNUMBER(D35),D35&lt;&gt;INT(D35)),AND(ISNUMBER(E35),E35&lt;&gt;INT(E35)))),H35="Pendente",J35="Pendente",L35="Pendente",AND(ISNUMBER(H35),H35&lt;0),AND(ISNUMBER(J35),J35&lt;0),AND(ISNUMBER(L35),L35&lt;0),P35=""),"Pendente","Conferir / registar"))</x:f>
      </x:c>
      <x:c r="P35" s="10"/>
    </x:row>
    <x:row r="36" ht="25" customHeight="1">
      <x:c r="A36" s="2" t="str">
        <x:f>Tipos!A36</x:f>
        <x:v>MS.2-MURO</x:v>
      </x:c>
      <x:c r="B36" s="2" t="str">
        <x:f>Tipos!D36</x:f>
        <x:v>m comprimento</x:v>
      </x:c>
      <x:c r="C36" s="11"/>
      <x:c r="D36" s="11"/>
      <x:c r="E36" s="11"/>
      <x:c r="F36" s="12" t="str">
        <x:f>IF(C36="","",IF(C36=0,0,IF(AND(ISNUMBER(C36),C36&gt;0,ISNUMBER(Tipos!N36)),C36*Tipos!N36,"Pendente")))</x:f>
      </x:c>
      <x:c r="G36" s="12" t="n">
        <x:f>IF(COUNTIFS('Acertos aço'!$A$7:$A$106,A36,'Acertos aço'!$H$7:$H$106,"Pendente")&gt;0,"Pendente",SUMIF('Acertos aço'!$A$7:$A$106,A36,'Acertos aço'!$G$7:$G$106))</x:f>
        <x:v>0</x:v>
      </x:c>
      <x:c r="H36" s="12" t="str">
        <x:f>IF(AND(C36="",G36=0),"",IF(AND(ISNUMBER(F36),ISNUMBER(G36),OR(AND(F36=0,G36=0),N36="Sim")),F36+G36,"Pendente"))</x:f>
      </x:c>
      <x:c r="I36" s="11"/>
      <x:c r="J36" s="12" t="str">
        <x:f>IF(AND(D36="",I36=""),"",IF(AND(ISNUMBER(D36),D36&gt;=0,OR(I36="",ISNUMBER(I36)),OR(D36=0,ISNUMBER(Tipos!K36))),IF(D36=0,0,D36*Tipos!K36)+N(I36),"Pendente"))</x:f>
      </x:c>
      <x:c r="K36" s="11"/>
      <x:c r="L36" s="12" t="str">
        <x:f>IF(AND(E36="",K36=""),"",IF(AND(ISNUMBER(E36),E36&gt;=0,OR(K36="",ISNUMBER(K36))),E36*Tipos!L36+N(K36),"Pendente"))</x:f>
      </x:c>
      <x:c r="M36" s="12" t="n">
        <x:f>Tipos!M36</x:f>
        <x:v>0</x:v>
      </x:c>
      <x:c r="N36" s="10"/>
      <x:c r="O36" s="2" t="str">
        <x:f>IF(COUNTA(C36:E36,I36,K36,N36,P36)=0,IF(G36=0,"","Pendente"),IF(OR(Tipos!R36="Não usar duplicado",AND(B36="un",OR(AND(ISNUMBER(C36),C36&lt;&gt;INT(C36)),AND(ISNUMBER(D36),D36&lt;&gt;INT(D36)),AND(ISNUMBER(E36),E36&lt;&gt;INT(E36)))),H36="Pendente",J36="Pendente",L36="Pendente",AND(ISNUMBER(H36),H36&lt;0),AND(ISNUMBER(J36),J36&lt;0),AND(ISNUMBER(L36),L36&lt;0),P36=""),"Pendente","Conferir / registar"))</x:f>
      </x:c>
      <x:c r="P36" s="10"/>
    </x:row>
    <x:row r="37" ht="25" customHeight="1">
      <x:c r="A37" s="2" t="str">
        <x:f>Tipos!A37</x:f>
        <x:v>MS.2-SAP</x:v>
      </x:c>
      <x:c r="B37" s="2" t="str">
        <x:f>Tipos!D37</x:f>
        <x:v>m comprimento</x:v>
      </x:c>
      <x:c r="C37" s="11"/>
      <x:c r="D37" s="11"/>
      <x:c r="E37" s="11"/>
      <x:c r="F37" s="12" t="str">
        <x:f>IF(C37="","",IF(C37=0,0,IF(AND(ISNUMBER(C37),C37&gt;0,ISNUMBER(Tipos!N37)),C37*Tipos!N37,"Pendente")))</x:f>
      </x:c>
      <x:c r="G37" s="12" t="n">
        <x:f>IF(COUNTIFS('Acertos aço'!$A$7:$A$106,A37,'Acertos aço'!$H$7:$H$106,"Pendente")&gt;0,"Pendente",SUMIF('Acertos aço'!$A$7:$A$106,A37,'Acertos aço'!$G$7:$G$106))</x:f>
        <x:v>0</x:v>
      </x:c>
      <x:c r="H37" s="12" t="str">
        <x:f>IF(AND(C37="",G37=0),"",IF(AND(ISNUMBER(F37),ISNUMBER(G37),OR(AND(F37=0,G37=0),N37="Sim")),F37+G37,"Pendente"))</x:f>
      </x:c>
      <x:c r="I37" s="11"/>
      <x:c r="J37" s="12" t="str">
        <x:f>IF(AND(D37="",I37=""),"",IF(AND(ISNUMBER(D37),D37&gt;=0,OR(I37="",ISNUMBER(I37)),OR(D37=0,ISNUMBER(Tipos!K37))),IF(D37=0,0,D37*Tipos!K37)+N(I37),"Pendente"))</x:f>
      </x:c>
      <x:c r="K37" s="11"/>
      <x:c r="L37" s="12" t="str">
        <x:f>IF(AND(E37="",K37=""),"",IF(AND(ISNUMBER(E37),E37&gt;=0,OR(K37="",ISNUMBER(K37))),E37*Tipos!L37+N(K37),"Pendente"))</x:f>
      </x:c>
      <x:c r="M37" s="12" t="n">
        <x:f>Tipos!M37</x:f>
        <x:v>0.1325</x:v>
      </x:c>
      <x:c r="N37" s="10"/>
      <x:c r="O37" s="2" t="str">
        <x:f>IF(COUNTA(C37:E37,I37,K37,N37,P37)=0,IF(G37=0,"","Pendente"),IF(OR(Tipos!R37="Não usar duplicado",AND(B37="un",OR(AND(ISNUMBER(C37),C37&lt;&gt;INT(C37)),AND(ISNUMBER(D37),D37&lt;&gt;INT(D37)),AND(ISNUMBER(E37),E37&lt;&gt;INT(E37)))),H37="Pendente",J37="Pendente",L37="Pendente",AND(ISNUMBER(H37),H37&lt;0),AND(ISNUMBER(J37),J37&lt;0),AND(ISNUMBER(L37),L37&lt;0),P37=""),"Pendente","Conferir / registar"))</x:f>
      </x:c>
      <x:c r="P37" s="10"/>
    </x:row>
    <x:row r="38" ht="25" customHeight="1">
      <x:c r="A38" s="2" t="str">
        <x:f>Tipos!A38</x:f>
        <x:v>MS.3-MURO</x:v>
      </x:c>
      <x:c r="B38" s="2" t="str">
        <x:f>Tipos!D38</x:f>
        <x:v>m comprimento</x:v>
      </x:c>
      <x:c r="C38" s="11"/>
      <x:c r="D38" s="11"/>
      <x:c r="E38" s="11"/>
      <x:c r="F38" s="12" t="str">
        <x:f>IF(C38="","",IF(C38=0,0,IF(AND(ISNUMBER(C38),C38&gt;0,ISNUMBER(Tipos!N38)),C38*Tipos!N38,"Pendente")))</x:f>
      </x:c>
      <x:c r="G38" s="12" t="n">
        <x:f>IF(COUNTIFS('Acertos aço'!$A$7:$A$106,A38,'Acertos aço'!$H$7:$H$106,"Pendente")&gt;0,"Pendente",SUMIF('Acertos aço'!$A$7:$A$106,A38,'Acertos aço'!$G$7:$G$106))</x:f>
        <x:v>0</x:v>
      </x:c>
      <x:c r="H38" s="12" t="str">
        <x:f>IF(AND(C38="",G38=0),"",IF(AND(ISNUMBER(F38),ISNUMBER(G38),OR(AND(F38=0,G38=0),N38="Sim")),F38+G38,"Pendente"))</x:f>
      </x:c>
      <x:c r="I38" s="11"/>
      <x:c r="J38" s="12" t="str">
        <x:f>IF(AND(D38="",I38=""),"",IF(AND(ISNUMBER(D38),D38&gt;=0,OR(I38="",ISNUMBER(I38)),OR(D38=0,ISNUMBER(Tipos!K38))),IF(D38=0,0,D38*Tipos!K38)+N(I38),"Pendente"))</x:f>
      </x:c>
      <x:c r="K38" s="11"/>
      <x:c r="L38" s="12" t="str">
        <x:f>IF(AND(E38="",K38=""),"",IF(AND(ISNUMBER(E38),E38&gt;=0,OR(K38="",ISNUMBER(K38))),E38*Tipos!L38+N(K38),"Pendente"))</x:f>
      </x:c>
      <x:c r="M38" s="12" t="n">
        <x:f>Tipos!M38</x:f>
        <x:v>0</x:v>
      </x:c>
      <x:c r="N38" s="10"/>
      <x:c r="O38" s="2" t="str">
        <x:f>IF(COUNTA(C38:E38,I38,K38,N38,P38)=0,IF(G38=0,"","Pendente"),IF(OR(Tipos!R38="Não usar duplicado",AND(B38="un",OR(AND(ISNUMBER(C38),C38&lt;&gt;INT(C38)),AND(ISNUMBER(D38),D38&lt;&gt;INT(D38)),AND(ISNUMBER(E38),E38&lt;&gt;INT(E38)))),H38="Pendente",J38="Pendente",L38="Pendente",AND(ISNUMBER(H38),H38&lt;0),AND(ISNUMBER(J38),J38&lt;0),AND(ISNUMBER(L38),L38&lt;0),P38=""),"Pendente","Conferir / registar"))</x:f>
      </x:c>
      <x:c r="P38" s="10"/>
    </x:row>
    <x:row r="39" ht="25" customHeight="1">
      <x:c r="A39" s="2" t="str">
        <x:f>Tipos!A39</x:f>
        <x:v>MS.3-SAP</x:v>
      </x:c>
      <x:c r="B39" s="2" t="str">
        <x:f>Tipos!D39</x:f>
        <x:v>m comprimento</x:v>
      </x:c>
      <x:c r="C39" s="11"/>
      <x:c r="D39" s="11"/>
      <x:c r="E39" s="11"/>
      <x:c r="F39" s="12" t="str">
        <x:f>IF(C39="","",IF(C39=0,0,IF(AND(ISNUMBER(C39),C39&gt;0,ISNUMBER(Tipos!N39)),C39*Tipos!N39,"Pendente")))</x:f>
      </x:c>
      <x:c r="G39" s="12" t="n">
        <x:f>IF(COUNTIFS('Acertos aço'!$A$7:$A$106,A39,'Acertos aço'!$H$7:$H$106,"Pendente")&gt;0,"Pendente",SUMIF('Acertos aço'!$A$7:$A$106,A39,'Acertos aço'!$G$7:$G$106))</x:f>
        <x:v>0</x:v>
      </x:c>
      <x:c r="H39" s="12" t="str">
        <x:f>IF(AND(C39="",G39=0),"",IF(AND(ISNUMBER(F39),ISNUMBER(G39),OR(AND(F39=0,G39=0),N39="Sim")),F39+G39,"Pendente"))</x:f>
      </x:c>
      <x:c r="I39" s="11"/>
      <x:c r="J39" s="12" t="str">
        <x:f>IF(AND(D39="",I39=""),"",IF(AND(ISNUMBER(D39),D39&gt;=0,OR(I39="",ISNUMBER(I39)),OR(D39=0,ISNUMBER(Tipos!K39))),IF(D39=0,0,D39*Tipos!K39)+N(I39),"Pendente"))</x:f>
      </x:c>
      <x:c r="K39" s="11"/>
      <x:c r="L39" s="12" t="str">
        <x:f>IF(AND(E39="",K39=""),"",IF(AND(ISNUMBER(E39),E39&gt;=0,OR(K39="",ISNUMBER(K39))),E39*Tipos!L39+N(K39),"Pendente"))</x:f>
      </x:c>
      <x:c r="M39" s="12" t="n">
        <x:f>Tipos!M39</x:f>
        <x:v>0.09250000000000001</x:v>
      </x:c>
      <x:c r="N39" s="10"/>
      <x:c r="O39" s="2" t="str">
        <x:f>IF(COUNTA(C39:E39,I39,K39,N39,P39)=0,IF(G39=0,"","Pendente"),IF(OR(Tipos!R39="Não usar duplicado",AND(B39="un",OR(AND(ISNUMBER(C39),C39&lt;&gt;INT(C39)),AND(ISNUMBER(D39),D39&lt;&gt;INT(D39)),AND(ISNUMBER(E39),E39&lt;&gt;INT(E39)))),H39="Pendente",J39="Pendente",L39="Pendente",AND(ISNUMBER(H39),H39&lt;0),AND(ISNUMBER(J39),J39&lt;0),AND(ISNUMBER(L39),L39&lt;0),P39=""),"Pendente","Conferir / registar"))</x:f>
      </x:c>
      <x:c r="P39" s="10"/>
    </x:row>
    <x:row r="40" ht="25" customHeight="1">
      <x:c r="A40" s="2" t="str">
        <x:f>Tipos!A40</x:f>
        <x:v>MS.4-MURO</x:v>
      </x:c>
      <x:c r="B40" s="2" t="str">
        <x:f>Tipos!D40</x:f>
        <x:v>m comprimento</x:v>
      </x:c>
      <x:c r="C40" s="11"/>
      <x:c r="D40" s="11"/>
      <x:c r="E40" s="11"/>
      <x:c r="F40" s="12" t="str">
        <x:f>IF(C40="","",IF(C40=0,0,IF(AND(ISNUMBER(C40),C40&gt;0,ISNUMBER(Tipos!N40)),C40*Tipos!N40,"Pendente")))</x:f>
      </x:c>
      <x:c r="G40" s="12" t="n">
        <x:f>IF(COUNTIFS('Acertos aço'!$A$7:$A$106,A40,'Acertos aço'!$H$7:$H$106,"Pendente")&gt;0,"Pendente",SUMIF('Acertos aço'!$A$7:$A$106,A40,'Acertos aço'!$G$7:$G$106))</x:f>
        <x:v>0</x:v>
      </x:c>
      <x:c r="H40" s="12" t="str">
        <x:f>IF(AND(C40="",G40=0),"",IF(AND(ISNUMBER(F40),ISNUMBER(G40),OR(AND(F40=0,G40=0),N40="Sim")),F40+G40,"Pendente"))</x:f>
      </x:c>
      <x:c r="I40" s="11"/>
      <x:c r="J40" s="12" t="str">
        <x:f>IF(AND(D40="",I40=""),"",IF(AND(ISNUMBER(D40),D40&gt;=0,OR(I40="",ISNUMBER(I40)),OR(D40=0,ISNUMBER(Tipos!K40))),IF(D40=0,0,D40*Tipos!K40)+N(I40),"Pendente"))</x:f>
      </x:c>
      <x:c r="K40" s="11"/>
      <x:c r="L40" s="12" t="str">
        <x:f>IF(AND(E40="",K40=""),"",IF(AND(ISNUMBER(E40),E40&gt;=0,OR(K40="",ISNUMBER(K40))),E40*Tipos!L40+N(K40),"Pendente"))</x:f>
      </x:c>
      <x:c r="M40" s="12" t="n">
        <x:f>Tipos!M40</x:f>
        <x:v>0</x:v>
      </x:c>
      <x:c r="N40" s="10"/>
      <x:c r="O40" s="2" t="str">
        <x:f>IF(COUNTA(C40:E40,I40,K40,N40,P40)=0,IF(G40=0,"","Pendente"),IF(OR(Tipos!R40="Não usar duplicado",AND(B40="un",OR(AND(ISNUMBER(C40),C40&lt;&gt;INT(C40)),AND(ISNUMBER(D40),D40&lt;&gt;INT(D40)),AND(ISNUMBER(E40),E40&lt;&gt;INT(E40)))),H40="Pendente",J40="Pendente",L40="Pendente",AND(ISNUMBER(H40),H40&lt;0),AND(ISNUMBER(J40),J40&lt;0),AND(ISNUMBER(L40),L40&lt;0),P40=""),"Pendente","Conferir / registar"))</x:f>
      </x:c>
      <x:c r="P40" s="10"/>
    </x:row>
    <x:row r="41" ht="25" customHeight="1">
      <x:c r="A41" s="2" t="str">
        <x:f>Tipos!A41</x:f>
        <x:v>MS.4-SAP</x:v>
      </x:c>
      <x:c r="B41" s="2" t="str">
        <x:f>Tipos!D41</x:f>
        <x:v>m comprimento</x:v>
      </x:c>
      <x:c r="C41" s="11"/>
      <x:c r="D41" s="11"/>
      <x:c r="E41" s="11"/>
      <x:c r="F41" s="12" t="str">
        <x:f>IF(C41="","",IF(C41=0,0,IF(AND(ISNUMBER(C41),C41&gt;0,ISNUMBER(Tipos!N41)),C41*Tipos!N41,"Pendente")))</x:f>
      </x:c>
      <x:c r="G41" s="12" t="n">
        <x:f>IF(COUNTIFS('Acertos aço'!$A$7:$A$106,A41,'Acertos aço'!$H$7:$H$106,"Pendente")&gt;0,"Pendente",SUMIF('Acertos aço'!$A$7:$A$106,A41,'Acertos aço'!$G$7:$G$106))</x:f>
        <x:v>0</x:v>
      </x:c>
      <x:c r="H41" s="12" t="str">
        <x:f>IF(AND(C41="",G41=0),"",IF(AND(ISNUMBER(F41),ISNUMBER(G41),OR(AND(F41=0,G41=0),N41="Sim")),F41+G41,"Pendente"))</x:f>
      </x:c>
      <x:c r="I41" s="11"/>
      <x:c r="J41" s="12" t="str">
        <x:f>IF(AND(D41="",I41=""),"",IF(AND(ISNUMBER(D41),D41&gt;=0,OR(I41="",ISNUMBER(I41)),OR(D41=0,ISNUMBER(Tipos!K41))),IF(D41=0,0,D41*Tipos!K41)+N(I41),"Pendente"))</x:f>
      </x:c>
      <x:c r="K41" s="11"/>
      <x:c r="L41" s="12" t="str">
        <x:f>IF(AND(E41="",K41=""),"",IF(AND(ISNUMBER(E41),E41&gt;=0,OR(K41="",ISNUMBER(K41))),E41*Tipos!L41+N(K41),"Pendente"))</x:f>
      </x:c>
      <x:c r="M41" s="12" t="n">
        <x:f>Tipos!M41</x:f>
        <x:v>0.11750000000000001</x:v>
      </x:c>
      <x:c r="N41" s="10"/>
      <x:c r="O41" s="2" t="str">
        <x:f>IF(COUNTA(C41:E41,I41,K41,N41,P41)=0,IF(G41=0,"","Pendente"),IF(OR(Tipos!R41="Não usar duplicado",AND(B41="un",OR(AND(ISNUMBER(C41),C41&lt;&gt;INT(C41)),AND(ISNUMBER(D41),D41&lt;&gt;INT(D41)),AND(ISNUMBER(E41),E41&lt;&gt;INT(E41)))),H41="Pendente",J41="Pendente",L41="Pendente",AND(ISNUMBER(H41),H41&lt;0),AND(ISNUMBER(J41),J41&lt;0),AND(ISNUMBER(L41),L41&lt;0),P41=""),"Pendente","Conferir / registar"))</x:f>
      </x:c>
      <x:c r="P41" s="10"/>
    </x:row>
    <x:row r="42" ht="25" customHeight="1">
      <x:c r="A42" s="2" t="str">
        <x:f>Tipos!A42</x:f>
        <x:v>Pb.1-MURO</x:v>
      </x:c>
      <x:c r="B42" s="2" t="str">
        <x:f>Tipos!D42</x:f>
        <x:v>m comprimento</x:v>
      </x:c>
      <x:c r="C42" s="11"/>
      <x:c r="D42" s="11"/>
      <x:c r="E42" s="11"/>
      <x:c r="F42" s="12" t="str">
        <x:f>IF(C42="","",IF(C42=0,0,IF(AND(ISNUMBER(C42),C42&gt;0,ISNUMBER(Tipos!N42)),C42*Tipos!N42,"Pendente")))</x:f>
      </x:c>
      <x:c r="G42" s="12" t="n">
        <x:f>IF(COUNTIFS('Acertos aço'!$A$7:$A$106,A42,'Acertos aço'!$H$7:$H$106,"Pendente")&gt;0,"Pendente",SUMIF('Acertos aço'!$A$7:$A$106,A42,'Acertos aço'!$G$7:$G$106))</x:f>
        <x:v>0</x:v>
      </x:c>
      <x:c r="H42" s="12" t="str">
        <x:f>IF(AND(C42="",G42=0),"",IF(AND(ISNUMBER(F42),ISNUMBER(G42),OR(AND(F42=0,G42=0),N42="Sim")),F42+G42,"Pendente"))</x:f>
      </x:c>
      <x:c r="I42" s="11"/>
      <x:c r="J42" s="12" t="str">
        <x:f>IF(AND(D42="",I42=""),"",IF(AND(ISNUMBER(D42),D42&gt;=0,OR(I42="",ISNUMBER(I42)),OR(D42=0,ISNUMBER(Tipos!K42))),IF(D42=0,0,D42*Tipos!K42)+N(I42),"Pendente"))</x:f>
      </x:c>
      <x:c r="K42" s="11"/>
      <x:c r="L42" s="12" t="str">
        <x:f>IF(AND(E42="",K42=""),"",IF(AND(ISNUMBER(E42),E42&gt;=0,OR(K42="",ISNUMBER(K42))),E42*Tipos!L42+N(K42),"Pendente"))</x:f>
      </x:c>
      <x:c r="M42" s="12" t="n">
        <x:f>Tipos!M42</x:f>
        <x:v>0</x:v>
      </x:c>
      <x:c r="N42" s="10"/>
      <x:c r="O42" s="2" t="str">
        <x:f>IF(COUNTA(C42:E42,I42,K42,N42,P42)=0,IF(G42=0,"","Pendente"),IF(OR(Tipos!R42="Não usar duplicado",AND(B42="un",OR(AND(ISNUMBER(C42),C42&lt;&gt;INT(C42)),AND(ISNUMBER(D42),D42&lt;&gt;INT(D42)),AND(ISNUMBER(E42),E42&lt;&gt;INT(E42)))),H42="Pendente",J42="Pendente",L42="Pendente",AND(ISNUMBER(H42),H42&lt;0),AND(ISNUMBER(J42),J42&lt;0),AND(ISNUMBER(L42),L42&lt;0),P42=""),"Pendente","Conferir / registar"))</x:f>
      </x:c>
      <x:c r="P42" s="10"/>
    </x:row>
    <x:row r="43" ht="25" customHeight="1">
      <x:c r="A43" s="2" t="str">
        <x:f>Tipos!A43</x:f>
        <x:v>Pb.1-SAP</x:v>
      </x:c>
      <x:c r="B43" s="2" t="str">
        <x:f>Tipos!D43</x:f>
        <x:v>m comprimento</x:v>
      </x:c>
      <x:c r="C43" s="11"/>
      <x:c r="D43" s="11"/>
      <x:c r="E43" s="11"/>
      <x:c r="F43" s="12" t="str">
        <x:f>IF(C43="","",IF(C43=0,0,IF(AND(ISNUMBER(C43),C43&gt;0,ISNUMBER(Tipos!N43)),C43*Tipos!N43,"Pendente")))</x:f>
      </x:c>
      <x:c r="G43" s="12" t="n">
        <x:f>IF(COUNTIFS('Acertos aço'!$A$7:$A$106,A43,'Acertos aço'!$H$7:$H$106,"Pendente")&gt;0,"Pendente",SUMIF('Acertos aço'!$A$7:$A$106,A43,'Acertos aço'!$G$7:$G$106))</x:f>
        <x:v>0</x:v>
      </x:c>
      <x:c r="H43" s="12" t="str">
        <x:f>IF(AND(C43="",G43=0),"",IF(AND(ISNUMBER(F43),ISNUMBER(G43),OR(AND(F43=0,G43=0),N43="Sim")),F43+G43,"Pendente"))</x:f>
      </x:c>
      <x:c r="I43" s="11"/>
      <x:c r="J43" s="12" t="str">
        <x:f>IF(AND(D43="",I43=""),"",IF(AND(ISNUMBER(D43),D43&gt;=0,OR(I43="",ISNUMBER(I43)),OR(D43=0,ISNUMBER(Tipos!K43))),IF(D43=0,0,D43*Tipos!K43)+N(I43),"Pendente"))</x:f>
      </x:c>
      <x:c r="K43" s="11"/>
      <x:c r="L43" s="12" t="str">
        <x:f>IF(AND(E43="",K43=""),"",IF(AND(ISNUMBER(E43),E43&gt;=0,OR(K43="",ISNUMBER(K43))),E43*Tipos!L43+N(K43),"Pendente"))</x:f>
      </x:c>
      <x:c r="M43" s="12" t="n">
        <x:f>Tipos!M43</x:f>
        <x:v>0.04000000000000001</x:v>
      </x:c>
      <x:c r="N43" s="10"/>
      <x:c r="O43" s="2" t="str">
        <x:f>IF(COUNTA(C43:E43,I43,K43,N43,P43)=0,IF(G43=0,"","Pendente"),IF(OR(Tipos!R43="Não usar duplicado",AND(B43="un",OR(AND(ISNUMBER(C43),C43&lt;&gt;INT(C43)),AND(ISNUMBER(D43),D43&lt;&gt;INT(D43)),AND(ISNUMBER(E43),E43&lt;&gt;INT(E43)))),H43="Pendente",J43="Pendente",L43="Pendente",AND(ISNUMBER(H43),H43&lt;0),AND(ISNUMBER(J43),J43&lt;0),AND(ISNUMBER(L43),L43&lt;0),P43=""),"Pendente","Conferir / registar"))</x:f>
      </x:c>
      <x:c r="P43" s="10"/>
    </x:row>
    <x:row r="44" ht="25" customHeight="1">
      <x:c r="A44" s="2" t="str">
        <x:f>Tipos!A44</x:f>
        <x:v>Pb.2-MURO</x:v>
      </x:c>
      <x:c r="B44" s="2" t="str">
        <x:f>Tipos!D44</x:f>
        <x:v>m comprimento</x:v>
      </x:c>
      <x:c r="C44" s="11"/>
      <x:c r="D44" s="11"/>
      <x:c r="E44" s="11"/>
      <x:c r="F44" s="12" t="str">
        <x:f>IF(C44="","",IF(C44=0,0,IF(AND(ISNUMBER(C44),C44&gt;0,ISNUMBER(Tipos!N44)),C44*Tipos!N44,"Pendente")))</x:f>
      </x:c>
      <x:c r="G44" s="12" t="n">
        <x:f>IF(COUNTIFS('Acertos aço'!$A$7:$A$106,A44,'Acertos aço'!$H$7:$H$106,"Pendente")&gt;0,"Pendente",SUMIF('Acertos aço'!$A$7:$A$106,A44,'Acertos aço'!$G$7:$G$106))</x:f>
        <x:v>0</x:v>
      </x:c>
      <x:c r="H44" s="12" t="str">
        <x:f>IF(AND(C44="",G44=0),"",IF(AND(ISNUMBER(F44),ISNUMBER(G44),OR(AND(F44=0,G44=0),N44="Sim")),F44+G44,"Pendente"))</x:f>
      </x:c>
      <x:c r="I44" s="11"/>
      <x:c r="J44" s="12" t="str">
        <x:f>IF(AND(D44="",I44=""),"",IF(AND(ISNUMBER(D44),D44&gt;=0,OR(I44="",ISNUMBER(I44)),OR(D44=0,ISNUMBER(Tipos!K44))),IF(D44=0,0,D44*Tipos!K44)+N(I44),"Pendente"))</x:f>
      </x:c>
      <x:c r="K44" s="11"/>
      <x:c r="L44" s="12" t="str">
        <x:f>IF(AND(E44="",K44=""),"",IF(AND(ISNUMBER(E44),E44&gt;=0,OR(K44="",ISNUMBER(K44))),E44*Tipos!L44+N(K44),"Pendente"))</x:f>
      </x:c>
      <x:c r="M44" s="12" t="n">
        <x:f>Tipos!M44</x:f>
        <x:v>0</x:v>
      </x:c>
      <x:c r="N44" s="10"/>
      <x:c r="O44" s="2" t="str">
        <x:f>IF(COUNTA(C44:E44,I44,K44,N44,P44)=0,IF(G44=0,"","Pendente"),IF(OR(Tipos!R44="Não usar duplicado",AND(B44="un",OR(AND(ISNUMBER(C44),C44&lt;&gt;INT(C44)),AND(ISNUMBER(D44),D44&lt;&gt;INT(D44)),AND(ISNUMBER(E44),E44&lt;&gt;INT(E44)))),H44="Pendente",J44="Pendente",L44="Pendente",AND(ISNUMBER(H44),H44&lt;0),AND(ISNUMBER(J44),J44&lt;0),AND(ISNUMBER(L44),L44&lt;0),P44=""),"Pendente","Conferir / registar"))</x:f>
      </x:c>
      <x:c r="P44" s="10"/>
    </x:row>
    <x:row r="45" ht="25" customHeight="1">
      <x:c r="A45" s="2" t="str">
        <x:f>Tipos!A45</x:f>
        <x:v>Pb.2-SAP</x:v>
      </x:c>
      <x:c r="B45" s="2" t="str">
        <x:f>Tipos!D45</x:f>
        <x:v>m comprimento</x:v>
      </x:c>
      <x:c r="C45" s="11"/>
      <x:c r="D45" s="11"/>
      <x:c r="E45" s="11"/>
      <x:c r="F45" s="12" t="str">
        <x:f>IF(C45="","",IF(C45=0,0,IF(AND(ISNUMBER(C45),C45&gt;0,ISNUMBER(Tipos!N45)),C45*Tipos!N45,"Pendente")))</x:f>
      </x:c>
      <x:c r="G45" s="12" t="n">
        <x:f>IF(COUNTIFS('Acertos aço'!$A$7:$A$106,A45,'Acertos aço'!$H$7:$H$106,"Pendente")&gt;0,"Pendente",SUMIF('Acertos aço'!$A$7:$A$106,A45,'Acertos aço'!$G$7:$G$106))</x:f>
        <x:v>0</x:v>
      </x:c>
      <x:c r="H45" s="12" t="str">
        <x:f>IF(AND(C45="",G45=0),"",IF(AND(ISNUMBER(F45),ISNUMBER(G45),OR(AND(F45=0,G45=0),N45="Sim")),F45+G45,"Pendente"))</x:f>
      </x:c>
      <x:c r="I45" s="11"/>
      <x:c r="J45" s="12" t="str">
        <x:f>IF(AND(D45="",I45=""),"",IF(AND(ISNUMBER(D45),D45&gt;=0,OR(I45="",ISNUMBER(I45)),OR(D45=0,ISNUMBER(Tipos!K45))),IF(D45=0,0,D45*Tipos!K45)+N(I45),"Pendente"))</x:f>
      </x:c>
      <x:c r="K45" s="11"/>
      <x:c r="L45" s="12" t="str">
        <x:f>IF(AND(E45="",K45=""),"",IF(AND(ISNUMBER(E45),E45&gt;=0,OR(K45="",ISNUMBER(K45))),E45*Tipos!L45+N(K45),"Pendente"))</x:f>
      </x:c>
      <x:c r="M45" s="12" t="n">
        <x:f>Tipos!M45</x:f>
        <x:v>0.1075</x:v>
      </x:c>
      <x:c r="N45" s="10"/>
      <x:c r="O45" s="2" t="str">
        <x:f>IF(COUNTA(C45:E45,I45,K45,N45,P45)=0,IF(G45=0,"","Pendente"),IF(OR(Tipos!R45="Não usar duplicado",AND(B45="un",OR(AND(ISNUMBER(C45),C45&lt;&gt;INT(C45)),AND(ISNUMBER(D45),D45&lt;&gt;INT(D45)),AND(ISNUMBER(E45),E45&lt;&gt;INT(E45)))),H45="Pendente",J45="Pendente",L45="Pendente",AND(ISNUMBER(H45),H45&lt;0),AND(ISNUMBER(J45),J45&lt;0),AND(ISNUMBER(L45),L45&lt;0),P45=""),"Pendente","Conferir / registar"))</x:f>
      </x:c>
      <x:c r="P45" s="10"/>
    </x:row>
    <x:row r="46" ht="25" customHeight="1">
      <x:c r="A46" s="2" t="str">
        <x:f>Tipos!A46</x:f>
        <x:v>Pa.2-P0-COB</x:v>
      </x:c>
      <x:c r="B46" s="2" t="str">
        <x:f>Tipos!D46</x:f>
        <x:v>m altura</x:v>
      </x:c>
      <x:c r="C46" s="11"/>
      <x:c r="D46" s="11"/>
      <x:c r="E46" s="11"/>
      <x:c r="F46" s="12" t="str">
        <x:f>IF(C46="","",IF(C46=0,0,IF(AND(ISNUMBER(C46),C46&gt;0,ISNUMBER(Tipos!N46)),C46*Tipos!N46,"Pendente")))</x:f>
      </x:c>
      <x:c r="G46" s="12" t="n">
        <x:f>IF(COUNTIFS('Acertos aço'!$A$7:$A$106,A46,'Acertos aço'!$H$7:$H$106,"Pendente")&gt;0,"Pendente",SUMIF('Acertos aço'!$A$7:$A$106,A46,'Acertos aço'!$G$7:$G$106))</x:f>
        <x:v>0</x:v>
      </x:c>
      <x:c r="H46" s="12" t="str">
        <x:f>IF(AND(C46="",G46=0),"",IF(AND(ISNUMBER(F46),ISNUMBER(G46),OR(AND(F46=0,G46=0),N46="Sim")),F46+G46,"Pendente"))</x:f>
      </x:c>
      <x:c r="I46" s="11"/>
      <x:c r="J46" s="12" t="str">
        <x:f>IF(AND(D46="",I46=""),"",IF(AND(ISNUMBER(D46),D46&gt;=0,OR(I46="",ISNUMBER(I46)),OR(D46=0,ISNUMBER(Tipos!K46))),IF(D46=0,0,D46*Tipos!K46)+N(I46),"Pendente"))</x:f>
      </x:c>
      <x:c r="K46" s="11"/>
      <x:c r="L46" s="12" t="str">
        <x:f>IF(AND(E46="",K46=""),"",IF(AND(ISNUMBER(E46),E46&gt;=0,OR(K46="",ISNUMBER(K46))),E46*Tipos!L46+N(K46),"Pendente"))</x:f>
      </x:c>
      <x:c r="M46" s="12" t="n">
        <x:f>Tipos!M46</x:f>
        <x:v>0</x:v>
      </x:c>
      <x:c r="N46" s="10"/>
      <x:c r="O46" s="2" t="str">
        <x:f>IF(COUNTA(C46:E46,I46,K46,N46,P46)=0,IF(G46=0,"","Pendente"),IF(OR(Tipos!R46="Não usar duplicado",AND(B46="un",OR(AND(ISNUMBER(C46),C46&lt;&gt;INT(C46)),AND(ISNUMBER(D46),D46&lt;&gt;INT(D46)),AND(ISNUMBER(E46),E46&lt;&gt;INT(E46)))),H46="Pendente",J46="Pendente",L46="Pendente",AND(ISNUMBER(H46),H46&lt;0),AND(ISNUMBER(J46),J46&lt;0),AND(ISNUMBER(L46),L46&lt;0),P46=""),"Pendente","Conferir / registar"))</x:f>
      </x:c>
      <x:c r="P46" s="10"/>
    </x:row>
    <x:row r="47" ht="25" customHeight="1">
      <x:c r="A47" s="2" t="str">
        <x:f>Tipos!A47</x:f>
        <x:v>Pa.2-P-1-P0</x:v>
      </x:c>
      <x:c r="B47" s="2" t="str">
        <x:f>Tipos!D47</x:f>
        <x:v>m altura</x:v>
      </x:c>
      <x:c r="C47" s="11"/>
      <x:c r="D47" s="11"/>
      <x:c r="E47" s="11"/>
      <x:c r="F47" s="12" t="str">
        <x:f>IF(C47="","",IF(C47=0,0,IF(AND(ISNUMBER(C47),C47&gt;0,ISNUMBER(Tipos!N47)),C47*Tipos!N47,"Pendente")))</x:f>
      </x:c>
      <x:c r="G47" s="12" t="n">
        <x:f>IF(COUNTIFS('Acertos aço'!$A$7:$A$106,A47,'Acertos aço'!$H$7:$H$106,"Pendente")&gt;0,"Pendente",SUMIF('Acertos aço'!$A$7:$A$106,A47,'Acertos aço'!$G$7:$G$106))</x:f>
        <x:v>0</x:v>
      </x:c>
      <x:c r="H47" s="12" t="str">
        <x:f>IF(AND(C47="",G47=0),"",IF(AND(ISNUMBER(F47),ISNUMBER(G47),OR(AND(F47=0,G47=0),N47="Sim")),F47+G47,"Pendente"))</x:f>
      </x:c>
      <x:c r="I47" s="11"/>
      <x:c r="J47" s="12" t="str">
        <x:f>IF(AND(D47="",I47=""),"",IF(AND(ISNUMBER(D47),D47&gt;=0,OR(I47="",ISNUMBER(I47)),OR(D47=0,ISNUMBER(Tipos!K47))),IF(D47=0,0,D47*Tipos!K47)+N(I47),"Pendente"))</x:f>
      </x:c>
      <x:c r="K47" s="11"/>
      <x:c r="L47" s="12" t="str">
        <x:f>IF(AND(E47="",K47=""),"",IF(AND(ISNUMBER(E47),E47&gt;=0,OR(K47="",ISNUMBER(K47))),E47*Tipos!L47+N(K47),"Pendente"))</x:f>
      </x:c>
      <x:c r="M47" s="12" t="n">
        <x:f>Tipos!M47</x:f>
        <x:v>0</x:v>
      </x:c>
      <x:c r="N47" s="10"/>
      <x:c r="O47" s="2" t="str">
        <x:f>IF(COUNTA(C47:E47,I47,K47,N47,P47)=0,IF(G47=0,"","Pendente"),IF(OR(Tipos!R47="Não usar duplicado",AND(B47="un",OR(AND(ISNUMBER(C47),C47&lt;&gt;INT(C47)),AND(ISNUMBER(D47),D47&lt;&gt;INT(D47)),AND(ISNUMBER(E47),E47&lt;&gt;INT(E47)))),H47="Pendente",J47="Pendente",L47="Pendente",AND(ISNUMBER(H47),H47&lt;0),AND(ISNUMBER(J47),J47&lt;0),AND(ISNUMBER(L47),L47&lt;0),P47=""),"Pendente","Conferir / registar"))</x:f>
      </x:c>
      <x:c r="P47" s="10"/>
    </x:row>
    <x:row r="48" ht="25" customHeight="1">
      <x:c r="A48" s="2" t="str">
        <x:f>Tipos!A48</x:f>
        <x:v>V1</x:v>
      </x:c>
      <x:c r="B48" s="2" t="str">
        <x:f>Tipos!D48</x:f>
        <x:v>m comprimento</x:v>
      </x:c>
      <x:c r="C48" s="11"/>
      <x:c r="D48" s="11"/>
      <x:c r="E48" s="11"/>
      <x:c r="F48" s="12" t="str">
        <x:f>IF(C48="","",IF(C48=0,0,IF(AND(ISNUMBER(C48),C48&gt;0,ISNUMBER(Tipos!N48)),C48*Tipos!N48,"Pendente")))</x:f>
      </x:c>
      <x:c r="G48" s="12" t="n">
        <x:f>IF(COUNTIFS('Acertos aço'!$A$7:$A$106,A48,'Acertos aço'!$H$7:$H$106,"Pendente")&gt;0,"Pendente",SUMIF('Acertos aço'!$A$7:$A$106,A48,'Acertos aço'!$G$7:$G$106))</x:f>
        <x:v>0</x:v>
      </x:c>
      <x:c r="H48" s="12" t="str">
        <x:f>IF(AND(C48="",G48=0),"",IF(AND(ISNUMBER(F48),ISNUMBER(G48),OR(AND(F48=0,G48=0),N48="Sim")),F48+G48,"Pendente"))</x:f>
      </x:c>
      <x:c r="I48" s="11"/>
      <x:c r="J48" s="12" t="str">
        <x:f>IF(AND(D48="",I48=""),"",IF(AND(ISNUMBER(D48),D48&gt;=0,OR(I48="",ISNUMBER(I48)),OR(D48=0,ISNUMBER(Tipos!K48))),IF(D48=0,0,D48*Tipos!K48)+N(I48),"Pendente"))</x:f>
      </x:c>
      <x:c r="K48" s="11"/>
      <x:c r="L48" s="12" t="str">
        <x:f>IF(AND(E48="",K48=""),"",IF(AND(ISNUMBER(E48),E48&gt;=0,OR(K48="",ISNUMBER(K48))),E48*Tipos!L48+N(K48),"Pendente"))</x:f>
      </x:c>
      <x:c r="M48" s="12" t="n">
        <x:f>Tipos!M48</x:f>
        <x:v>0</x:v>
      </x:c>
      <x:c r="N48" s="10"/>
      <x:c r="O48" s="2" t="str">
        <x:f>IF(COUNTA(C48:E48,I48,K48,N48,P48)=0,IF(G48=0,"","Pendente"),IF(OR(Tipos!R48="Não usar duplicado",AND(B48="un",OR(AND(ISNUMBER(C48),C48&lt;&gt;INT(C48)),AND(ISNUMBER(D48),D48&lt;&gt;INT(D48)),AND(ISNUMBER(E48),E48&lt;&gt;INT(E48)))),H48="Pendente",J48="Pendente",L48="Pendente",AND(ISNUMBER(H48),H48&lt;0),AND(ISNUMBER(J48),J48&lt;0),AND(ISNUMBER(L48),L48&lt;0),P48=""),"Pendente","Conferir / registar"))</x:f>
      </x:c>
      <x:c r="P48" s="10"/>
    </x:row>
    <x:row r="49" ht="25" customHeight="1">
      <x:c r="A49" s="2" t="str">
        <x:f>Tipos!A49</x:f>
        <x:v>V2</x:v>
      </x:c>
      <x:c r="B49" s="2" t="str">
        <x:f>Tipos!D49</x:f>
        <x:v>m comprimento</x:v>
      </x:c>
      <x:c r="C49" s="11"/>
      <x:c r="D49" s="11"/>
      <x:c r="E49" s="11"/>
      <x:c r="F49" s="12" t="str">
        <x:f>IF(C49="","",IF(C49=0,0,IF(AND(ISNUMBER(C49),C49&gt;0,ISNUMBER(Tipos!N49)),C49*Tipos!N49,"Pendente")))</x:f>
      </x:c>
      <x:c r="G49" s="12" t="n">
        <x:f>IF(COUNTIFS('Acertos aço'!$A$7:$A$106,A49,'Acertos aço'!$H$7:$H$106,"Pendente")&gt;0,"Pendente",SUMIF('Acertos aço'!$A$7:$A$106,A49,'Acertos aço'!$G$7:$G$106))</x:f>
        <x:v>0</x:v>
      </x:c>
      <x:c r="H49" s="12" t="str">
        <x:f>IF(AND(C49="",G49=0),"",IF(AND(ISNUMBER(F49),ISNUMBER(G49),OR(AND(F49=0,G49=0),N49="Sim")),F49+G49,"Pendente"))</x:f>
      </x:c>
      <x:c r="I49" s="11"/>
      <x:c r="J49" s="12" t="str">
        <x:f>IF(AND(D49="",I49=""),"",IF(AND(ISNUMBER(D49),D49&gt;=0,OR(I49="",ISNUMBER(I49)),OR(D49=0,ISNUMBER(Tipos!K49))),IF(D49=0,0,D49*Tipos!K49)+N(I49),"Pendente"))</x:f>
      </x:c>
      <x:c r="K49" s="11"/>
      <x:c r="L49" s="12" t="str">
        <x:f>IF(AND(E49="",K49=""),"",IF(AND(ISNUMBER(E49),E49&gt;=0,OR(K49="",ISNUMBER(K49))),E49*Tipos!L49+N(K49),"Pendente"))</x:f>
      </x:c>
      <x:c r="M49" s="12" t="n">
        <x:f>Tipos!M49</x:f>
        <x:v>0</x:v>
      </x:c>
      <x:c r="N49" s="10"/>
      <x:c r="O49" s="2" t="str">
        <x:f>IF(COUNTA(C49:E49,I49,K49,N49,P49)=0,IF(G49=0,"","Pendente"),IF(OR(Tipos!R49="Não usar duplicado",AND(B49="un",OR(AND(ISNUMBER(C49),C49&lt;&gt;INT(C49)),AND(ISNUMBER(D49),D49&lt;&gt;INT(D49)),AND(ISNUMBER(E49),E49&lt;&gt;INT(E49)))),H49="Pendente",J49="Pendente",L49="Pendente",AND(ISNUMBER(H49),H49&lt;0),AND(ISNUMBER(J49),J49&lt;0),AND(ISNUMBER(L49),L49&lt;0),P49=""),"Pendente","Conferir / registar"))</x:f>
      </x:c>
      <x:c r="P49" s="10"/>
    </x:row>
    <x:row r="50" ht="25" customHeight="1">
      <x:c r="A50" s="2" t="str">
        <x:f>Tipos!A50</x:f>
        <x:v>L1</x:v>
      </x:c>
      <x:c r="B50" s="2" t="str">
        <x:f>Tipos!D50</x:f>
        <x:v>m² planta</x:v>
      </x:c>
      <x:c r="C50" s="11"/>
      <x:c r="D50" s="11"/>
      <x:c r="E50" s="11"/>
      <x:c r="F50" s="12" t="str">
        <x:f>IF(C50="","",IF(C50=0,0,IF(AND(ISNUMBER(C50),C50&gt;0,ISNUMBER(Tipos!N50)),C50*Tipos!N50,"Pendente")))</x:f>
      </x:c>
      <x:c r="G50" s="12" t="n">
        <x:f>IF(COUNTIFS('Acertos aço'!$A$7:$A$106,A50,'Acertos aço'!$H$7:$H$106,"Pendente")&gt;0,"Pendente",SUMIF('Acertos aço'!$A$7:$A$106,A50,'Acertos aço'!$G$7:$G$106))</x:f>
        <x:v>0</x:v>
      </x:c>
      <x:c r="H50" s="12" t="str">
        <x:f>IF(AND(C50="",G50=0),"",IF(AND(ISNUMBER(F50),ISNUMBER(G50),OR(AND(F50=0,G50=0),N50="Sim")),F50+G50,"Pendente"))</x:f>
      </x:c>
      <x:c r="I50" s="11"/>
      <x:c r="J50" s="12" t="str">
        <x:f>IF(AND(D50="",I50=""),"",IF(AND(ISNUMBER(D50),D50&gt;=0,OR(I50="",ISNUMBER(I50)),OR(D50=0,ISNUMBER(Tipos!K50))),IF(D50=0,0,D50*Tipos!K50)+N(I50),"Pendente"))</x:f>
      </x:c>
      <x:c r="K50" s="11"/>
      <x:c r="L50" s="12" t="str">
        <x:f>IF(AND(E50="",K50=""),"",IF(AND(ISNUMBER(E50),E50&gt;=0,OR(K50="",ISNUMBER(K50))),E50*Tipos!L50+N(K50),"Pendente"))</x:f>
      </x:c>
      <x:c r="M50" s="12" t="n">
        <x:f>Tipos!M50</x:f>
        <x:v>0</x:v>
      </x:c>
      <x:c r="N50" s="10"/>
      <x:c r="O50" s="2" t="str">
        <x:f>IF(COUNTA(C50:E50,I50,K50,N50,P50)=0,IF(G50=0,"","Pendente"),IF(OR(Tipos!R50="Não usar duplicado",AND(B50="un",OR(AND(ISNUMBER(C50),C50&lt;&gt;INT(C50)),AND(ISNUMBER(D50),D50&lt;&gt;INT(D50)),AND(ISNUMBER(E50),E50&lt;&gt;INT(E50)))),H50="Pendente",J50="Pendente",L50="Pendente",AND(ISNUMBER(H50),H50&lt;0),AND(ISNUMBER(J50),J50&lt;0),AND(ISNUMBER(L50),L50&lt;0),P50=""),"Pendente","Conferir / registar"))</x:f>
      </x:c>
      <x:c r="P50" s="10"/>
    </x:row>
    <x:row r="51" ht="25" customHeight="1">
      <x:c r="A51" s="2" t="str">
        <x:f>Tipos!A51</x:f>
        <x:v>L2</x:v>
      </x:c>
      <x:c r="B51" s="2" t="str">
        <x:f>Tipos!D51</x:f>
        <x:v>m² planta</x:v>
      </x:c>
      <x:c r="C51" s="11"/>
      <x:c r="D51" s="11"/>
      <x:c r="E51" s="11"/>
      <x:c r="F51" s="12" t="str">
        <x:f>IF(C51="","",IF(C51=0,0,IF(AND(ISNUMBER(C51),C51&gt;0,ISNUMBER(Tipos!N51)),C51*Tipos!N51,"Pendente")))</x:f>
      </x:c>
      <x:c r="G51" s="12" t="n">
        <x:f>IF(COUNTIFS('Acertos aço'!$A$7:$A$106,A51,'Acertos aço'!$H$7:$H$106,"Pendente")&gt;0,"Pendente",SUMIF('Acertos aço'!$A$7:$A$106,A51,'Acertos aço'!$G$7:$G$106))</x:f>
        <x:v>0</x:v>
      </x:c>
      <x:c r="H51" s="12" t="str">
        <x:f>IF(AND(C51="",G51=0),"",IF(AND(ISNUMBER(F51),ISNUMBER(G51),OR(AND(F51=0,G51=0),N51="Sim")),F51+G51,"Pendente"))</x:f>
      </x:c>
      <x:c r="I51" s="11"/>
      <x:c r="J51" s="12" t="str">
        <x:f>IF(AND(D51="",I51=""),"",IF(AND(ISNUMBER(D51),D51&gt;=0,OR(I51="",ISNUMBER(I51)),OR(D51=0,ISNUMBER(Tipos!K51))),IF(D51=0,0,D51*Tipos!K51)+N(I51),"Pendente"))</x:f>
      </x:c>
      <x:c r="K51" s="11"/>
      <x:c r="L51" s="12" t="str">
        <x:f>IF(AND(E51="",K51=""),"",IF(AND(ISNUMBER(E51),E51&gt;=0,OR(K51="",ISNUMBER(K51))),E51*Tipos!L51+N(K51),"Pendente"))</x:f>
      </x:c>
      <x:c r="M51" s="12" t="n">
        <x:f>Tipos!M51</x:f>
        <x:v>0</x:v>
      </x:c>
      <x:c r="N51" s="10"/>
      <x:c r="O51" s="2" t="str">
        <x:f>IF(COUNTA(C51:E51,I51,K51,N51,P51)=0,IF(G51=0,"","Pendente"),IF(OR(Tipos!R51="Não usar duplicado",AND(B51="un",OR(AND(ISNUMBER(C51),C51&lt;&gt;INT(C51)),AND(ISNUMBER(D51),D51&lt;&gt;INT(D51)),AND(ISNUMBER(E51),E51&lt;&gt;INT(E51)))),H51="Pendente",J51="Pendente",L51="Pendente",AND(ISNUMBER(H51),H51&lt;0),AND(ISNUMBER(J51),J51&lt;0),AND(ISNUMBER(L51),L51&lt;0),P51=""),"Pendente","Conferir / registar"))</x:f>
      </x:c>
      <x:c r="P51" s="10"/>
    </x:row>
    <x:row r="52" ht="25" customHeight="1">
      <x:c r="A52" s="2" t="str">
        <x:f>Tipos!A52</x:f>
        <x:v>L3</x:v>
      </x:c>
      <x:c r="B52" s="2" t="str">
        <x:f>Tipos!D52</x:f>
        <x:v>m² planta</x:v>
      </x:c>
      <x:c r="C52" s="11"/>
      <x:c r="D52" s="11"/>
      <x:c r="E52" s="11"/>
      <x:c r="F52" s="12" t="str">
        <x:f>IF(C52="","",IF(C52=0,0,IF(AND(ISNUMBER(C52),C52&gt;0,ISNUMBER(Tipos!N52)),C52*Tipos!N52,"Pendente")))</x:f>
      </x:c>
      <x:c r="G52" s="12" t="n">
        <x:f>IF(COUNTIFS('Acertos aço'!$A$7:$A$106,A52,'Acertos aço'!$H$7:$H$106,"Pendente")&gt;0,"Pendente",SUMIF('Acertos aço'!$A$7:$A$106,A52,'Acertos aço'!$G$7:$G$106))</x:f>
        <x:v>0</x:v>
      </x:c>
      <x:c r="H52" s="12" t="str">
        <x:f>IF(AND(C52="",G52=0),"",IF(AND(ISNUMBER(F52),ISNUMBER(G52),OR(AND(F52=0,G52=0),N52="Sim")),F52+G52,"Pendente"))</x:f>
      </x:c>
      <x:c r="I52" s="11"/>
      <x:c r="J52" s="12" t="str">
        <x:f>IF(AND(D52="",I52=""),"",IF(AND(ISNUMBER(D52),D52&gt;=0,OR(I52="",ISNUMBER(I52)),OR(D52=0,ISNUMBER(Tipos!K52))),IF(D52=0,0,D52*Tipos!K52)+N(I52),"Pendente"))</x:f>
      </x:c>
      <x:c r="K52" s="11"/>
      <x:c r="L52" s="12" t="str">
        <x:f>IF(AND(E52="",K52=""),"",IF(AND(ISNUMBER(E52),E52&gt;=0,OR(K52="",ISNUMBER(K52))),E52*Tipos!L52+N(K52),"Pendente"))</x:f>
      </x:c>
      <x:c r="M52" s="12" t="n">
        <x:f>Tipos!M52</x:f>
        <x:v>0</x:v>
      </x:c>
      <x:c r="N52" s="10"/>
      <x:c r="O52" s="2" t="str">
        <x:f>IF(COUNTA(C52:E52,I52,K52,N52,P52)=0,IF(G52=0,"","Pendente"),IF(OR(Tipos!R52="Não usar duplicado",AND(B52="un",OR(AND(ISNUMBER(C52),C52&lt;&gt;INT(C52)),AND(ISNUMBER(D52),D52&lt;&gt;INT(D52)),AND(ISNUMBER(E52),E52&lt;&gt;INT(E52)))),H52="Pendente",J52="Pendente",L52="Pendente",AND(ISNUMBER(H52),H52&lt;0),AND(ISNUMBER(J52),J52&lt;0),AND(ISNUMBER(L52),L52&lt;0),P52=""),"Pendente","Conferir / registar"))</x:f>
      </x:c>
      <x:c r="P52" s="10"/>
    </x:row>
    <x:row r="53" ht="25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</x:row>
    <x:row r="54" ht="25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</x:row>
    <x:row r="55" ht="25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</x:row>
    <x:row r="56" ht="25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</x:row>
    <x:row r="57" ht="25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</x:row>
    <x:row r="58" ht="25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</x:row>
  </x:sheetData>
  <x:conditionalFormatting sqref="A1:P58">
    <x:cfRule type="containsText" dxfId="2" priority="1" operator="containsText" text="Pendente"/>
  </x:conditionalFormatting>
  <x:dataValidations count="1">
    <x:dataValidation type="list" sqref="N7:N52">
      <x:formula1>"Sim,Não"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3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25" hidden="0" customWidth="1"/>
    <x:col min="16" max="16" width="28" hidden="0" customWidth="1"/>
    <x:col min="17" max="17" width="65" hidden="0" customWidth="1"/>
    <x:col min="18" max="18" width="23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</x:row>
    <x:row r="2" ht="25" customHeight="1">
      <x:c r="A2" s="3" t="str">
        <x:v>Tipos de elementos — base unitária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</x:row>
    <x:row r="3" ht="25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  <x:c r="R3" s="4"/>
    </x:row>
    <x:row r="4" ht="25" customHeight="1">
      <x:c r="A4" s="2" t="str">
        <x:v>Fonte: https://github.com/vjdjtom/707/blob/ceaf79b91dfe08fc0ce4f22ac52be038b1ca1b35/planilhas/Barba_Atualizada.xlsx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</x:row>
    <x:row r="5" ht="25" customHeight="1">
      <x:c r="A5" s="2" t="str">
        <x:v>Base 1,00 m / 1,00 m² / 1 unidade. Quantidades de referência; completar aço e conferir critérios antes do auto.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</x:row>
    <x:row r="6" ht="48" customHeight="1">
      <x:c r="A6" s="8" t="str">
        <x:v>Código tipo</x:v>
      </x:c>
      <x:c r="B6" s="8" t="str">
        <x:v>Família</x:v>
      </x:c>
      <x:c r="C6" s="8" t="str">
        <x:v>Piso / troço</x:v>
      </x:c>
      <x:c r="D6" s="8" t="str">
        <x:v>Unidade base</x:v>
      </x:c>
      <x:c r="E6" s="8" t="str">
        <x:v>Geometria</x:v>
      </x:c>
      <x:c r="F6" s="8" t="str">
        <x:v>B ou Ø m</x:v>
      </x:c>
      <x:c r="G6" s="8" t="str">
        <x:v>H m</x:v>
      </x:c>
      <x:c r="H6" s="8" t="str">
        <x:v>L m</x:v>
      </x:c>
      <x:c r="I6" s="8" t="str">
        <x:v>Recob. m</x:v>
      </x:c>
      <x:c r="J6" s="8" t="str">
        <x:v>Esp. equivalente m</x:v>
      </x:c>
      <x:c r="K6" s="8" t="str">
        <x:v>Betão m³/base</x:v>
      </x:c>
      <x:c r="L6" s="8" t="str">
        <x:v>Cofragem m²/base</x:v>
      </x:c>
      <x:c r="M6" s="8" t="str">
        <x:v>Limpeza m³/base</x:v>
      </x:c>
      <x:c r="N6" s="8" t="str">
        <x:v>Aço kg/base</x:v>
      </x:c>
      <x:c r="O6" s="8" t="str">
        <x:v>Estado aço</x:v>
      </x:c>
      <x:c r="P6" s="8" t="str">
        <x:v>Origem na Barba</x:v>
      </x:c>
      <x:c r="Q6" s="8" t="str">
        <x:v>Observações</x:v>
      </x:c>
      <x:c r="R6" s="8" t="str">
        <x:v>Uso</x:v>
      </x:c>
    </x:row>
    <x:row r="7" ht="65" customHeight="1">
      <x:c r="A7" s="2" t="str">
        <x:v>P1-P0</x:v>
      </x:c>
      <x:c r="B7" s="2" t="str">
        <x:v>Pilar</x:v>
      </x:c>
      <x:c r="C7" s="2" t="str">
        <x:v>Piso 0</x:v>
      </x:c>
      <x:c r="D7" s="2" t="str">
        <x:v>m altura</x:v>
      </x:c>
      <x:c r="E7" s="2" t="str">
        <x:v>Pilar</x:v>
      </x:c>
      <x:c r="F7" s="11" t="n">
        <x:v>0.3</x:v>
      </x:c>
      <x:c r="G7" s="11" t="n">
        <x:v>0.6</x:v>
      </x:c>
      <x:c r="H7" s="11" t="n">
        <x:v>1</x:v>
      </x:c>
      <x:c r="I7" s="11" t="n">
        <x:v>0.03</x:v>
      </x:c>
      <x:c r="J7" s="11"/>
      <x:c r="K7" s="12" t="n">
        <x:f>F7*G7</x:f>
        <x:v>0.18</x:v>
      </x:c>
      <x:c r="L7" s="12" t="n">
        <x:f>2*(F7+G7)</x:f>
        <x:v>1.7999999999999998</x:v>
      </x:c>
      <x:c r="M7" s="12" t="n">
        <x:f>0</x:f>
        <x:v>0</x:v>
      </x:c>
      <x:c r="N7" s="12" t="str">
        <x:f>IF(O7="Pendente: cortes/dados","Pendente",SUMIF('Armaduras base'!$A$7:$A$158,A7,'Armaduras base'!$I$7:$I$158))</x:f>
        <x:v>Pendente</x:v>
      </x:c>
      <x:c r="O7" s="2" t="str">
        <x:f>IF(COUNTIFS('Armaduras base'!$A$7:$A$158,A7,'Armaduras base'!$J$7:$J$158,"Pendente")&gt;0,"Pendente: cortes/dados","Base sem acertos locais")</x:f>
        <x:v>Pendente: cortes/dados</x:v>
      </x:c>
      <x:c r="P7" s="2" t="str">
        <x:v>Des.05 — quadro P1-P0; Barba PILARES linha 6</x:v>
      </x:c>
      <x:c r="Q7" s="9" t="str">
        <x:v>Quadro do PDF: secção e armadura longitudinal conferidas; cintas Ø8, a=0,20 m. Altura não cotada no PDF. Cinta exterior e interior: cortes distintos, interior sem cotas de desenvolvimento.</x:v>
      </x:c>
      <x:c r="R7" s="2" t="str">
        <x:v>Secção / long. conferidos</x:v>
      </x:c>
    </x:row>
    <x:row r="8" ht="65" customHeight="1">
      <x:c r="A8" s="2" t="str">
        <x:v>P1-P1</x:v>
      </x:c>
      <x:c r="B8" s="2" t="str">
        <x:v>Pilar</x:v>
      </x:c>
      <x:c r="C8" s="2" t="str">
        <x:v>Piso 1</x:v>
      </x:c>
      <x:c r="D8" s="2" t="str">
        <x:v>m altura</x:v>
      </x:c>
      <x:c r="E8" s="2" t="str">
        <x:v>Pilar</x:v>
      </x:c>
      <x:c r="F8" s="11" t="n">
        <x:v>0.3</x:v>
      </x:c>
      <x:c r="G8" s="11" t="n">
        <x:v>0.6</x:v>
      </x:c>
      <x:c r="H8" s="11" t="n">
        <x:v>1</x:v>
      </x:c>
      <x:c r="I8" s="11" t="n">
        <x:v>0.03</x:v>
      </x:c>
      <x:c r="J8" s="11"/>
      <x:c r="K8" s="12" t="n">
        <x:f>F8*G8</x:f>
        <x:v>0.18</x:v>
      </x:c>
      <x:c r="L8" s="12" t="n">
        <x:f>2*(F8+G8)</x:f>
        <x:v>1.7999999999999998</x:v>
      </x:c>
      <x:c r="M8" s="12" t="n">
        <x:f>0</x:f>
        <x:v>0</x:v>
      </x:c>
      <x:c r="N8" s="12" t="str">
        <x:f>IF(O8="Pendente: cortes/dados","Pendente",SUMIF('Armaduras base'!$A$7:$A$158,A8,'Armaduras base'!$I$7:$I$158))</x:f>
        <x:v>Pendente</x:v>
      </x:c>
      <x:c r="O8" s="2" t="str">
        <x:f>IF(COUNTIFS('Armaduras base'!$A$7:$A$158,A8,'Armaduras base'!$J$7:$J$158,"Pendente")&gt;0,"Pendente: cortes/dados","Base sem acertos locais")</x:f>
        <x:v>Pendente: cortes/dados</x:v>
      </x:c>
      <x:c r="P8" s="2" t="str">
        <x:v>Des.05 — quadro P1-P1; Barba PILARES linha 7</x:v>
      </x:c>
      <x:c r="Q8" s="9" t="str">
        <x:v>Quadro do PDF: secção e armadura longitudinal conferidas; cintas Ø8, a=0,20 m. Altura não cotada no PDF. Cinta exterior e interior: cortes distintos, interior sem cotas de desenvolvimento.</x:v>
      </x:c>
      <x:c r="R8" s="2" t="str">
        <x:v>Secção / long. conferidos</x:v>
      </x:c>
    </x:row>
    <x:row r="9" ht="65" customHeight="1">
      <x:c r="A9" s="2" t="str">
        <x:v>P1-COB</x:v>
      </x:c>
      <x:c r="B9" s="2" t="str">
        <x:v>Pilar</x:v>
      </x:c>
      <x:c r="C9" s="2" t="str">
        <x:v>Cobertura</x:v>
      </x:c>
      <x:c r="D9" s="2" t="str">
        <x:v>m altura</x:v>
      </x:c>
      <x:c r="E9" s="2" t="str">
        <x:v>Pilar</x:v>
      </x:c>
      <x:c r="F9" s="11" t="n">
        <x:v>0.3</x:v>
      </x:c>
      <x:c r="G9" s="11" t="n">
        <x:v>0.6</x:v>
      </x:c>
      <x:c r="H9" s="11" t="n">
        <x:v>1</x:v>
      </x:c>
      <x:c r="I9" s="11" t="n">
        <x:v>0.03</x:v>
      </x:c>
      <x:c r="J9" s="11"/>
      <x:c r="K9" s="12" t="n">
        <x:f>F9*G9</x:f>
        <x:v>0.18</x:v>
      </x:c>
      <x:c r="L9" s="12" t="n">
        <x:f>2*(F9+G9)</x:f>
        <x:v>1.7999999999999998</x:v>
      </x:c>
      <x:c r="M9" s="12" t="n">
        <x:f>0</x:f>
        <x:v>0</x:v>
      </x:c>
      <x:c r="N9" s="12" t="str">
        <x:f>IF(O9="Pendente: cortes/dados","Pendente",SUMIF('Armaduras base'!$A$7:$A$158,A9,'Armaduras base'!$I$7:$I$158))</x:f>
        <x:v>Pendente</x:v>
      </x:c>
      <x:c r="O9" s="2" t="str">
        <x:f>IF(COUNTIFS('Armaduras base'!$A$7:$A$158,A9,'Armaduras base'!$J$7:$J$158,"Pendente")&gt;0,"Pendente: cortes/dados","Base sem acertos locais")</x:f>
        <x:v>Pendente: cortes/dados</x:v>
      </x:c>
      <x:c r="P9" s="2" t="str">
        <x:v>Des.05 — quadro P1-COB; Barba PILARES linha 8</x:v>
      </x:c>
      <x:c r="Q9" s="9" t="str">
        <x:v>Quadro do PDF: secção e armadura longitudinal conferidas; cintas Ø8, a=0,20 m. Altura não cotada no PDF. Cinta exterior e interior: cortes distintos, interior sem cotas de desenvolvimento.</x:v>
      </x:c>
      <x:c r="R9" s="2" t="str">
        <x:v>Secção / long. conferidos</x:v>
      </x:c>
    </x:row>
    <x:row r="10" ht="65" customHeight="1">
      <x:c r="A10" s="2" t="str">
        <x:v>P2-P0</x:v>
      </x:c>
      <x:c r="B10" s="2" t="str">
        <x:v>Pilar</x:v>
      </x:c>
      <x:c r="C10" s="2" t="str">
        <x:v>Piso 0</x:v>
      </x:c>
      <x:c r="D10" s="2" t="str">
        <x:v>m altura</x:v>
      </x:c>
      <x:c r="E10" s="2" t="str">
        <x:v>Pilar</x:v>
      </x:c>
      <x:c r="F10" s="11" t="n">
        <x:v>0.4</x:v>
      </x:c>
      <x:c r="G10" s="11" t="n">
        <x:v>0.7</x:v>
      </x:c>
      <x:c r="H10" s="11" t="n">
        <x:v>1</x:v>
      </x:c>
      <x:c r="I10" s="11" t="n">
        <x:v>0.03</x:v>
      </x:c>
      <x:c r="J10" s="11"/>
      <x:c r="K10" s="12" t="n">
        <x:f>F10*G10</x:f>
        <x:v>0.27999999999999997</x:v>
      </x:c>
      <x:c r="L10" s="12" t="n">
        <x:f>2*(F10+G10)</x:f>
        <x:v>2.2</x:v>
      </x:c>
      <x:c r="M10" s="12" t="n">
        <x:f>0</x:f>
        <x:v>0</x:v>
      </x:c>
      <x:c r="N10" s="12" t="str">
        <x:f>IF(O10="Pendente: cortes/dados","Pendente",SUMIF('Armaduras base'!$A$7:$A$158,A10,'Armaduras base'!$I$7:$I$158))</x:f>
        <x:v>Pendente</x:v>
      </x:c>
      <x:c r="O10" s="2" t="str">
        <x:f>IF(COUNTIFS('Armaduras base'!$A$7:$A$158,A10,'Armaduras base'!$J$7:$J$158,"Pendente")&gt;0,"Pendente: cortes/dados","Base sem acertos locais")</x:f>
        <x:v>Pendente: cortes/dados</x:v>
      </x:c>
      <x:c r="P10" s="2" t="str">
        <x:v>Des.05 — quadro P2-P0; Barba PILARES linha 9</x:v>
      </x:c>
      <x:c r="Q10" s="9" t="str">
        <x:v>Quadro do PDF: secção e armadura longitudinal conferidas; cintas Ø8, a=0,20 m. Altura não cotada no PDF. Cinta exterior e interior: cortes distintos, interior sem cotas de desenvolvimento.</x:v>
      </x:c>
      <x:c r="R10" s="2" t="str">
        <x:v>Secção / long. conferidos</x:v>
      </x:c>
    </x:row>
    <x:row r="11" ht="65" customHeight="1">
      <x:c r="A11" s="2" t="str">
        <x:v>P2-P1</x:v>
      </x:c>
      <x:c r="B11" s="2" t="str">
        <x:v>Pilar</x:v>
      </x:c>
      <x:c r="C11" s="2" t="str">
        <x:v>Piso 1</x:v>
      </x:c>
      <x:c r="D11" s="2" t="str">
        <x:v>m altura</x:v>
      </x:c>
      <x:c r="E11" s="2" t="str">
        <x:v>Pilar</x:v>
      </x:c>
      <x:c r="F11" s="11" t="n">
        <x:v>0.4</x:v>
      </x:c>
      <x:c r="G11" s="11" t="n">
        <x:v>0.7</x:v>
      </x:c>
      <x:c r="H11" s="11" t="n">
        <x:v>1</x:v>
      </x:c>
      <x:c r="I11" s="11" t="n">
        <x:v>0.03</x:v>
      </x:c>
      <x:c r="J11" s="11"/>
      <x:c r="K11" s="12" t="n">
        <x:f>F11*G11</x:f>
        <x:v>0.27999999999999997</x:v>
      </x:c>
      <x:c r="L11" s="12" t="n">
        <x:f>2*(F11+G11)</x:f>
        <x:v>2.2</x:v>
      </x:c>
      <x:c r="M11" s="12" t="n">
        <x:f>0</x:f>
        <x:v>0</x:v>
      </x:c>
      <x:c r="N11" s="12" t="str">
        <x:f>IF(O11="Pendente: cortes/dados","Pendente",SUMIF('Armaduras base'!$A$7:$A$158,A11,'Armaduras base'!$I$7:$I$158))</x:f>
        <x:v>Pendente</x:v>
      </x:c>
      <x:c r="O11" s="2" t="str">
        <x:f>IF(COUNTIFS('Armaduras base'!$A$7:$A$158,A11,'Armaduras base'!$J$7:$J$158,"Pendente")&gt;0,"Pendente: cortes/dados","Base sem acertos locais")</x:f>
        <x:v>Pendente: cortes/dados</x:v>
      </x:c>
      <x:c r="P11" s="2" t="str">
        <x:v>Des.05 — quadro P2-P1; Barba PILARES linha 10</x:v>
      </x:c>
      <x:c r="Q11" s="9" t="str">
        <x:v>Quadro do PDF: secção e armadura longitudinal conferidas; cintas Ø8, a=0,20 m. Altura não cotada no PDF. Cinta exterior e interior: cortes distintos, interior sem cotas de desenvolvimento.</x:v>
      </x:c>
      <x:c r="R11" s="2" t="str">
        <x:v>Secção / long. conferidos</x:v>
      </x:c>
    </x:row>
    <x:row r="12" ht="65" customHeight="1">
      <x:c r="A12" s="2" t="str">
        <x:v>P3-P0</x:v>
      </x:c>
      <x:c r="B12" s="2" t="str">
        <x:v>Pilar</x:v>
      </x:c>
      <x:c r="C12" s="2" t="str">
        <x:v>Piso 0</x:v>
      </x:c>
      <x:c r="D12" s="2" t="str">
        <x:v>m altura</x:v>
      </x:c>
      <x:c r="E12" s="2" t="str">
        <x:v>Pilar</x:v>
      </x:c>
      <x:c r="F12" s="11" t="n">
        <x:v>0.4</x:v>
      </x:c>
      <x:c r="G12" s="11" t="n">
        <x:v>0.2</x:v>
      </x:c>
      <x:c r="H12" s="11" t="n">
        <x:v>1</x:v>
      </x:c>
      <x:c r="I12" s="11" t="n">
        <x:v>0.03</x:v>
      </x:c>
      <x:c r="J12" s="11"/>
      <x:c r="K12" s="12" t="n">
        <x:f>F12*G12</x:f>
        <x:v>0.08000000000000002</x:v>
      </x:c>
      <x:c r="L12" s="12" t="n">
        <x:f>2*(F12+G12)</x:f>
        <x:v>1.2000000000000002</x:v>
      </x:c>
      <x:c r="M12" s="12" t="n">
        <x:f>0</x:f>
        <x:v>0</x:v>
      </x:c>
      <x:c r="N12" s="12" t="str">
        <x:f>IF(O12="Pendente: cortes/dados","Pendente",SUMIF('Armaduras base'!$A$7:$A$158,A12,'Armaduras base'!$I$7:$I$158))</x:f>
        <x:v>Pendente</x:v>
      </x:c>
      <x:c r="O12" s="2" t="str">
        <x:f>IF(COUNTIFS('Armaduras base'!$A$7:$A$158,A12,'Armaduras base'!$J$7:$J$158,"Pendente")&gt;0,"Pendente: cortes/dados","Base sem acertos locais")</x:f>
        <x:v>Pendente: cortes/dados</x:v>
      </x:c>
      <x:c r="P12" s="2" t="str">
        <x:v>Des.05 — quadro P3-P0; Barba PILARES linha 11</x:v>
      </x:c>
      <x:c r="Q12" s="9" t="str">
        <x:v>Quadro do PDF: secção e armadura longitudinal conferidas; cintas Ø8, a=0,20 m. Altura não cotada no PDF. Cinta simples representada. Corte final depende da linha média, curvas e fecho; não copiado por aproximação.</x:v>
      </x:c>
      <x:c r="R12" s="2" t="str">
        <x:v>Secção / long. conferidos</x:v>
      </x:c>
    </x:row>
    <x:row r="13" ht="65" customHeight="1">
      <x:c r="A13" s="2" t="str">
        <x:v>P4-P1</x:v>
      </x:c>
      <x:c r="B13" s="2" t="str">
        <x:v>Pilar</x:v>
      </x:c>
      <x:c r="C13" s="2" t="str">
        <x:v>Piso 1</x:v>
      </x:c>
      <x:c r="D13" s="2" t="str">
        <x:v>m altura</x:v>
      </x:c>
      <x:c r="E13" s="2" t="str">
        <x:v>Pilar</x:v>
      </x:c>
      <x:c r="F13" s="11" t="n">
        <x:v>0.2</x:v>
      </x:c>
      <x:c r="G13" s="11" t="n">
        <x:v>0.4</x:v>
      </x:c>
      <x:c r="H13" s="11" t="n">
        <x:v>1</x:v>
      </x:c>
      <x:c r="I13" s="11" t="n">
        <x:v>0.03</x:v>
      </x:c>
      <x:c r="J13" s="11"/>
      <x:c r="K13" s="12" t="n">
        <x:f>F13*G13</x:f>
        <x:v>0.08000000000000002</x:v>
      </x:c>
      <x:c r="L13" s="12" t="n">
        <x:f>2*(F13+G13)</x:f>
        <x:v>1.2000000000000002</x:v>
      </x:c>
      <x:c r="M13" s="12" t="n">
        <x:f>0</x:f>
        <x:v>0</x:v>
      </x:c>
      <x:c r="N13" s="12" t="str">
        <x:f>IF(O13="Pendente: cortes/dados","Pendente",SUMIF('Armaduras base'!$A$7:$A$158,A13,'Armaduras base'!$I$7:$I$158))</x:f>
        <x:v>Pendente</x:v>
      </x:c>
      <x:c r="O13" s="2" t="str">
        <x:f>IF(COUNTIFS('Armaduras base'!$A$7:$A$158,A13,'Armaduras base'!$J$7:$J$158,"Pendente")&gt;0,"Pendente: cortes/dados","Base sem acertos locais")</x:f>
        <x:v>Pendente: cortes/dados</x:v>
      </x:c>
      <x:c r="P13" s="2" t="str">
        <x:v>Des.05 — quadro P4-P1; Barba PILARES linha 12</x:v>
      </x:c>
      <x:c r="Q13" s="9" t="str">
        <x:v>Quadro do PDF: secção e armadura longitudinal conferidas; cintas Ø8, a=0,20 m. Altura não cotada no PDF. Cinta simples representada. Corte final depende da linha média, curvas e fecho; não copiado por aproximação.</x:v>
      </x:c>
      <x:c r="R13" s="2" t="str">
        <x:v>Secção / long. conferidos</x:v>
      </x:c>
    </x:row>
    <x:row r="14" ht="65" customHeight="1">
      <x:c r="A14" s="2" t="str">
        <x:v>P4-COB</x:v>
      </x:c>
      <x:c r="B14" s="2" t="str">
        <x:v>Pilar</x:v>
      </x:c>
      <x:c r="C14" s="2" t="str">
        <x:v>Cobertura</x:v>
      </x:c>
      <x:c r="D14" s="2" t="str">
        <x:v>m altura</x:v>
      </x:c>
      <x:c r="E14" s="2" t="str">
        <x:v>Pilar</x:v>
      </x:c>
      <x:c r="F14" s="11" t="n">
        <x:v>0.2</x:v>
      </x:c>
      <x:c r="G14" s="11" t="n">
        <x:v>0.4</x:v>
      </x:c>
      <x:c r="H14" s="11" t="n">
        <x:v>1</x:v>
      </x:c>
      <x:c r="I14" s="11" t="n">
        <x:v>0.03</x:v>
      </x:c>
      <x:c r="J14" s="11"/>
      <x:c r="K14" s="12" t="n">
        <x:f>F14*G14</x:f>
        <x:v>0.08000000000000002</x:v>
      </x:c>
      <x:c r="L14" s="12" t="n">
        <x:f>2*(F14+G14)</x:f>
        <x:v>1.2000000000000002</x:v>
      </x:c>
      <x:c r="M14" s="12" t="n">
        <x:f>0</x:f>
        <x:v>0</x:v>
      </x:c>
      <x:c r="N14" s="12" t="str">
        <x:f>IF(O14="Pendente: cortes/dados","Pendente",SUMIF('Armaduras base'!$A$7:$A$158,A14,'Armaduras base'!$I$7:$I$158))</x:f>
        <x:v>Pendente</x:v>
      </x:c>
      <x:c r="O14" s="2" t="str">
        <x:f>IF(COUNTIFS('Armaduras base'!$A$7:$A$158,A14,'Armaduras base'!$J$7:$J$158,"Pendente")&gt;0,"Pendente: cortes/dados","Base sem acertos locais")</x:f>
        <x:v>Pendente: cortes/dados</x:v>
      </x:c>
      <x:c r="P14" s="2" t="str">
        <x:v>Des.05 — quadro P4-COB; Barba PILARES linha 13</x:v>
      </x:c>
      <x:c r="Q14" s="9" t="str">
        <x:v>Quadro do PDF: secção e armadura longitudinal conferidas; cintas Ø8, a=0,20 m. Altura não cotada no PDF. Cinta simples representada. Corte final depende da linha média, curvas e fecho; não copiado por aproximação.</x:v>
      </x:c>
      <x:c r="R14" s="2" t="str">
        <x:v>Secção / long. conferidos</x:v>
      </x:c>
    </x:row>
    <x:row r="15" ht="65" customHeight="1">
      <x:c r="A15" s="2" t="str">
        <x:v>P5-P1</x:v>
      </x:c>
      <x:c r="B15" s="2" t="str">
        <x:v>Pilar</x:v>
      </x:c>
      <x:c r="C15" s="2" t="str">
        <x:v>Piso 1</x:v>
      </x:c>
      <x:c r="D15" s="2" t="str">
        <x:v>m altura</x:v>
      </x:c>
      <x:c r="E15" s="2" t="str">
        <x:v>Pilar</x:v>
      </x:c>
      <x:c r="F15" s="11" t="n">
        <x:v>0.2</x:v>
      </x:c>
      <x:c r="G15" s="11" t="n">
        <x:v>0.4</x:v>
      </x:c>
      <x:c r="H15" s="11" t="n">
        <x:v>1</x:v>
      </x:c>
      <x:c r="I15" s="11" t="n">
        <x:v>0.03</x:v>
      </x:c>
      <x:c r="J15" s="11"/>
      <x:c r="K15" s="12" t="n">
        <x:f>F15*G15</x:f>
        <x:v>0.08000000000000002</x:v>
      </x:c>
      <x:c r="L15" s="12" t="n">
        <x:f>2*(F15+G15)</x:f>
        <x:v>1.2000000000000002</x:v>
      </x:c>
      <x:c r="M15" s="12" t="n">
        <x:f>0</x:f>
        <x:v>0</x:v>
      </x:c>
      <x:c r="N15" s="12" t="str">
        <x:f>IF(O15="Pendente: cortes/dados","Pendente",SUMIF('Armaduras base'!$A$7:$A$158,A15,'Armaduras base'!$I$7:$I$158))</x:f>
        <x:v>Pendente</x:v>
      </x:c>
      <x:c r="O15" s="2" t="str">
        <x:f>IF(COUNTIFS('Armaduras base'!$A$7:$A$158,A15,'Armaduras base'!$J$7:$J$158,"Pendente")&gt;0,"Pendente: cortes/dados","Base sem acertos locais")</x:f>
        <x:v>Pendente: cortes/dados</x:v>
      </x:c>
      <x:c r="P15" s="2" t="str">
        <x:v>Des.05 — quadro P5-P1; Barba PILARES linha 14</x:v>
      </x:c>
      <x:c r="Q15" s="9" t="str">
        <x:v>Quadro do PDF: secção e armadura longitudinal conferidas; cintas Ø8, a=0,20 m. Altura não cotada no PDF. Cinta simples representada. Corte final depende da linha média, curvas e fecho; não copiado por aproximação.</x:v>
      </x:c>
      <x:c r="R15" s="2" t="str">
        <x:v>Secção / long. conferidos</x:v>
      </x:c>
    </x:row>
    <x:row r="16" ht="65" customHeight="1">
      <x:c r="A16" s="2" t="str">
        <x:v>P6-P0</x:v>
      </x:c>
      <x:c r="B16" s="2" t="str">
        <x:v>Pilar</x:v>
      </x:c>
      <x:c r="C16" s="2" t="str">
        <x:v>Piso 0</x:v>
      </x:c>
      <x:c r="D16" s="2" t="str">
        <x:v>m altura</x:v>
      </x:c>
      <x:c r="E16" s="2" t="str">
        <x:v>Pilar</x:v>
      </x:c>
      <x:c r="F16" s="11" t="n">
        <x:v>0.3</x:v>
      </x:c>
      <x:c r="G16" s="11" t="n">
        <x:v>0.3</x:v>
      </x:c>
      <x:c r="H16" s="11" t="n">
        <x:v>1</x:v>
      </x:c>
      <x:c r="I16" s="11" t="n">
        <x:v>0.03</x:v>
      </x:c>
      <x:c r="J16" s="11"/>
      <x:c r="K16" s="12" t="n">
        <x:f>F16*G16</x:f>
        <x:v>0.09</x:v>
      </x:c>
      <x:c r="L16" s="12" t="n">
        <x:f>2*(F16+G16)</x:f>
        <x:v>1.2</x:v>
      </x:c>
      <x:c r="M16" s="12" t="n">
        <x:f>0</x:f>
        <x:v>0</x:v>
      </x:c>
      <x:c r="N16" s="12" t="str">
        <x:f>IF(O16="Pendente: cortes/dados","Pendente",SUMIF('Armaduras base'!$A$7:$A$158,A16,'Armaduras base'!$I$7:$I$158))</x:f>
        <x:v>Pendente</x:v>
      </x:c>
      <x:c r="O16" s="2" t="str">
        <x:f>IF(COUNTIFS('Armaduras base'!$A$7:$A$158,A16,'Armaduras base'!$J$7:$J$158,"Pendente")&gt;0,"Pendente: cortes/dados","Base sem acertos locais")</x:f>
        <x:v>Pendente: cortes/dados</x:v>
      </x:c>
      <x:c r="P16" s="2" t="str">
        <x:v>Des.05 — quadro P6-P0; Barba PILARES linha 15</x:v>
      </x:c>
      <x:c r="Q16" s="9" t="str">
        <x:v>Quadro do PDF: secção e armadura longitudinal conferidas; cintas Ø8, a=0,20 m. Altura não cotada no PDF. Cinta simples representada. Corte final depende da linha média, curvas e fecho; não copiado por aproximação. Encontro com parede: conferir faces efetivamente cofradas.</x:v>
      </x:c>
      <x:c r="R16" s="2" t="str">
        <x:v>Secção / long. conferidos</x:v>
      </x:c>
    </x:row>
    <x:row r="17" ht="65" customHeight="1">
      <x:c r="A17" s="2" t="str">
        <x:v>P6-P1</x:v>
      </x:c>
      <x:c r="B17" s="2" t="str">
        <x:v>Pilar</x:v>
      </x:c>
      <x:c r="C17" s="2" t="str">
        <x:v>Piso 1</x:v>
      </x:c>
      <x:c r="D17" s="2" t="str">
        <x:v>m altura</x:v>
      </x:c>
      <x:c r="E17" s="2" t="str">
        <x:v>Pilar</x:v>
      </x:c>
      <x:c r="F17" s="11" t="n">
        <x:v>0.3</x:v>
      </x:c>
      <x:c r="G17" s="11" t="n">
        <x:v>0.3</x:v>
      </x:c>
      <x:c r="H17" s="11" t="n">
        <x:v>1</x:v>
      </x:c>
      <x:c r="I17" s="11" t="n">
        <x:v>0.03</x:v>
      </x:c>
      <x:c r="J17" s="11"/>
      <x:c r="K17" s="12" t="n">
        <x:f>F17*G17</x:f>
        <x:v>0.09</x:v>
      </x:c>
      <x:c r="L17" s="12" t="n">
        <x:f>2*(F17+G17)</x:f>
        <x:v>1.2</x:v>
      </x:c>
      <x:c r="M17" s="12" t="n">
        <x:f>0</x:f>
        <x:v>0</x:v>
      </x:c>
      <x:c r="N17" s="12" t="str">
        <x:f>IF(O17="Pendente: cortes/dados","Pendente",SUMIF('Armaduras base'!$A$7:$A$158,A17,'Armaduras base'!$I$7:$I$158))</x:f>
        <x:v>Pendente</x:v>
      </x:c>
      <x:c r="O17" s="2" t="str">
        <x:f>IF(COUNTIFS('Armaduras base'!$A$7:$A$158,A17,'Armaduras base'!$J$7:$J$158,"Pendente")&gt;0,"Pendente: cortes/dados","Base sem acertos locais")</x:f>
        <x:v>Pendente: cortes/dados</x:v>
      </x:c>
      <x:c r="P17" s="2" t="str">
        <x:v>Des.05 — quadro P6-P1; Barba PILARES linha 16</x:v>
      </x:c>
      <x:c r="Q17" s="9" t="str">
        <x:v>Quadro do PDF: secção e armadura longitudinal conferidas; cintas Ø8, a=0,20 m. Altura não cotada no PDF. Cinta simples representada. Corte final depende da linha média, curvas e fecho; não copiado por aproximação.</x:v>
      </x:c>
      <x:c r="R17" s="2" t="str">
        <x:v>Secção / long. conferidos</x:v>
      </x:c>
    </x:row>
    <x:row r="18" ht="65" customHeight="1">
      <x:c r="A18" s="2" t="str">
        <x:v>P7-P0</x:v>
      </x:c>
      <x:c r="B18" s="2" t="str">
        <x:v>Pilar</x:v>
      </x:c>
      <x:c r="C18" s="2" t="str">
        <x:v>Piso 0</x:v>
      </x:c>
      <x:c r="D18" s="2" t="str">
        <x:v>m altura</x:v>
      </x:c>
      <x:c r="E18" s="2" t="str">
        <x:v>Pilar</x:v>
      </x:c>
      <x:c r="F18" s="11" t="n">
        <x:v>0.5</x:v>
      </x:c>
      <x:c r="G18" s="11" t="n">
        <x:v>0.3</x:v>
      </x:c>
      <x:c r="H18" s="11" t="n">
        <x:v>1</x:v>
      </x:c>
      <x:c r="I18" s="11" t="n">
        <x:v>0.03</x:v>
      </x:c>
      <x:c r="J18" s="11"/>
      <x:c r="K18" s="12" t="n">
        <x:f>F18*G18</x:f>
        <x:v>0.15</x:v>
      </x:c>
      <x:c r="L18" s="12" t="n">
        <x:f>2*(F18+G18)</x:f>
        <x:v>1.6</x:v>
      </x:c>
      <x:c r="M18" s="12" t="n">
        <x:f>0</x:f>
        <x:v>0</x:v>
      </x:c>
      <x:c r="N18" s="12" t="str">
        <x:f>IF(O18="Pendente: cortes/dados","Pendente",SUMIF('Armaduras base'!$A$7:$A$158,A18,'Armaduras base'!$I$7:$I$158))</x:f>
        <x:v>Pendente</x:v>
      </x:c>
      <x:c r="O18" s="2" t="str">
        <x:f>IF(COUNTIFS('Armaduras base'!$A$7:$A$158,A18,'Armaduras base'!$J$7:$J$158,"Pendente")&gt;0,"Pendente: cortes/dados","Base sem acertos locais")</x:f>
        <x:v>Pendente: cortes/dados</x:v>
      </x:c>
      <x:c r="P18" s="2" t="str">
        <x:v>Des.05 — quadro P7-P0; Barba PILARES linha 17</x:v>
      </x:c>
      <x:c r="Q18" s="9" t="str">
        <x:v>Quadro do PDF: secção e armadura longitudinal conferidas; cintas Ø8, a=0,20 m. Altura não cotada no PDF. Cinta simples representada. Corte final depende da linha média, curvas e fecho; não copiado por aproximação. Encontro com parede: conferir faces efetivamente cofradas.</x:v>
      </x:c>
      <x:c r="R18" s="2" t="str">
        <x:v>Secção / long. conferidos</x:v>
      </x:c>
    </x:row>
    <x:row r="19" ht="65" customHeight="1">
      <x:c r="A19" s="2" t="str">
        <x:v>P7-P1</x:v>
      </x:c>
      <x:c r="B19" s="2" t="str">
        <x:v>Pilar</x:v>
      </x:c>
      <x:c r="C19" s="2" t="str">
        <x:v>Piso 1</x:v>
      </x:c>
      <x:c r="D19" s="2" t="str">
        <x:v>m altura</x:v>
      </x:c>
      <x:c r="E19" s="2" t="str">
        <x:v>Circular</x:v>
      </x:c>
      <x:c r="F19" s="11" t="n">
        <x:v>0.3</x:v>
      </x:c>
      <x:c r="G19" s="11" t="n">
        <x:v>0.3</x:v>
      </x:c>
      <x:c r="H19" s="11" t="n">
        <x:v>1</x:v>
      </x:c>
      <x:c r="I19" s="11" t="n">
        <x:v>0.03</x:v>
      </x:c>
      <x:c r="J19" s="11"/>
      <x:c r="K19" s="12" t="n">
        <x:f>PI()*F19^2/4</x:f>
        <x:v>0.07068583470577035</x:v>
      </x:c>
      <x:c r="L19" s="12" t="n">
        <x:f>PI()*F19</x:f>
        <x:v>0.9424777960769379</x:v>
      </x:c>
      <x:c r="M19" s="12" t="n">
        <x:f>0</x:f>
        <x:v>0</x:v>
      </x:c>
      <x:c r="N19" s="12" t="str">
        <x:f>IF(O19="Pendente: cortes/dados","Pendente",SUMIF('Armaduras base'!$A$7:$A$158,A19,'Armaduras base'!$I$7:$I$158))</x:f>
        <x:v>Pendente</x:v>
      </x:c>
      <x:c r="O19" s="2" t="str">
        <x:f>IF(COUNTIFS('Armaduras base'!$A$7:$A$158,A19,'Armaduras base'!$J$7:$J$158,"Pendente")&gt;0,"Pendente: cortes/dados","Base sem acertos locais")</x:f>
        <x:v>Pendente: cortes/dados</x:v>
      </x:c>
      <x:c r="P19" s="2" t="str">
        <x:v>Des.05 — quadro P7-P1; Barba PILARES linha 18</x:v>
      </x:c>
      <x:c r="Q19" s="9" t="str">
        <x:v>Quadro do PDF: secção e armadura longitudinal conferidas; cintas Ø8, a=0,20 m. Altura não cotada no PDF. Cinta circular Ø30; não identificada como espiral. Corte/fecho a confirmar.</x:v>
      </x:c>
      <x:c r="R19" s="2" t="str">
        <x:v>Secção / long. conferidos</x:v>
      </x:c>
    </x:row>
    <x:row r="20" ht="65" customHeight="1">
      <x:c r="A20" s="2" t="str">
        <x:v>P7-COB</x:v>
      </x:c>
      <x:c r="B20" s="2" t="str">
        <x:v>Pilar</x:v>
      </x:c>
      <x:c r="C20" s="2" t="str">
        <x:v>Cobertura</x:v>
      </x:c>
      <x:c r="D20" s="2" t="str">
        <x:v>m altura</x:v>
      </x:c>
      <x:c r="E20" s="2" t="str">
        <x:v>Circular</x:v>
      </x:c>
      <x:c r="F20" s="11" t="n">
        <x:v>0.3</x:v>
      </x:c>
      <x:c r="G20" s="11" t="n">
        <x:v>0.3</x:v>
      </x:c>
      <x:c r="H20" s="11" t="n">
        <x:v>1</x:v>
      </x:c>
      <x:c r="I20" s="11" t="n">
        <x:v>0.03</x:v>
      </x:c>
      <x:c r="J20" s="11"/>
      <x:c r="K20" s="12" t="n">
        <x:f>PI()*F20^2/4</x:f>
        <x:v>0.07068583470577035</x:v>
      </x:c>
      <x:c r="L20" s="12" t="n">
        <x:f>PI()*F20</x:f>
        <x:v>0.9424777960769379</x:v>
      </x:c>
      <x:c r="M20" s="12" t="n">
        <x:f>0</x:f>
        <x:v>0</x:v>
      </x:c>
      <x:c r="N20" s="12" t="str">
        <x:f>IF(O20="Pendente: cortes/dados","Pendente",SUMIF('Armaduras base'!$A$7:$A$158,A20,'Armaduras base'!$I$7:$I$158))</x:f>
        <x:v>Pendente</x:v>
      </x:c>
      <x:c r="O20" s="2" t="str">
        <x:f>IF(COUNTIFS('Armaduras base'!$A$7:$A$158,A20,'Armaduras base'!$J$7:$J$158,"Pendente")&gt;0,"Pendente: cortes/dados","Base sem acertos locais")</x:f>
        <x:v>Pendente: cortes/dados</x:v>
      </x:c>
      <x:c r="P20" s="2" t="str">
        <x:v>Des.05 — quadro P7-COB; Barba PILARES linha 19</x:v>
      </x:c>
      <x:c r="Q20" s="9" t="str">
        <x:v>Quadro do PDF: secção e armadura longitudinal conferidas; cintas Ø8, a=0,20 m. Altura não cotada no PDF. Cinta circular Ø30; não identificada como espiral. Corte/fecho a confirmar.</x:v>
      </x:c>
      <x:c r="R20" s="2" t="str">
        <x:v>Secção / long. conferidos</x:v>
      </x:c>
    </x:row>
    <x:row r="21" ht="65" customHeight="1">
      <x:c r="A21" s="2" t="str">
        <x:v>P8-P0</x:v>
      </x:c>
      <x:c r="B21" s="2" t="str">
        <x:v>Pilar</x:v>
      </x:c>
      <x:c r="C21" s="2" t="str">
        <x:v>Piso 0</x:v>
      </x:c>
      <x:c r="D21" s="2" t="str">
        <x:v>m altura</x:v>
      </x:c>
      <x:c r="E21" s="2" t="str">
        <x:v>Pilar</x:v>
      </x:c>
      <x:c r="F21" s="11" t="n">
        <x:v>0.3</x:v>
      </x:c>
      <x:c r="G21" s="11" t="n">
        <x:v>0.6</x:v>
      </x:c>
      <x:c r="H21" s="11" t="n">
        <x:v>1</x:v>
      </x:c>
      <x:c r="I21" s="11" t="n">
        <x:v>0.03</x:v>
      </x:c>
      <x:c r="J21" s="11"/>
      <x:c r="K21" s="12" t="n">
        <x:f>F21*G21</x:f>
        <x:v>0.18</x:v>
      </x:c>
      <x:c r="L21" s="12" t="n">
        <x:f>2*(F21+G21)</x:f>
        <x:v>1.7999999999999998</x:v>
      </x:c>
      <x:c r="M21" s="12" t="n">
        <x:f>0</x:f>
        <x:v>0</x:v>
      </x:c>
      <x:c r="N21" s="12" t="str">
        <x:f>IF(O21="Pendente: cortes/dados","Pendente",SUMIF('Armaduras base'!$A$7:$A$158,A21,'Armaduras base'!$I$7:$I$158))</x:f>
        <x:v>Pendente</x:v>
      </x:c>
      <x:c r="O21" s="2" t="str">
        <x:f>IF(COUNTIFS('Armaduras base'!$A$7:$A$158,A21,'Armaduras base'!$J$7:$J$158,"Pendente")&gt;0,"Pendente: cortes/dados","Base sem acertos locais")</x:f>
        <x:v>Pendente: cortes/dados</x:v>
      </x:c>
      <x:c r="P21" s="2" t="str">
        <x:v>Des.05 — quadro P8-P0; Barba PILARES linha 20</x:v>
      </x:c>
      <x:c r="Q21" s="9" t="str">
        <x:v>Quadro do PDF: secção e armadura longitudinal conferidas; cintas Ø8, a=0,20 m. Altura não cotada no PDF. Cinta exterior e interior: cortes distintos, interior sem cotas de desenvolvimento.</x:v>
      </x:c>
      <x:c r="R21" s="2" t="str">
        <x:v>Secção / long. conferidos</x:v>
      </x:c>
    </x:row>
    <x:row r="22" ht="65" customHeight="1">
      <x:c r="A22" s="2" t="str">
        <x:v>P8-P1</x:v>
      </x:c>
      <x:c r="B22" s="2" t="str">
        <x:v>Pilar</x:v>
      </x:c>
      <x:c r="C22" s="2" t="str">
        <x:v>Piso 1</x:v>
      </x:c>
      <x:c r="D22" s="2" t="str">
        <x:v>m altura</x:v>
      </x:c>
      <x:c r="E22" s="2" t="str">
        <x:v>Pilar</x:v>
      </x:c>
      <x:c r="F22" s="11" t="n">
        <x:v>0.3</x:v>
      </x:c>
      <x:c r="G22" s="11" t="n">
        <x:v>0.6</x:v>
      </x:c>
      <x:c r="H22" s="11" t="n">
        <x:v>1</x:v>
      </x:c>
      <x:c r="I22" s="11" t="n">
        <x:v>0.03</x:v>
      </x:c>
      <x:c r="J22" s="11"/>
      <x:c r="K22" s="12" t="n">
        <x:f>F22*G22</x:f>
        <x:v>0.18</x:v>
      </x:c>
      <x:c r="L22" s="12" t="n">
        <x:f>2*(F22+G22)</x:f>
        <x:v>1.7999999999999998</x:v>
      </x:c>
      <x:c r="M22" s="12" t="n">
        <x:f>0</x:f>
        <x:v>0</x:v>
      </x:c>
      <x:c r="N22" s="12" t="str">
        <x:f>IF(O22="Pendente: cortes/dados","Pendente",SUMIF('Armaduras base'!$A$7:$A$158,A22,'Armaduras base'!$I$7:$I$158))</x:f>
        <x:v>Pendente</x:v>
      </x:c>
      <x:c r="O22" s="2" t="str">
        <x:f>IF(COUNTIFS('Armaduras base'!$A$7:$A$158,A22,'Armaduras base'!$J$7:$J$158,"Pendente")&gt;0,"Pendente: cortes/dados","Base sem acertos locais")</x:f>
        <x:v>Pendente: cortes/dados</x:v>
      </x:c>
      <x:c r="P22" s="2" t="str">
        <x:v>Des.05 — quadro P8-P1; Barba PILARES linha 21</x:v>
      </x:c>
      <x:c r="Q22" s="9" t="str">
        <x:v>Quadro do PDF: secção e armadura longitudinal conferidas; cintas Ø8, a=0,20 m. Altura não cotada no PDF. Cinta exterior e interior: cortes distintos, interior sem cotas de desenvolvimento.</x:v>
      </x:c>
      <x:c r="R22" s="2" t="str">
        <x:v>Secção / long. conferidos</x:v>
      </x:c>
    </x:row>
    <x:row r="23" ht="65" customHeight="1">
      <x:c r="A23" s="2" t="str">
        <x:v>P9-COB</x:v>
      </x:c>
      <x:c r="B23" s="2" t="str">
        <x:v>Pilar</x:v>
      </x:c>
      <x:c r="C23" s="2" t="str">
        <x:v>Cobertura</x:v>
      </x:c>
      <x:c r="D23" s="2" t="str">
        <x:v>m altura</x:v>
      </x:c>
      <x:c r="E23" s="2" t="str">
        <x:v>Pilar</x:v>
      </x:c>
      <x:c r="F23" s="11" t="n">
        <x:v>1.3</x:v>
      </x:c>
      <x:c r="G23" s="11" t="n">
        <x:v>0.2</x:v>
      </x:c>
      <x:c r="H23" s="11" t="n">
        <x:v>1</x:v>
      </x:c>
      <x:c r="I23" s="11" t="n">
        <x:v>0.03</x:v>
      </x:c>
      <x:c r="J23" s="11"/>
      <x:c r="K23" s="12" t="n">
        <x:f>F23*G23</x:f>
        <x:v>0.26</x:v>
      </x:c>
      <x:c r="L23" s="12" t="n">
        <x:f>2*(F23+G23)</x:f>
        <x:v>3</x:v>
      </x:c>
      <x:c r="M23" s="12" t="n">
        <x:f>0</x:f>
        <x:v>0</x:v>
      </x:c>
      <x:c r="N23" s="12" t="str">
        <x:f>IF(O23="Pendente: cortes/dados","Pendente",SUMIF('Armaduras base'!$A$7:$A$158,A23,'Armaduras base'!$I$7:$I$158))</x:f>
        <x:v>Pendente</x:v>
      </x:c>
      <x:c r="O23" s="2" t="str">
        <x:f>IF(COUNTIFS('Armaduras base'!$A$7:$A$158,A23,'Armaduras base'!$J$7:$J$158,"Pendente")&gt;0,"Pendente: cortes/dados","Base sem acertos locais")</x:f>
        <x:v>Pendente: cortes/dados</x:v>
      </x:c>
      <x:c r="P23" s="2" t="str">
        <x:v>Des.05 — quadro P9-COB; Barba PILARES linha 22</x:v>
      </x:c>
      <x:c r="Q23" s="9" t="str">
        <x:v>Quadro do PDF: secção e armadura longitudinal conferidas; cintas Ø8, a=0,20 m. Altura não cotada no PDF. Cintas sobrepostas: representar o comprimento somado de todas as peças do conjunto, não uma cinta exterior única.</x:v>
      </x:c>
      <x:c r="R23" s="2" t="str">
        <x:v>Secção / long. conferidos</x:v>
      </x:c>
    </x:row>
    <x:row r="24" ht="65" customHeight="1">
      <x:c r="A24" s="2" t="str">
        <x:v>P10-COB</x:v>
      </x:c>
      <x:c r="B24" s="2" t="str">
        <x:v>Pilar</x:v>
      </x:c>
      <x:c r="C24" s="2" t="str">
        <x:v>Cobertura</x:v>
      </x:c>
      <x:c r="D24" s="2" t="str">
        <x:v>m altura</x:v>
      </x:c>
      <x:c r="E24" s="2" t="str">
        <x:v>Pilar</x:v>
      </x:c>
      <x:c r="F24" s="11" t="n">
        <x:v>0.2</x:v>
      </x:c>
      <x:c r="G24" s="11" t="n">
        <x:v>1</x:v>
      </x:c>
      <x:c r="H24" s="11" t="n">
        <x:v>1</x:v>
      </x:c>
      <x:c r="I24" s="11" t="n">
        <x:v>0.03</x:v>
      </x:c>
      <x:c r="J24" s="11"/>
      <x:c r="K24" s="12" t="n">
        <x:f>F24*G24</x:f>
        <x:v>0.2</x:v>
      </x:c>
      <x:c r="L24" s="12" t="n">
        <x:f>2*(F24+G24)</x:f>
        <x:v>2.4</x:v>
      </x:c>
      <x:c r="M24" s="12" t="n">
        <x:f>0</x:f>
        <x:v>0</x:v>
      </x:c>
      <x:c r="N24" s="12" t="str">
        <x:f>IF(O24="Pendente: cortes/dados","Pendente",SUMIF('Armaduras base'!$A$7:$A$158,A24,'Armaduras base'!$I$7:$I$158))</x:f>
        <x:v>Pendente</x:v>
      </x:c>
      <x:c r="O24" s="2" t="str">
        <x:f>IF(COUNTIFS('Armaduras base'!$A$7:$A$158,A24,'Armaduras base'!$J$7:$J$158,"Pendente")&gt;0,"Pendente: cortes/dados","Base sem acertos locais")</x:f>
        <x:v>Pendente: cortes/dados</x:v>
      </x:c>
      <x:c r="P24" s="2" t="str">
        <x:v>Des.05 — quadro P10-COB; Barba PILARES linha 23</x:v>
      </x:c>
      <x:c r="Q24" s="9" t="str">
        <x:v>Quadro do PDF: secção e armadura longitudinal conferidas; cintas Ø8, a=0,20 m. Altura não cotada no PDF. Cintas sobrepostas: representar o comprimento somado de todas as peças do conjunto, não uma cinta exterior única.</x:v>
      </x:c>
      <x:c r="R24" s="2" t="str">
        <x:v>Secção / long. conferidos</x:v>
      </x:c>
    </x:row>
    <x:row r="25" ht="65" customHeight="1">
      <x:c r="A25" s="2" t="str">
        <x:v>P11-COB</x:v>
      </x:c>
      <x:c r="B25" s="2" t="str">
        <x:v>Pilar</x:v>
      </x:c>
      <x:c r="C25" s="2" t="str">
        <x:v>Cobertura</x:v>
      </x:c>
      <x:c r="D25" s="2" t="str">
        <x:v>m altura</x:v>
      </x:c>
      <x:c r="E25" s="2" t="str">
        <x:v>Pilar</x:v>
      </x:c>
      <x:c r="F25" s="11" t="n">
        <x:v>0.2</x:v>
      </x:c>
      <x:c r="G25" s="11" t="n">
        <x:v>0.8</x:v>
      </x:c>
      <x:c r="H25" s="11" t="n">
        <x:v>1</x:v>
      </x:c>
      <x:c r="I25" s="11" t="n">
        <x:v>0.03</x:v>
      </x:c>
      <x:c r="J25" s="11"/>
      <x:c r="K25" s="12" t="n">
        <x:f>F25*G25</x:f>
        <x:v>0.16000000000000003</x:v>
      </x:c>
      <x:c r="L25" s="12" t="n">
        <x:f>2*(F25+G25)</x:f>
        <x:v>2</x:v>
      </x:c>
      <x:c r="M25" s="12" t="n">
        <x:f>0</x:f>
        <x:v>0</x:v>
      </x:c>
      <x:c r="N25" s="12" t="str">
        <x:f>IF(O25="Pendente: cortes/dados","Pendente",SUMIF('Armaduras base'!$A$7:$A$158,A25,'Armaduras base'!$I$7:$I$158))</x:f>
        <x:v>Pendente</x:v>
      </x:c>
      <x:c r="O25" s="2" t="str">
        <x:f>IF(COUNTIFS('Armaduras base'!$A$7:$A$158,A25,'Armaduras base'!$J$7:$J$158,"Pendente")&gt;0,"Pendente: cortes/dados","Base sem acertos locais")</x:f>
        <x:v>Pendente: cortes/dados</x:v>
      </x:c>
      <x:c r="P25" s="2" t="str">
        <x:v>Des.05 — quadro P11-COB; Barba PILARES linha 24</x:v>
      </x:c>
      <x:c r="Q25" s="9" t="str">
        <x:v>Quadro do PDF: secção e armadura longitudinal conferidas; cintas Ø8, a=0,20 m. Altura não cotada no PDF. Cintas sobrepostas: representar o comprimento somado de todas as peças do conjunto, não uma cinta exterior única.</x:v>
      </x:c>
      <x:c r="R25" s="2" t="str">
        <x:v>Secção / long. conferidos</x:v>
      </x:c>
    </x:row>
    <x:row r="26" ht="48" customHeight="1">
      <x:c r="A26" s="2" t="str">
        <x:v>S1</x:v>
      </x:c>
      <x:c r="B26" s="2" t="str">
        <x:v>Sapata isolada</x:v>
      </x:c>
      <x:c r="C26" s="2" t="str">
        <x:v>Fundações</x:v>
      </x:c>
      <x:c r="D26" s="2" t="str">
        <x:v>un</x:v>
      </x:c>
      <x:c r="E26" s="2" t="str">
        <x:v>Sapata</x:v>
      </x:c>
      <x:c r="F26" s="11" t="n">
        <x:v>4</x:v>
      </x:c>
      <x:c r="G26" s="11" t="n">
        <x:v>0.4</x:v>
      </x:c>
      <x:c r="H26" s="11" t="n">
        <x:v>3.3</x:v>
      </x:c>
      <x:c r="I26" s="11" t="n">
        <x:v>0.05</x:v>
      </x:c>
      <x:c r="J26" s="11"/>
      <x:c r="K26" s="12" t="n">
        <x:f>F26*G26*H26</x:f>
        <x:v>5.28</x:v>
      </x:c>
      <x:c r="L26" s="12" t="n">
        <x:f>2*(F26+H26)*G26</x:f>
        <x:v>5.84</x:v>
      </x:c>
      <x:c r="M26" s="12" t="n">
        <x:f>F26*H26*0.05</x:f>
        <x:v>0.66</x:v>
      </x:c>
      <x:c r="N26" s="12" t="n">
        <x:f>IF(O26="Pendente: cortes/dados","Pendente",SUMIF('Armaduras base'!$A$7:$A$158,A26,'Armaduras base'!$I$7:$I$158))</x:f>
        <x:v>276.2485</x:v>
      </x:c>
      <x:c r="O26" s="2" t="str">
        <x:f>IF(COUNTIFS('Armaduras base'!$A$7:$A$158,A26,'Armaduras base'!$J$7:$J$158,"Pendente")&gt;0,"Pendente: cortes/dados","Base sem acertos locais")</x:f>
        <x:v>Base sem acertos locais</x:v>
      </x:c>
      <x:c r="P26" s="2" t="str">
        <x:v>SAPATAS!A5:AC5</x:v>
      </x:c>
      <x:c r="Q26" s="9" t="str">
        <x:v>Geometria da planilha; confirmar desenho. Cofragem considera 4 laterais. Cortes retos sem ganchos; validar.</x:v>
      </x:c>
      <x:c r="R26" s="2" t="str">
        <x:v>Conferir em projeto</x:v>
      </x:c>
    </x:row>
    <x:row r="27" ht="48" customHeight="1">
      <x:c r="A27" s="2" t="str">
        <x:v>S2</x:v>
      </x:c>
      <x:c r="B27" s="2" t="str">
        <x:v>Sapata isolada</x:v>
      </x:c>
      <x:c r="C27" s="2" t="str">
        <x:v>Fundações</x:v>
      </x:c>
      <x:c r="D27" s="2" t="str">
        <x:v>un</x:v>
      </x:c>
      <x:c r="E27" s="2" t="str">
        <x:v>Sapata</x:v>
      </x:c>
      <x:c r="F27" s="11" t="n">
        <x:v>5</x:v>
      </x:c>
      <x:c r="G27" s="11" t="n">
        <x:v>0.6</x:v>
      </x:c>
      <x:c r="H27" s="11" t="n">
        <x:v>2.9</x:v>
      </x:c>
      <x:c r="I27" s="11" t="n">
        <x:v>0.05</x:v>
      </x:c>
      <x:c r="J27" s="11"/>
      <x:c r="K27" s="12" t="n">
        <x:f>F27*G27*H27</x:f>
        <x:v>8.7</x:v>
      </x:c>
      <x:c r="L27" s="12" t="n">
        <x:f>2*(F27+H27)*G27</x:f>
        <x:v>9.48</x:v>
      </x:c>
      <x:c r="M27" s="12" t="n">
        <x:f>F27*H27*0.05</x:f>
        <x:v>0.7250000000000001</x:v>
      </x:c>
      <x:c r="N27" s="12" t="n">
        <x:f>IF(O27="Pendente: cortes/dados","Pendente",SUMIF('Armaduras base'!$A$7:$A$158,A27,'Armaduras base'!$I$7:$I$158))</x:f>
        <x:v>500.7632</x:v>
      </x:c>
      <x:c r="O27" s="2" t="str">
        <x:f>IF(COUNTIFS('Armaduras base'!$A$7:$A$158,A27,'Armaduras base'!$J$7:$J$158,"Pendente")&gt;0,"Pendente: cortes/dados","Base sem acertos locais")</x:f>
        <x:v>Base sem acertos locais</x:v>
      </x:c>
      <x:c r="P27" s="2" t="str">
        <x:v>SAPATAS!A6:AC6</x:v>
      </x:c>
      <x:c r="Q27" s="9" t="str">
        <x:v>Geometria da planilha; confirmar desenho. Cofragem considera 4 laterais. Cortes retos sem ganchos; validar.</x:v>
      </x:c>
      <x:c r="R27" s="2" t="str">
        <x:v>Conferir em projeto</x:v>
      </x:c>
    </x:row>
    <x:row r="28" ht="48" customHeight="1">
      <x:c r="A28" s="2" t="str">
        <x:v>S3</x:v>
      </x:c>
      <x:c r="B28" s="2" t="str">
        <x:v>Sapata isolada</x:v>
      </x:c>
      <x:c r="C28" s="2" t="str">
        <x:v>Fundações</x:v>
      </x:c>
      <x:c r="D28" s="2" t="str">
        <x:v>un</x:v>
      </x:c>
      <x:c r="E28" s="2" t="str">
        <x:v>Sapata</x:v>
      </x:c>
      <x:c r="F28" s="11" t="n">
        <x:v>1.5</x:v>
      </x:c>
      <x:c r="G28" s="11" t="n">
        <x:v>0.4</x:v>
      </x:c>
      <x:c r="H28" s="11" t="n">
        <x:v>1.8</x:v>
      </x:c>
      <x:c r="I28" s="11" t="n">
        <x:v>0.05</x:v>
      </x:c>
      <x:c r="J28" s="11"/>
      <x:c r="K28" s="12" t="n">
        <x:f>F28*G28*H28</x:f>
        <x:v>1.0800000000000003</x:v>
      </x:c>
      <x:c r="L28" s="12" t="n">
        <x:f>2*(F28+H28)*G28</x:f>
        <x:v>2.64</x:v>
      </x:c>
      <x:c r="M28" s="12" t="n">
        <x:f>F28*H28*0.05</x:f>
        <x:v>0.135</x:v>
      </x:c>
      <x:c r="N28" s="12" t="n">
        <x:f>IF(O28="Pendente: cortes/dados","Pendente",SUMIF('Armaduras base'!$A$7:$A$158,A28,'Armaduras base'!$I$7:$I$158))</x:f>
        <x:v>95.8934</x:v>
      </x:c>
      <x:c r="O28" s="2" t="str">
        <x:f>IF(COUNTIFS('Armaduras base'!$A$7:$A$158,A28,'Armaduras base'!$J$7:$J$158,"Pendente")&gt;0,"Pendente: cortes/dados","Base sem acertos locais")</x:f>
        <x:v>Base sem acertos locais</x:v>
      </x:c>
      <x:c r="P28" s="2" t="str">
        <x:v>SAPATAS!A7:AC7</x:v>
      </x:c>
      <x:c r="Q28" s="9" t="str">
        <x:v>Geometria da planilha; confirmar desenho. Cofragem considera 4 laterais. Cortes retos sem ganchos; validar.</x:v>
      </x:c>
      <x:c r="R28" s="2" t="str">
        <x:v>Conferir em projeto</x:v>
      </x:c>
    </x:row>
    <x:row r="29" ht="48" customHeight="1">
      <x:c r="A29" s="2" t="str">
        <x:v>S4</x:v>
      </x:c>
      <x:c r="B29" s="2" t="str">
        <x:v>Sapata isolada</x:v>
      </x:c>
      <x:c r="C29" s="2" t="str">
        <x:v>Fundações</x:v>
      </x:c>
      <x:c r="D29" s="2" t="str">
        <x:v>un</x:v>
      </x:c>
      <x:c r="E29" s="2" t="str">
        <x:v>Sapata</x:v>
      </x:c>
      <x:c r="F29" s="11" t="n">
        <x:v>1.6</x:v>
      </x:c>
      <x:c r="G29" s="11" t="n">
        <x:v>0.4</x:v>
      </x:c>
      <x:c r="H29" s="11" t="n">
        <x:v>1.4</x:v>
      </x:c>
      <x:c r="I29" s="11" t="n">
        <x:v>0.05</x:v>
      </x:c>
      <x:c r="J29" s="11"/>
      <x:c r="K29" s="12" t="n">
        <x:f>F29*G29*H29</x:f>
        <x:v>0.8960000000000001</x:v>
      </x:c>
      <x:c r="L29" s="12" t="n">
        <x:f>2*(F29+H29)*G29</x:f>
        <x:v>2.4000000000000004</x:v>
      </x:c>
      <x:c r="M29" s="12" t="n">
        <x:f>F29*H29*0.05</x:f>
        <x:v>0.11199999999999999</x:v>
      </x:c>
      <x:c r="N29" s="12" t="n">
        <x:f>IF(O29="Pendente: cortes/dados","Pendente",SUMIF('Armaduras base'!$A$7:$A$158,A29,'Armaduras base'!$I$7:$I$158))</x:f>
        <x:v>48.52049999999999</x:v>
      </x:c>
      <x:c r="O29" s="2" t="str">
        <x:f>IF(COUNTIFS('Armaduras base'!$A$7:$A$158,A29,'Armaduras base'!$J$7:$J$158,"Pendente")&gt;0,"Pendente: cortes/dados","Base sem acertos locais")</x:f>
        <x:v>Base sem acertos locais</x:v>
      </x:c>
      <x:c r="P29" s="2" t="str">
        <x:v>SAPATAS!A8:AC8</x:v>
      </x:c>
      <x:c r="Q29" s="9" t="str">
        <x:v>Geometria da planilha; confirmar desenho. Cofragem considera 4 laterais. Cortes retos sem ganchos; validar.</x:v>
      </x:c>
      <x:c r="R29" s="2" t="str">
        <x:v>Conferir em projeto</x:v>
      </x:c>
    </x:row>
    <x:row r="30" ht="48" customHeight="1">
      <x:c r="A30" s="2" t="str">
        <x:v>S5</x:v>
      </x:c>
      <x:c r="B30" s="2" t="str">
        <x:v>Sapata isolada</x:v>
      </x:c>
      <x:c r="C30" s="2" t="str">
        <x:v>Fundações</x:v>
      </x:c>
      <x:c r="D30" s="2" t="str">
        <x:v>un</x:v>
      </x:c>
      <x:c r="E30" s="2" t="str">
        <x:v>Sapata</x:v>
      </x:c>
      <x:c r="F30" s="11" t="n">
        <x:v>1</x:v>
      </x:c>
      <x:c r="G30" s="11" t="n">
        <x:v>0.4</x:v>
      </x:c>
      <x:c r="H30" s="11" t="n">
        <x:v>1</x:v>
      </x:c>
      <x:c r="I30" s="11" t="n">
        <x:v>0.05</x:v>
      </x:c>
      <x:c r="J30" s="11"/>
      <x:c r="K30" s="12" t="n">
        <x:f>F30*G30*H30</x:f>
        <x:v>0.4</x:v>
      </x:c>
      <x:c r="L30" s="12" t="n">
        <x:f>2*(F30+H30)*G30</x:f>
        <x:v>1.6</x:v>
      </x:c>
      <x:c r="M30" s="12" t="n">
        <x:f>F30*H30*0.05</x:f>
        <x:v>0.05</x:v>
      </x:c>
      <x:c r="N30" s="12" t="n">
        <x:f>IF(O30="Pendente: cortes/dados","Pendente",SUMIF('Armaduras base'!$A$7:$A$158,A30,'Armaduras base'!$I$7:$I$158))</x:f>
        <x:v>18.3924</x:v>
      </x:c>
      <x:c r="O30" s="2" t="str">
        <x:f>IF(COUNTIFS('Armaduras base'!$A$7:$A$158,A30,'Armaduras base'!$J$7:$J$158,"Pendente")&gt;0,"Pendente: cortes/dados","Base sem acertos locais")</x:f>
        <x:v>Base sem acertos locais</x:v>
      </x:c>
      <x:c r="P30" s="2" t="str">
        <x:v>SAPATAS!A9:AC9</x:v>
      </x:c>
      <x:c r="Q30" s="9" t="str">
        <x:v>Geometria da planilha; confirmar desenho. Cofragem considera 4 laterais. Cortes retos sem ganchos; validar.</x:v>
      </x:c>
      <x:c r="R30" s="2" t="str">
        <x:v>Conferir em projeto</x:v>
      </x:c>
    </x:row>
    <x:row r="31" ht="48" customHeight="1">
      <x:c r="A31" s="2" t="str">
        <x:v>S6</x:v>
      </x:c>
      <x:c r="B31" s="2" t="str">
        <x:v>Sapata isolada</x:v>
      </x:c>
      <x:c r="C31" s="2" t="str">
        <x:v>Fundações</x:v>
      </x:c>
      <x:c r="D31" s="2" t="str">
        <x:v>un</x:v>
      </x:c>
      <x:c r="E31" s="2" t="str">
        <x:v>Sapata</x:v>
      </x:c>
      <x:c r="F31" s="11" t="n">
        <x:v>1</x:v>
      </x:c>
      <x:c r="G31" s="11" t="n">
        <x:v>0.4</x:v>
      </x:c>
      <x:c r="H31" s="11" t="n">
        <x:v>2.08</x:v>
      </x:c>
      <x:c r="I31" s="11" t="n">
        <x:v>0.05</x:v>
      </x:c>
      <x:c r="J31" s="11"/>
      <x:c r="K31" s="12" t="n">
        <x:f>F31*G31*H31</x:f>
        <x:v>0.8320000000000001</x:v>
      </x:c>
      <x:c r="L31" s="12" t="n">
        <x:f>2*(F31+H31)*G31</x:f>
        <x:v>2.4640000000000004</x:v>
      </x:c>
      <x:c r="M31" s="12" t="n">
        <x:f>F31*H31*0.05</x:f>
        <x:v>0.10400000000000001</x:v>
      </x:c>
      <x:c r="N31" s="12" t="n">
        <x:f>IF(O31="Pendente: cortes/dados","Pendente",SUMIF('Armaduras base'!$A$7:$A$158,A31,'Armaduras base'!$I$7:$I$158))</x:f>
        <x:v>38.31264</x:v>
      </x:c>
      <x:c r="O31" s="2" t="str">
        <x:f>IF(COUNTIFS('Armaduras base'!$A$7:$A$158,A31,'Armaduras base'!$J$7:$J$158,"Pendente")&gt;0,"Pendente: cortes/dados","Base sem acertos locais")</x:f>
        <x:v>Base sem acertos locais</x:v>
      </x:c>
      <x:c r="P31" s="2" t="str">
        <x:v>SAPATAS!A10:AC10</x:v>
      </x:c>
      <x:c r="Q31" s="9" t="str">
        <x:v>Geometria da planilha; confirmar desenho. Cofragem considera 4 laterais. Cortes retos sem ganchos; validar.</x:v>
      </x:c>
      <x:c r="R31" s="2" t="str">
        <x:v>Conferir em projeto</x:v>
      </x:c>
    </x:row>
    <x:row r="32" ht="48" customHeight="1">
      <x:c r="A32" s="2" t="str">
        <x:v>S7</x:v>
      </x:c>
      <x:c r="B32" s="2" t="str">
        <x:v>Sapata isolada</x:v>
      </x:c>
      <x:c r="C32" s="2" t="str">
        <x:v>Fundações</x:v>
      </x:c>
      <x:c r="D32" s="2" t="str">
        <x:v>un</x:v>
      </x:c>
      <x:c r="E32" s="2" t="str">
        <x:v>Sapata</x:v>
      </x:c>
      <x:c r="F32" s="11" t="n">
        <x:v>2.48</x:v>
      </x:c>
      <x:c r="G32" s="11" t="n">
        <x:v>0.4</x:v>
      </x:c>
      <x:c r="H32" s="11" t="n">
        <x:v>1</x:v>
      </x:c>
      <x:c r="I32" s="11" t="n">
        <x:v>0.05</x:v>
      </x:c>
      <x:c r="J32" s="11"/>
      <x:c r="K32" s="12" t="n">
        <x:f>F32*G32*H32</x:f>
        <x:v>0.992</x:v>
      </x:c>
      <x:c r="L32" s="12" t="n">
        <x:f>2*(F32+H32)*G32</x:f>
        <x:v>2.7840000000000003</x:v>
      </x:c>
      <x:c r="M32" s="12" t="n">
        <x:f>F32*H32*0.05</x:f>
        <x:v>0.124</x:v>
      </x:c>
      <x:c r="N32" s="12" t="n">
        <x:f>IF(O32="Pendente: cortes/dados","Pendente",SUMIF('Armaduras base'!$A$7:$A$158,A32,'Armaduras base'!$I$7:$I$158))</x:f>
        <x:v>44.62104000000001</x:v>
      </x:c>
      <x:c r="O32" s="2" t="str">
        <x:f>IF(COUNTIFS('Armaduras base'!$A$7:$A$158,A32,'Armaduras base'!$J$7:$J$158,"Pendente")&gt;0,"Pendente: cortes/dados","Base sem acertos locais")</x:f>
        <x:v>Base sem acertos locais</x:v>
      </x:c>
      <x:c r="P32" s="2" t="str">
        <x:v>SAPATAS!A11:AC11</x:v>
      </x:c>
      <x:c r="Q32" s="9" t="str">
        <x:v>Geometria da planilha; confirmar desenho. Cofragem considera 4 laterais. Cortes retos sem ganchos; validar.</x:v>
      </x:c>
      <x:c r="R32" s="2" t="str">
        <x:v>Conferir em projeto</x:v>
      </x:c>
    </x:row>
    <x:row r="33" ht="48" customHeight="1">
      <x:c r="A33" s="2" t="str">
        <x:v>SAP-Pb1</x:v>
      </x:c>
      <x:c r="B33" s="2" t="str">
        <x:v>Sapata contínua</x:v>
      </x:c>
      <x:c r="C33" s="2" t="str">
        <x:v>Fundações</x:v>
      </x:c>
      <x:c r="D33" s="2" t="str">
        <x:v>m comprimento</x:v>
      </x:c>
      <x:c r="E33" s="2" t="str">
        <x:v>Sapata contínua</x:v>
      </x:c>
      <x:c r="F33" s="11" t="n">
        <x:v>0.8</x:v>
      </x:c>
      <x:c r="G33" s="11" t="n">
        <x:v>0.4</x:v>
      </x:c>
      <x:c r="H33" s="11" t="n">
        <x:v>1</x:v>
      </x:c>
      <x:c r="I33" s="11" t="n">
        <x:v>0.05</x:v>
      </x:c>
      <x:c r="J33" s="11"/>
      <x:c r="K33" s="12" t="n">
        <x:f>F33*G33</x:f>
        <x:v>0.32000000000000006</x:v>
      </x:c>
      <x:c r="L33" s="12" t="n">
        <x:f>2*G33</x:f>
        <x:v>0.8</x:v>
      </x:c>
      <x:c r="M33" s="12" t="n">
        <x:f>F33*0.05</x:f>
        <x:v>0.04000000000000001</x:v>
      </x:c>
      <x:c r="N33" s="12" t="n">
        <x:f>IF(O33="Pendente: cortes/dados","Pendente",SUMIF('Armaduras base'!$A$7:$A$158,A33,'Armaduras base'!$I$7:$I$158))</x:f>
        <x:v>14.499500000000001</x:v>
      </x:c>
      <x:c r="O33" s="2" t="str">
        <x:f>IF(COUNTIFS('Armaduras base'!$A$7:$A$158,A33,'Armaduras base'!$J$7:$J$158,"Pendente")&gt;0,"Pendente: cortes/dados","Base sem acertos locais")</x:f>
        <x:v>Base sem acertos locais</x:v>
      </x:c>
      <x:c r="P33" s="2" t="str">
        <x:v>SAPATAS!A12:AC12</x:v>
      </x:c>
      <x:c r="Q33" s="9" t="str">
        <x:v>ALTERNATIVA a Pb.1-SAP de MUROS: não medir ambas; armaduras divergentes.</x:v>
      </x:c>
      <x:c r="R33" s="2" t="str">
        <x:v>Não usar duplicado</x:v>
      </x:c>
    </x:row>
    <x:row r="34" ht="48" customHeight="1">
      <x:c r="A34" s="2" t="str">
        <x:v>MS.1-MURO</x:v>
      </x:c>
      <x:c r="B34" s="2" t="str">
        <x:v>Muro</x:v>
      </x:c>
      <x:c r="C34" s="2" t="str">
        <x:v>Ver planta</x:v>
      </x:c>
      <x:c r="D34" s="2" t="str">
        <x:v>m comprimento</x:v>
      </x:c>
      <x:c r="E34" s="2" t="str">
        <x:v>Muro</x:v>
      </x:c>
      <x:c r="F34" s="11" t="n">
        <x:v>0.2</x:v>
      </x:c>
      <x:c r="G34" s="11" t="n">
        <x:v>3.15</x:v>
      </x:c>
      <x:c r="H34" s="11" t="n">
        <x:v>1</x:v>
      </x:c>
      <x:c r="I34" s="11" t="n">
        <x:v>0.03</x:v>
      </x:c>
      <x:c r="J34" s="11"/>
      <x:c r="K34" s="12" t="n">
        <x:f>F34*G34</x:f>
        <x:v>0.63</x:v>
      </x:c>
      <x:c r="L34" s="12" t="n">
        <x:f>2*G34</x:f>
        <x:v>6.3</x:v>
      </x:c>
      <x:c r="M34" s="12" t="n">
        <x:f>0</x:f>
        <x:v>0</x:v>
      </x:c>
      <x:c r="N34" s="12" t="n">
        <x:f>IF(O34="Pendente: cortes/dados","Pendente",SUMIF('Armaduras base'!$A$7:$A$158,A34,'Armaduras base'!$I$7:$I$158))</x:f>
        <x:v>53.062</x:v>
      </x:c>
      <x:c r="O34" s="2" t="str">
        <x:f>IF(COUNTIFS('Armaduras base'!$A$7:$A$158,A34,'Armaduras base'!$J$7:$J$158,"Pendente")&gt;0,"Pendente: cortes/dados","Base sem acertos locais")</x:f>
        <x:v>Base sem acertos locais</x:v>
      </x:c>
      <x:c r="P34" s="2" t="str">
        <x:v>MUROS!A6:AB6</x:v>
      </x:c>
      <x:c r="Q34" s="9" t="str">
        <x:v>Altura fixa da fonte. Por 1 m em planta; 2 faces cofradas. Recobrimento 3 cm das notas gerais, confirmar. </x:v>
      </x:c>
      <x:c r="R34" s="2" t="str">
        <x:v>Conferir em projeto</x:v>
      </x:c>
    </x:row>
    <x:row r="35" ht="48" customHeight="1">
      <x:c r="A35" s="2" t="str">
        <x:v>MS.1-SAP</x:v>
      </x:c>
      <x:c r="B35" s="2" t="str">
        <x:v>Sapata de muro</x:v>
      </x:c>
      <x:c r="C35" s="2" t="str">
        <x:v>Fundações</x:v>
      </x:c>
      <x:c r="D35" s="2" t="str">
        <x:v>m comprimento</x:v>
      </x:c>
      <x:c r="E35" s="2" t="str">
        <x:v>Sapata contínua</x:v>
      </x:c>
      <x:c r="F35" s="11" t="n">
        <x:v>0.8</x:v>
      </x:c>
      <x:c r="G35" s="11" t="n">
        <x:v>0.4</x:v>
      </x:c>
      <x:c r="H35" s="11" t="n">
        <x:v>1</x:v>
      </x:c>
      <x:c r="I35" s="11" t="n">
        <x:v>0.05</x:v>
      </x:c>
      <x:c r="J35" s="11"/>
      <x:c r="K35" s="12" t="n">
        <x:f>F35*G35</x:f>
        <x:v>0.32000000000000006</x:v>
      </x:c>
      <x:c r="L35" s="12" t="n">
        <x:f>2*G35</x:f>
        <x:v>0.8</x:v>
      </x:c>
      <x:c r="M35" s="12" t="n">
        <x:f>F35*0.05</x:f>
        <x:v>0.04000000000000001</x:v>
      </x:c>
      <x:c r="N35" s="12" t="str">
        <x:f>IF(O35="Pendente: cortes/dados","Pendente",SUMIF('Armaduras base'!$A$7:$A$158,A35,'Armaduras base'!$I$7:$I$158))</x:f>
        <x:v>Pendente</x:v>
      </x:c>
      <x:c r="O35" s="2" t="str">
        <x:f>IF(COUNTIFS('Armaduras base'!$A$7:$A$158,A35,'Armaduras base'!$J$7:$J$158,"Pendente")&gt;0,"Pendente: cortes/dados","Base sem acertos locais")</x:f>
        <x:v>Pendente: cortes/dados</x:v>
      </x:c>
      <x:c r="P35" s="2" t="str">
        <x:v>MUROS!A6:AB6</x:v>
      </x:c>
      <x:c r="Q35" s="9" t="str">
        <x:v>Separada do paramento. Cofragem: duas laterais longitudinais; topos à parte. </x:v>
      </x:c>
      <x:c r="R35" s="2" t="str">
        <x:v>Conferir em projeto</x:v>
      </x:c>
    </x:row>
    <x:row r="36" ht="48" customHeight="1">
      <x:c r="A36" s="2" t="str">
        <x:v>MS.2-MURO</x:v>
      </x:c>
      <x:c r="B36" s="2" t="str">
        <x:v>Muro</x:v>
      </x:c>
      <x:c r="C36" s="2" t="str">
        <x:v>Ver planta</x:v>
      </x:c>
      <x:c r="D36" s="2" t="str">
        <x:v>m comprimento</x:v>
      </x:c>
      <x:c r="E36" s="2" t="str">
        <x:v>Muro</x:v>
      </x:c>
      <x:c r="F36" s="11" t="n">
        <x:v>0.2</x:v>
      </x:c>
      <x:c r="G36" s="11" t="n">
        <x:v>0.7</x:v>
      </x:c>
      <x:c r="H36" s="11" t="n">
        <x:v>1</x:v>
      </x:c>
      <x:c r="I36" s="11" t="n">
        <x:v>0.03</x:v>
      </x:c>
      <x:c r="J36" s="11"/>
      <x:c r="K36" s="12" t="n">
        <x:f>F36*G36</x:f>
        <x:v>0.13999999999999999</x:v>
      </x:c>
      <x:c r="L36" s="12" t="n">
        <x:f>2*G36</x:f>
        <x:v>1.4</x:v>
      </x:c>
      <x:c r="M36" s="12" t="n">
        <x:f>0</x:f>
        <x:v>0</x:v>
      </x:c>
      <x:c r="N36" s="12" t="n">
        <x:f>IF(O36="Pendente: cortes/dados","Pendente",SUMIF('Armaduras base'!$A$7:$A$158,A36,'Armaduras base'!$I$7:$I$158))</x:f>
        <x:v>13.162666666666667</x:v>
      </x:c>
      <x:c r="O36" s="2" t="str">
        <x:f>IF(COUNTIFS('Armaduras base'!$A$7:$A$158,A36,'Armaduras base'!$J$7:$J$158,"Pendente")&gt;0,"Pendente: cortes/dados","Base sem acertos locais")</x:f>
        <x:v>Base sem acertos locais</x:v>
      </x:c>
      <x:c r="P36" s="2" t="str">
        <x:v>MUROS!A7:AB7</x:v>
      </x:c>
      <x:c r="Q36" s="9" t="str">
        <x:v>Altura fixa da fonte. Por 1 m em planta; 2 faces cofradas. Recobrimento 3 cm das notas gerais, confirmar. </x:v>
      </x:c>
      <x:c r="R36" s="2" t="str">
        <x:v>Conferir em projeto</x:v>
      </x:c>
    </x:row>
    <x:row r="37" ht="48" customHeight="1">
      <x:c r="A37" s="2" t="str">
        <x:v>MS.2-SAP</x:v>
      </x:c>
      <x:c r="B37" s="2" t="str">
        <x:v>Sapata de muro</x:v>
      </x:c>
      <x:c r="C37" s="2" t="str">
        <x:v>Fundações</x:v>
      </x:c>
      <x:c r="D37" s="2" t="str">
        <x:v>m comprimento</x:v>
      </x:c>
      <x:c r="E37" s="2" t="str">
        <x:v>Sapata contínua</x:v>
      </x:c>
      <x:c r="F37" s="11" t="n">
        <x:v>2.65</x:v>
      </x:c>
      <x:c r="G37" s="11" t="n">
        <x:v>0.4</x:v>
      </x:c>
      <x:c r="H37" s="11" t="n">
        <x:v>1</x:v>
      </x:c>
      <x:c r="I37" s="11" t="n">
        <x:v>0.05</x:v>
      </x:c>
      <x:c r="J37" s="11"/>
      <x:c r="K37" s="12" t="n">
        <x:f>F37*G37</x:f>
        <x:v>1.06</x:v>
      </x:c>
      <x:c r="L37" s="12" t="n">
        <x:f>2*G37</x:f>
        <x:v>0.8</x:v>
      </x:c>
      <x:c r="M37" s="12" t="n">
        <x:f>F37*0.05</x:f>
        <x:v>0.1325</x:v>
      </x:c>
      <x:c r="N37" s="12" t="n">
        <x:f>IF(O37="Pendente: cortes/dados","Pendente",SUMIF('Armaduras base'!$A$7:$A$158,A37,'Armaduras base'!$I$7:$I$158))</x:f>
        <x:v>43.190000000000005</x:v>
      </x:c>
      <x:c r="O37" s="2" t="str">
        <x:f>IF(COUNTIFS('Armaduras base'!$A$7:$A$158,A37,'Armaduras base'!$J$7:$J$158,"Pendente")&gt;0,"Pendente: cortes/dados","Base sem acertos locais")</x:f>
        <x:v>Base sem acertos locais</x:v>
      </x:c>
      <x:c r="P37" s="2" t="str">
        <x:v>MUROS!A7:AB7</x:v>
      </x:c>
      <x:c r="Q37" s="9" t="str">
        <x:v>Separada do paramento. Cofragem: duas laterais longitudinais; topos à parte. </x:v>
      </x:c>
      <x:c r="R37" s="2" t="str">
        <x:v>Conferir em projeto</x:v>
      </x:c>
    </x:row>
    <x:row r="38" ht="48" customHeight="1">
      <x:c r="A38" s="2" t="str">
        <x:v>MS.3-MURO</x:v>
      </x:c>
      <x:c r="B38" s="2" t="str">
        <x:v>Muro</x:v>
      </x:c>
      <x:c r="C38" s="2" t="str">
        <x:v>Ver planta</x:v>
      </x:c>
      <x:c r="D38" s="2" t="str">
        <x:v>m comprimento</x:v>
      </x:c>
      <x:c r="E38" s="2" t="str">
        <x:v>Muro</x:v>
      </x:c>
      <x:c r="F38" s="11" t="n">
        <x:v>0.2</x:v>
      </x:c>
      <x:c r="G38" s="11" t="n">
        <x:v>0.7</x:v>
      </x:c>
      <x:c r="H38" s="11" t="n">
        <x:v>1</x:v>
      </x:c>
      <x:c r="I38" s="11" t="n">
        <x:v>0.03</x:v>
      </x:c>
      <x:c r="J38" s="11"/>
      <x:c r="K38" s="12" t="n">
        <x:f>F38*G38</x:f>
        <x:v>0.13999999999999999</x:v>
      </x:c>
      <x:c r="L38" s="12" t="n">
        <x:f>2*G38</x:f>
        <x:v>1.4</x:v>
      </x:c>
      <x:c r="M38" s="12" t="n">
        <x:f>0</x:f>
        <x:v>0</x:v>
      </x:c>
      <x:c r="N38" s="12" t="n">
        <x:f>IF(O38="Pendente: cortes/dados","Pendente",SUMIF('Armaduras base'!$A$7:$A$158,A38,'Armaduras base'!$I$7:$I$158))</x:f>
        <x:v>13.162666666666667</x:v>
      </x:c>
      <x:c r="O38" s="2" t="str">
        <x:f>IF(COUNTIFS('Armaduras base'!$A$7:$A$158,A38,'Armaduras base'!$J$7:$J$158,"Pendente")&gt;0,"Pendente: cortes/dados","Base sem acertos locais")</x:f>
        <x:v>Base sem acertos locais</x:v>
      </x:c>
      <x:c r="P38" s="2" t="str">
        <x:v>MUROS!A8:AB8</x:v>
      </x:c>
      <x:c r="Q38" s="9" t="str">
        <x:v>Altura fixa da fonte. Por 1 m em planta; 2 faces cofradas. Recobrimento 3 cm das notas gerais, confirmar. </x:v>
      </x:c>
      <x:c r="R38" s="2" t="str">
        <x:v>Conferir em projeto</x:v>
      </x:c>
    </x:row>
    <x:row r="39" ht="48" customHeight="1">
      <x:c r="A39" s="2" t="str">
        <x:v>MS.3-SAP</x:v>
      </x:c>
      <x:c r="B39" s="2" t="str">
        <x:v>Sapata de muro</x:v>
      </x:c>
      <x:c r="C39" s="2" t="str">
        <x:v>Fundações</x:v>
      </x:c>
      <x:c r="D39" s="2" t="str">
        <x:v>m comprimento</x:v>
      </x:c>
      <x:c r="E39" s="2" t="str">
        <x:v>Sapata contínua</x:v>
      </x:c>
      <x:c r="F39" s="11" t="n">
        <x:v>1.85</x:v>
      </x:c>
      <x:c r="G39" s="11" t="n">
        <x:v>0.4</x:v>
      </x:c>
      <x:c r="H39" s="11" t="n">
        <x:v>1</x:v>
      </x:c>
      <x:c r="I39" s="11" t="n">
        <x:v>0.05</x:v>
      </x:c>
      <x:c r="J39" s="11"/>
      <x:c r="K39" s="12" t="n">
        <x:f>F39*G39</x:f>
        <x:v>0.7400000000000001</x:v>
      </x:c>
      <x:c r="L39" s="12" t="n">
        <x:f>2*G39</x:f>
        <x:v>0.8</x:v>
      </x:c>
      <x:c r="M39" s="12" t="n">
        <x:f>F39*0.05</x:f>
        <x:v>0.09250000000000001</x:v>
      </x:c>
      <x:c r="N39" s="12" t="n">
        <x:f>IF(O39="Pendente: cortes/dados","Pendente",SUMIF('Armaduras base'!$A$7:$A$158,A39,'Armaduras base'!$I$7:$I$158))</x:f>
        <x:v>30.43866666666667</x:v>
      </x:c>
      <x:c r="O39" s="2" t="str">
        <x:f>IF(COUNTIFS('Armaduras base'!$A$7:$A$158,A39,'Armaduras base'!$J$7:$J$158,"Pendente")&gt;0,"Pendente: cortes/dados","Base sem acertos locais")</x:f>
        <x:v>Base sem acertos locais</x:v>
      </x:c>
      <x:c r="P39" s="2" t="str">
        <x:v>MUROS!A8:AB8</x:v>
      </x:c>
      <x:c r="Q39" s="9" t="str">
        <x:v>Separada do paramento. Cofragem: duas laterais longitudinais; topos à parte. </x:v>
      </x:c>
      <x:c r="R39" s="2" t="str">
        <x:v>Conferir em projeto</x:v>
      </x:c>
    </x:row>
    <x:row r="40" ht="48" customHeight="1">
      <x:c r="A40" s="2" t="str">
        <x:v>MS.4-MURO</x:v>
      </x:c>
      <x:c r="B40" s="2" t="str">
        <x:v>Muro</x:v>
      </x:c>
      <x:c r="C40" s="2" t="str">
        <x:v>Ver planta</x:v>
      </x:c>
      <x:c r="D40" s="2" t="str">
        <x:v>m comprimento</x:v>
      </x:c>
      <x:c r="E40" s="2" t="str">
        <x:v>Muro</x:v>
      </x:c>
      <x:c r="F40" s="11" t="n">
        <x:v>0.2</x:v>
      </x:c>
      <x:c r="G40" s="11" t="n">
        <x:v>0.9</x:v>
      </x:c>
      <x:c r="H40" s="11" t="n">
        <x:v>1</x:v>
      </x:c>
      <x:c r="I40" s="11" t="n">
        <x:v>0.03</x:v>
      </x:c>
      <x:c r="J40" s="11"/>
      <x:c r="K40" s="12" t="n">
        <x:f>F40*G40</x:f>
        <x:v>0.18000000000000002</x:v>
      </x:c>
      <x:c r="L40" s="12" t="n">
        <x:f>2*G40</x:f>
        <x:v>1.8</x:v>
      </x:c>
      <x:c r="M40" s="12" t="n">
        <x:f>0</x:f>
        <x:v>0</x:v>
      </x:c>
      <x:c r="N40" s="12" t="n">
        <x:f>IF(O40="Pendente: cortes/dados","Pendente",SUMIF('Armaduras base'!$A$7:$A$158,A40,'Armaduras base'!$I$7:$I$158))</x:f>
        <x:v>16.042</x:v>
      </x:c>
      <x:c r="O40" s="2" t="str">
        <x:f>IF(COUNTIFS('Armaduras base'!$A$7:$A$158,A40,'Armaduras base'!$J$7:$J$158,"Pendente")&gt;0,"Pendente: cortes/dados","Base sem acertos locais")</x:f>
        <x:v>Base sem acertos locais</x:v>
      </x:c>
      <x:c r="P40" s="2" t="str">
        <x:v>MUROS!A9:AB9</x:v>
      </x:c>
      <x:c r="Q40" s="9" t="str">
        <x:v>Altura fixa da fonte. Por 1 m em planta; 2 faces cofradas. Recobrimento 3 cm das notas gerais, confirmar. </x:v>
      </x:c>
      <x:c r="R40" s="2" t="str">
        <x:v>Conferir em projeto</x:v>
      </x:c>
    </x:row>
    <x:row r="41" ht="48" customHeight="1">
      <x:c r="A41" s="2" t="str">
        <x:v>MS.4-SAP</x:v>
      </x:c>
      <x:c r="B41" s="2" t="str">
        <x:v>Sapata de muro</x:v>
      </x:c>
      <x:c r="C41" s="2" t="str">
        <x:v>Fundações</x:v>
      </x:c>
      <x:c r="D41" s="2" t="str">
        <x:v>m comprimento</x:v>
      </x:c>
      <x:c r="E41" s="2" t="str">
        <x:v>Sapata contínua</x:v>
      </x:c>
      <x:c r="F41" s="11" t="n">
        <x:v>2.35</x:v>
      </x:c>
      <x:c r="G41" s="11" t="n">
        <x:v>0.5</x:v>
      </x:c>
      <x:c r="H41" s="11" t="n">
        <x:v>1</x:v>
      </x:c>
      <x:c r="I41" s="11" t="n">
        <x:v>0.05</x:v>
      </x:c>
      <x:c r="J41" s="11"/>
      <x:c r="K41" s="12" t="n">
        <x:f>F41*G41</x:f>
        <x:v>1.175</x:v>
      </x:c>
      <x:c r="L41" s="12" t="n">
        <x:f>2*G41</x:f>
        <x:v>1</x:v>
      </x:c>
      <x:c r="M41" s="12" t="n">
        <x:f>F41*0.05</x:f>
        <x:v>0.11750000000000001</x:v>
      </x:c>
      <x:c r="N41" s="12" t="n">
        <x:f>IF(O41="Pendente: cortes/dados","Pendente",SUMIF('Armaduras base'!$A$7:$A$158,A41,'Armaduras base'!$I$7:$I$158))</x:f>
        <x:v>38.254</x:v>
      </x:c>
      <x:c r="O41" s="2" t="str">
        <x:f>IF(COUNTIFS('Armaduras base'!$A$7:$A$158,A41,'Armaduras base'!$J$7:$J$158,"Pendente")&gt;0,"Pendente: cortes/dados","Base sem acertos locais")</x:f>
        <x:v>Base sem acertos locais</x:v>
      </x:c>
      <x:c r="P41" s="2" t="str">
        <x:v>MUROS!A9:AB9</x:v>
      </x:c>
      <x:c r="Q41" s="9" t="str">
        <x:v>Separada do paramento. Cofragem: duas laterais longitudinais; topos à parte. </x:v>
      </x:c>
      <x:c r="R41" s="2" t="str">
        <x:v>Conferir em projeto</x:v>
      </x:c>
    </x:row>
    <x:row r="42" ht="48" customHeight="1">
      <x:c r="A42" s="2" t="str">
        <x:v>Pb.1-MURO</x:v>
      </x:c>
      <x:c r="B42" s="2" t="str">
        <x:v>Muro</x:v>
      </x:c>
      <x:c r="C42" s="2" t="str">
        <x:v>Ver planta</x:v>
      </x:c>
      <x:c r="D42" s="2" t="str">
        <x:v>m comprimento</x:v>
      </x:c>
      <x:c r="E42" s="2" t="str">
        <x:v>Muro</x:v>
      </x:c>
      <x:c r="F42" s="11" t="n">
        <x:v>0.2</x:v>
      </x:c>
      <x:c r="G42" s="11" t="n">
        <x:v>3.15</x:v>
      </x:c>
      <x:c r="H42" s="11" t="n">
        <x:v>1</x:v>
      </x:c>
      <x:c r="I42" s="11" t="n">
        <x:v>0.03</x:v>
      </x:c>
      <x:c r="J42" s="11"/>
      <x:c r="K42" s="12" t="n">
        <x:f>F42*G42</x:f>
        <x:v>0.63</x:v>
      </x:c>
      <x:c r="L42" s="12" t="n">
        <x:f>2*G42</x:f>
        <x:v>6.3</x:v>
      </x:c>
      <x:c r="M42" s="12" t="n">
        <x:f>0</x:f>
        <x:v>0</x:v>
      </x:c>
      <x:c r="N42" s="12" t="n">
        <x:f>IF(O42="Pendente: cortes/dados","Pendente",SUMIF('Armaduras base'!$A$7:$A$158,A42,'Armaduras base'!$I$7:$I$158))</x:f>
        <x:v>46.5835</x:v>
      </x:c>
      <x:c r="O42" s="2" t="str">
        <x:f>IF(COUNTIFS('Armaduras base'!$A$7:$A$158,A42,'Armaduras base'!$J$7:$J$158,"Pendente")&gt;0,"Pendente: cortes/dados","Base sem acertos locais")</x:f>
        <x:v>Base sem acertos locais</x:v>
      </x:c>
      <x:c r="P42" s="2" t="str">
        <x:v>MUROS!A10:AB10</x:v>
      </x:c>
      <x:c r="Q42" s="9" t="str">
        <x:v>Altura fixa da fonte. Por 1 m em planta; 2 faces cofradas. Recobrimento 3 cm das notas gerais, confirmar. Sapata tratada apenas em Pb.1-SAP.</x:v>
      </x:c>
      <x:c r="R42" s="2" t="str">
        <x:v>Conferir em projeto</x:v>
      </x:c>
    </x:row>
    <x:row r="43" ht="48" customHeight="1">
      <x:c r="A43" s="2" t="str">
        <x:v>Pb.1-SAP</x:v>
      </x:c>
      <x:c r="B43" s="2" t="str">
        <x:v>Sapata de muro</x:v>
      </x:c>
      <x:c r="C43" s="2" t="str">
        <x:v>Fundações</x:v>
      </x:c>
      <x:c r="D43" s="2" t="str">
        <x:v>m comprimento</x:v>
      </x:c>
      <x:c r="E43" s="2" t="str">
        <x:v>Sapata contínua</x:v>
      </x:c>
      <x:c r="F43" s="11" t="n">
        <x:v>0.8</x:v>
      </x:c>
      <x:c r="G43" s="11" t="n">
        <x:v>0.4</x:v>
      </x:c>
      <x:c r="H43" s="11" t="n">
        <x:v>1</x:v>
      </x:c>
      <x:c r="I43" s="11" t="n">
        <x:v>0.05</x:v>
      </x:c>
      <x:c r="J43" s="11"/>
      <x:c r="K43" s="12" t="n">
        <x:f>F43*G43</x:f>
        <x:v>0.32000000000000006</x:v>
      </x:c>
      <x:c r="L43" s="12" t="n">
        <x:f>2*G43</x:f>
        <x:v>0.8</x:v>
      </x:c>
      <x:c r="M43" s="12" t="n">
        <x:f>F43*0.05</x:f>
        <x:v>0.04000000000000001</x:v>
      </x:c>
      <x:c r="N43" s="12" t="n">
        <x:f>IF(O43="Pendente: cortes/dados","Pendente",SUMIF('Armaduras base'!$A$7:$A$158,A43,'Armaduras base'!$I$7:$I$158))</x:f>
        <x:v>14.499500000000001</x:v>
      </x:c>
      <x:c r="O43" s="2" t="str">
        <x:f>IF(COUNTIFS('Armaduras base'!$A$7:$A$158,A43,'Armaduras base'!$J$7:$J$158,"Pendente")&gt;0,"Pendente: cortes/dados","Base sem acertos locais")</x:f>
        <x:v>Base sem acertos locais</x:v>
      </x:c>
      <x:c r="P43" s="2" t="str">
        <x:v>MUROS!A10:AB10</x:v>
      </x:c>
      <x:c r="Q43" s="9" t="str">
        <x:v>Separada do paramento. Cofragem: duas laterais longitudinais; topos à parte. Não somar SAP-Pb1 (duplicado alternativo).</x:v>
      </x:c>
      <x:c r="R43" s="2" t="str">
        <x:v>Conferir em projeto</x:v>
      </x:c>
    </x:row>
    <x:row r="44" ht="48" customHeight="1">
      <x:c r="A44" s="2" t="str">
        <x:v>Pb.2-MURO</x:v>
      </x:c>
      <x:c r="B44" s="2" t="str">
        <x:v>Muro</x:v>
      </x:c>
      <x:c r="C44" s="2" t="str">
        <x:v>Ver planta</x:v>
      </x:c>
      <x:c r="D44" s="2" t="str">
        <x:v>m comprimento</x:v>
      </x:c>
      <x:c r="E44" s="2" t="str">
        <x:v>Muro</x:v>
      </x:c>
      <x:c r="F44" s="11" t="n">
        <x:v>0.2</x:v>
      </x:c>
      <x:c r="G44" s="11" t="n">
        <x:v>1.6</x:v>
      </x:c>
      <x:c r="H44" s="11" t="n">
        <x:v>1</x:v>
      </x:c>
      <x:c r="I44" s="11" t="n">
        <x:v>0.03</x:v>
      </x:c>
      <x:c r="J44" s="11"/>
      <x:c r="K44" s="12" t="n">
        <x:f>F44*G44</x:f>
        <x:v>0.32000000000000006</x:v>
      </x:c>
      <x:c r="L44" s="12" t="n">
        <x:f>2*G44</x:f>
        <x:v>3.2</x:v>
      </x:c>
      <x:c r="M44" s="12" t="n">
        <x:f>0</x:f>
        <x:v>0</x:v>
      </x:c>
      <x:c r="N44" s="12" t="n">
        <x:f>IF(O44="Pendente: cortes/dados","Pendente",SUMIF('Armaduras base'!$A$7:$A$158,A44,'Armaduras base'!$I$7:$I$158))</x:f>
        <x:v>27.970666666666666</x:v>
      </x:c>
      <x:c r="O44" s="2" t="str">
        <x:f>IF(COUNTIFS('Armaduras base'!$A$7:$A$158,A44,'Armaduras base'!$J$7:$J$158,"Pendente")&gt;0,"Pendente: cortes/dados","Base sem acertos locais")</x:f>
        <x:v>Base sem acertos locais</x:v>
      </x:c>
      <x:c r="P44" s="2" t="str">
        <x:v>MUROS!A11:AB11</x:v>
      </x:c>
      <x:c r="Q44" s="9" t="str">
        <x:v>Altura fixa da fonte. Por 1 m em planta; 2 faces cofradas. Recobrimento 3 cm das notas gerais, confirmar. </x:v>
      </x:c>
      <x:c r="R44" s="2" t="str">
        <x:v>Conferir em projeto</x:v>
      </x:c>
    </x:row>
    <x:row r="45" ht="48" customHeight="1">
      <x:c r="A45" s="2" t="str">
        <x:v>Pb.2-SAP</x:v>
      </x:c>
      <x:c r="B45" s="2" t="str">
        <x:v>Sapata de muro</x:v>
      </x:c>
      <x:c r="C45" s="2" t="str">
        <x:v>Fundações</x:v>
      </x:c>
      <x:c r="D45" s="2" t="str">
        <x:v>m comprimento</x:v>
      </x:c>
      <x:c r="E45" s="2" t="str">
        <x:v>Sapata contínua</x:v>
      </x:c>
      <x:c r="F45" s="11" t="n">
        <x:v>2.15</x:v>
      </x:c>
      <x:c r="G45" s="11" t="n">
        <x:v>0.4</x:v>
      </x:c>
      <x:c r="H45" s="11" t="n">
        <x:v>1</x:v>
      </x:c>
      <x:c r="I45" s="11" t="n">
        <x:v>0.05</x:v>
      </x:c>
      <x:c r="J45" s="11"/>
      <x:c r="K45" s="12" t="n">
        <x:f>F45*G45</x:f>
        <x:v>0.86</x:v>
      </x:c>
      <x:c r="L45" s="12" t="n">
        <x:f>2*G45</x:f>
        <x:v>0.8</x:v>
      </x:c>
      <x:c r="M45" s="12" t="n">
        <x:f>F45*0.05</x:f>
        <x:v>0.1075</x:v>
      </x:c>
      <x:c r="N45" s="12" t="n">
        <x:f>IF(O45="Pendente: cortes/dados","Pendente",SUMIF('Armaduras base'!$A$7:$A$158,A45,'Armaduras base'!$I$7:$I$158))</x:f>
        <x:v>43.14333333333333</x:v>
      </x:c>
      <x:c r="O45" s="2" t="str">
        <x:f>IF(COUNTIFS('Armaduras base'!$A$7:$A$158,A45,'Armaduras base'!$J$7:$J$158,"Pendente")&gt;0,"Pendente: cortes/dados","Base sem acertos locais")</x:f>
        <x:v>Base sem acertos locais</x:v>
      </x:c>
      <x:c r="P45" s="2" t="str">
        <x:v>MUROS!A11:AB11</x:v>
      </x:c>
      <x:c r="Q45" s="9" t="str">
        <x:v>Separada do paramento. Cofragem: duas laterais longitudinais; topos à parte. </x:v>
      </x:c>
      <x:c r="R45" s="2" t="str">
        <x:v>Conferir em projeto</x:v>
      </x:c>
    </x:row>
    <x:row r="46" ht="48" customHeight="1">
      <x:c r="A46" s="2" t="str">
        <x:v>Pa.2-P0-COB</x:v>
      </x:c>
      <x:c r="B46" s="2" t="str">
        <x:v>Parede</x:v>
      </x:c>
      <x:c r="C46" s="2" t="str">
        <x:v>Piso 0→Cob</x:v>
      </x:c>
      <x:c r="D46" s="2" t="str">
        <x:v>m altura</x:v>
      </x:c>
      <x:c r="E46" s="2" t="str">
        <x:v>Parede</x:v>
      </x:c>
      <x:c r="F46" s="11" t="n">
        <x:v>0.4</x:v>
      </x:c>
      <x:c r="G46" s="11" t="n">
        <x:v>1</x:v>
      </x:c>
      <x:c r="H46" s="11" t="n">
        <x:v>0.8</x:v>
      </x:c>
      <x:c r="I46" s="11" t="n">
        <x:v>0.03</x:v>
      </x:c>
      <x:c r="J46" s="11"/>
      <x:c r="K46" s="12" t="n">
        <x:f>F46*H46</x:f>
        <x:v>0.32000000000000006</x:v>
      </x:c>
      <x:c r="L46" s="12" t="n">
        <x:f>2*H46</x:f>
        <x:v>1.6</x:v>
      </x:c>
      <x:c r="M46" s="12" t="n">
        <x:f>0</x:f>
        <x:v>0</x:v>
      </x:c>
      <x:c r="N46" s="12" t="str">
        <x:f>IF(O46="Pendente: cortes/dados","Pendente",SUMIF('Armaduras base'!$A$7:$A$158,A46,'Armaduras base'!$I$7:$I$158))</x:f>
        <x:v>Pendente</x:v>
      </x:c>
      <x:c r="O46" s="2" t="str">
        <x:f>IF(COUNTIFS('Armaduras base'!$A$7:$A$158,A46,'Armaduras base'!$J$7:$J$158,"Pendente")&gt;0,"Pendente: cortes/dados","Base sem acertos locais")</x:f>
        <x:v>Pendente: cortes/dados</x:v>
      </x:c>
      <x:c r="P46" s="2" t="str">
        <x:v>MUROS!A16:T16</x:v>
      </x:c>
      <x:c r="Q46" s="9" t="str">
        <x:v>Por 1 m de altura. Duas faces principais; bordos à parte. Altura total não necessária ao coeficiente.</x:v>
      </x:c>
      <x:c r="R46" s="2" t="str">
        <x:v>Conferir em projeto</x:v>
      </x:c>
    </x:row>
    <x:row r="47" ht="48" customHeight="1">
      <x:c r="A47" s="2" t="str">
        <x:v>Pa.2-P-1-P0</x:v>
      </x:c>
      <x:c r="B47" s="2" t="str">
        <x:v>Parede</x:v>
      </x:c>
      <x:c r="C47" s="2" t="str">
        <x:v>Piso -1→0</x:v>
      </x:c>
      <x:c r="D47" s="2" t="str">
        <x:v>m altura</x:v>
      </x:c>
      <x:c r="E47" s="2" t="str">
        <x:v>Parede</x:v>
      </x:c>
      <x:c r="F47" s="11" t="n">
        <x:v>0.3</x:v>
      </x:c>
      <x:c r="G47" s="11" t="n">
        <x:v>1</x:v>
      </x:c>
      <x:c r="H47" s="11" t="n">
        <x:v>1.98</x:v>
      </x:c>
      <x:c r="I47" s="11" t="n">
        <x:v>0.03</x:v>
      </x:c>
      <x:c r="J47" s="11"/>
      <x:c r="K47" s="12" t="n">
        <x:f>F47*H47</x:f>
        <x:v>0.594</x:v>
      </x:c>
      <x:c r="L47" s="12" t="n">
        <x:f>2*H47</x:f>
        <x:v>3.96</x:v>
      </x:c>
      <x:c r="M47" s="12" t="n">
        <x:f>0</x:f>
        <x:v>0</x:v>
      </x:c>
      <x:c r="N47" s="12" t="str">
        <x:f>IF(O47="Pendente: cortes/dados","Pendente",SUMIF('Armaduras base'!$A$7:$A$158,A47,'Armaduras base'!$I$7:$I$158))</x:f>
        <x:v>Pendente</x:v>
      </x:c>
      <x:c r="O47" s="2" t="str">
        <x:f>IF(COUNTIFS('Armaduras base'!$A$7:$A$158,A47,'Armaduras base'!$J$7:$J$158,"Pendente")&gt;0,"Pendente: cortes/dados","Base sem acertos locais")</x:f>
        <x:v>Pendente: cortes/dados</x:v>
      </x:c>
      <x:c r="P47" s="2" t="str">
        <x:v>MUROS!A17:T17</x:v>
      </x:c>
      <x:c r="Q47" s="9" t="str">
        <x:v>Por 1 m de altura. Duas faces principais; bordos à parte. Altura total não necessária ao coeficiente.</x:v>
      </x:c>
      <x:c r="R47" s="2" t="str">
        <x:v>Conferir em projeto</x:v>
      </x:c>
    </x:row>
    <x:row r="48" ht="48" customHeight="1">
      <x:c r="A48" s="2" t="str">
        <x:v>V1</x:v>
      </x:c>
      <x:c r="B48" s="2" t="str">
        <x:v>Viga</x:v>
      </x:c>
      <x:c r="C48" s="2" t="str">
        <x:v>Piso 1</x:v>
      </x:c>
      <x:c r="D48" s="2" t="str">
        <x:v>m comprimento</x:v>
      </x:c>
      <x:c r="E48" s="2" t="str">
        <x:v>Viga</x:v>
      </x:c>
      <x:c r="F48" s="11" t="n">
        <x:v>0.2</x:v>
      </x:c>
      <x:c r="G48" s="11" t="n">
        <x:v>0.5</x:v>
      </x:c>
      <x:c r="H48" s="11" t="n">
        <x:v>1</x:v>
      </x:c>
      <x:c r="I48" s="11" t="n">
        <x:v>0.025</x:v>
      </x:c>
      <x:c r="J48" s="11"/>
      <x:c r="K48" s="12" t="n">
        <x:f>F48*G48</x:f>
        <x:v>0.1</x:v>
      </x:c>
      <x:c r="L48" s="12" t="n">
        <x:f>F48+2*G48</x:f>
        <x:v>1.2</x:v>
      </x:c>
      <x:c r="M48" s="12" t="n">
        <x:f>0</x:f>
        <x:v>0</x:v>
      </x:c>
      <x:c r="N48" s="12" t="str">
        <x:f>IF(O48="Pendente: cortes/dados","Pendente",SUMIF('Armaduras base'!$A$7:$A$158,A48,'Armaduras base'!$I$7:$I$158))</x:f>
        <x:v>Pendente</x:v>
      </x:c>
      <x:c r="O48" s="2" t="str">
        <x:f>IF(COUNTIFS('Armaduras base'!$A$7:$A$158,A48,'Armaduras base'!$J$7:$J$158,"Pendente")&gt;0,"Pendente: cortes/dados","Base sem acertos locais")</x:f>
        <x:v>Pendente: cortes/dados</x:v>
      </x:c>
      <x:c r="P48" s="2" t="str">
        <x:v>VIGAS!A6:AB6</x:v>
      </x:c>
      <x:c r="Q48" s="9" t="str">
        <x:v>Dados não confirmados no desenho 05. Cofragem: fundo + 2 laterais; descontar interseções.</x:v>
      </x:c>
      <x:c r="R48" s="2" t="str">
        <x:v>Conferir em projeto</x:v>
      </x:c>
    </x:row>
    <x:row r="49" ht="48" customHeight="1">
      <x:c r="A49" s="2" t="str">
        <x:v>V2</x:v>
      </x:c>
      <x:c r="B49" s="2" t="str">
        <x:v>Viga</x:v>
      </x:c>
      <x:c r="C49" s="2" t="str">
        <x:v>Piso 2</x:v>
      </x:c>
      <x:c r="D49" s="2" t="str">
        <x:v>m comprimento</x:v>
      </x:c>
      <x:c r="E49" s="2" t="str">
        <x:v>Viga</x:v>
      </x:c>
      <x:c r="F49" s="11" t="n">
        <x:v>0.25</x:v>
      </x:c>
      <x:c r="G49" s="11" t="n">
        <x:v>0.6</x:v>
      </x:c>
      <x:c r="H49" s="11" t="n">
        <x:v>1</x:v>
      </x:c>
      <x:c r="I49" s="11" t="n">
        <x:v>0.025</x:v>
      </x:c>
      <x:c r="J49" s="11"/>
      <x:c r="K49" s="12" t="n">
        <x:f>F49*G49</x:f>
        <x:v>0.15</x:v>
      </x:c>
      <x:c r="L49" s="12" t="n">
        <x:f>F49+2*G49</x:f>
        <x:v>1.45</x:v>
      </x:c>
      <x:c r="M49" s="12" t="n">
        <x:f>0</x:f>
        <x:v>0</x:v>
      </x:c>
      <x:c r="N49" s="12" t="str">
        <x:f>IF(O49="Pendente: cortes/dados","Pendente",SUMIF('Armaduras base'!$A$7:$A$158,A49,'Armaduras base'!$I$7:$I$158))</x:f>
        <x:v>Pendente</x:v>
      </x:c>
      <x:c r="O49" s="2" t="str">
        <x:f>IF(COUNTIFS('Armaduras base'!$A$7:$A$158,A49,'Armaduras base'!$J$7:$J$158,"Pendente")&gt;0,"Pendente: cortes/dados","Base sem acertos locais")</x:f>
        <x:v>Pendente: cortes/dados</x:v>
      </x:c>
      <x:c r="P49" s="2" t="str">
        <x:v>VIGAS!A7:AB7</x:v>
      </x:c>
      <x:c r="Q49" s="9" t="str">
        <x:v>Dados não confirmados no desenho 05. Cofragem: fundo + 2 laterais; descontar interseções.</x:v>
      </x:c>
      <x:c r="R49" s="2" t="str">
        <x:v>Conferir em projeto</x:v>
      </x:c>
    </x:row>
    <x:row r="50" ht="48" customHeight="1">
      <x:c r="A50" s="2" t="str">
        <x:v>L1</x:v>
      </x:c>
      <x:c r="B50" s="2" t="str">
        <x:v>Laje</x:v>
      </x:c>
      <x:c r="C50" s="2" t="str">
        <x:v>Piso 1</x:v>
      </x:c>
      <x:c r="D50" s="2" t="str">
        <x:v>m² planta</x:v>
      </x:c>
      <x:c r="E50" s="2" t="str">
        <x:v>Laje</x:v>
      </x:c>
      <x:c r="F50" s="11" t="n">
        <x:v>1</x:v>
      </x:c>
      <x:c r="G50" s="11" t="n">
        <x:v>0.15</x:v>
      </x:c>
      <x:c r="H50" s="11" t="n">
        <x:v>1</x:v>
      </x:c>
      <x:c r="I50" s="11" t="n">
        <x:v>0.02</x:v>
      </x:c>
      <x:c r="J50" s="11"/>
      <x:c r="K50" s="12" t="n">
        <x:f>G50</x:f>
        <x:v>0.15</x:v>
      </x:c>
      <x:c r="L50" s="12" t="n">
        <x:f>1</x:f>
        <x:v>1</x:v>
      </x:c>
      <x:c r="M50" s="12" t="n">
        <x:f>0</x:f>
        <x:v>0</x:v>
      </x:c>
      <x:c r="N50" s="12" t="n">
        <x:f>IF(O50="Pendente: cortes/dados","Pendente",SUMIF('Armaduras base'!$A$7:$A$158,A50,'Armaduras base'!$I$7:$I$158))</x:f>
        <x:v>6.17</x:v>
      </x:c>
      <x:c r="O50" s="2" t="str">
        <x:f>IF(COUNTIFS('Armaduras base'!$A$7:$A$158,A50,'Armaduras base'!$J$7:$J$158,"Pendente")&gt;0,"Pendente: cortes/dados","Base sem acertos locais")</x:f>
        <x:v>Base sem acertos locais</x:v>
      </x:c>
      <x:c r="P50" s="2" t="str">
        <x:v>LAJES!A6:AQ6</x:v>
      </x:c>
      <x:c r="Q50" s="9" t="str">
        <x:v>Betão por m² pela espessura. Cofragem de fundo 1 m²; bordos e vazios à parte.</x:v>
      </x:c>
      <x:c r="R50" s="2" t="str">
        <x:v>Conferir em projeto</x:v>
      </x:c>
    </x:row>
    <x:row r="51" ht="48" customHeight="1">
      <x:c r="A51" s="2" t="str">
        <x:v>L2</x:v>
      </x:c>
      <x:c r="B51" s="2" t="str">
        <x:v>Laje</x:v>
      </x:c>
      <x:c r="C51" s="2" t="str">
        <x:v>Piso 0</x:v>
      </x:c>
      <x:c r="D51" s="2" t="str">
        <x:v>m² planta</x:v>
      </x:c>
      <x:c r="E51" s="2" t="str">
        <x:v>Aligeirada</x:v>
      </x:c>
      <x:c r="F51" s="11" t="n">
        <x:v>1</x:v>
      </x:c>
      <x:c r="G51" s="11" t="n">
        <x:v>0.2</x:v>
      </x:c>
      <x:c r="H51" s="11" t="n">
        <x:v>1</x:v>
      </x:c>
      <x:c r="I51" s="11" t="n">
        <x:v>0.02</x:v>
      </x:c>
      <x:c r="J51" s="11"/>
      <x:c r="K51" s="12" t="str">
        <x:f>IF(AND(ISNUMBER(J51),J51&gt;0),J51,"Pendente")</x:f>
        <x:v>Pendente</x:v>
      </x:c>
      <x:c r="L51" s="12" t="n">
        <x:f>1</x:f>
        <x:v>1</x:v>
      </x:c>
      <x:c r="M51" s="12" t="n">
        <x:f>0</x:f>
        <x:v>0</x:v>
      </x:c>
      <x:c r="N51" s="12" t="n">
        <x:f>IF(O51="Pendente: cortes/dados","Pendente",SUMIF('Armaduras base'!$A$7:$A$158,A51,'Armaduras base'!$I$7:$I$158))</x:f>
        <x:v>4.44</x:v>
      </x:c>
      <x:c r="O51" s="2" t="str">
        <x:f>IF(COUNTIFS('Armaduras base'!$A$7:$A$158,A51,'Armaduras base'!$J$7:$J$158,"Pendente")&gt;0,"Pendente: cortes/dados","Base sem acertos locais")</x:f>
        <x:v>Base sem acertos locais</x:v>
      </x:c>
      <x:c r="P51" s="2" t="str">
        <x:v>LAJES!A7:AQ7</x:v>
      </x:c>
      <x:c r="Q51" s="9" t="str">
        <x:v>Fator de betão 0,65 da fonte NÃO adotado: preencher espessura equivalente calculada pelo sistema real.</x:v>
      </x:c>
      <x:c r="R51" s="2" t="str">
        <x:v>Conferir em projeto</x:v>
      </x:c>
    </x:row>
    <x:row r="52" ht="48" customHeight="1">
      <x:c r="A52" s="2" t="str">
        <x:v>L3</x:v>
      </x:c>
      <x:c r="B52" s="2" t="str">
        <x:v>Laje</x:v>
      </x:c>
      <x:c r="C52" s="2" t="str">
        <x:v>Cobertura</x:v>
      </x:c>
      <x:c r="D52" s="2" t="str">
        <x:v>m² planta</x:v>
      </x:c>
      <x:c r="E52" s="2" t="str">
        <x:v>Laje</x:v>
      </x:c>
      <x:c r="F52" s="11" t="n">
        <x:v>1</x:v>
      </x:c>
      <x:c r="G52" s="11" t="n">
        <x:v>0.12</x:v>
      </x:c>
      <x:c r="H52" s="11" t="n">
        <x:v>1</x:v>
      </x:c>
      <x:c r="I52" s="11" t="n">
        <x:v>0.02</x:v>
      </x:c>
      <x:c r="J52" s="11"/>
      <x:c r="K52" s="12" t="n">
        <x:f>G52</x:f>
        <x:v>0.12</x:v>
      </x:c>
      <x:c r="L52" s="12" t="n">
        <x:f>1</x:f>
        <x:v>1</x:v>
      </x:c>
      <x:c r="M52" s="12" t="n">
        <x:f>0</x:f>
        <x:v>0</x:v>
      </x:c>
      <x:c r="N52" s="12" t="n">
        <x:f>IF(O52="Pendente: cortes/dados","Pendente",SUMIF('Armaduras base'!$A$7:$A$158,A52,'Armaduras base'!$I$7:$I$158))</x:f>
        <x:v>3.95</x:v>
      </x:c>
      <x:c r="O52" s="2" t="str">
        <x:f>IF(COUNTIFS('Armaduras base'!$A$7:$A$158,A52,'Armaduras base'!$J$7:$J$158,"Pendente")&gt;0,"Pendente: cortes/dados","Base sem acertos locais")</x:f>
        <x:v>Base sem acertos locais</x:v>
      </x:c>
      <x:c r="P52" s="2" t="str">
        <x:v>LAJES!A8:AQ8</x:v>
      </x:c>
      <x:c r="Q52" s="9" t="str">
        <x:v>Betão por m² pela espessura. Cofragem de fundo 1 m²; bordos e vazios à parte.</x:v>
      </x:c>
      <x:c r="R52" s="2" t="str">
        <x:v>Conferir em projeto</x:v>
      </x:c>
    </x:row>
    <x:row r="53" ht="25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</x:row>
    <x:row r="54" ht="25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</x:row>
    <x:row r="55" ht="25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</x:row>
    <x:row r="56" ht="25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</x:row>
    <x:row r="57" ht="25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</x:row>
    <x:row r="58" ht="25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</x:row>
  </x:sheetData>
  <x:conditionalFormatting sqref="A1:R58">
    <x:cfRule type="containsText" dxfId="0" priority="1" operator="containsText" text="Pendente"/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3" hidden="0" customWidth="1"/>
    <x:col min="2" max="2" width="30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24" hidden="0" customWidth="1"/>
    <x:col min="11" max="11" width="28" hidden="0" customWidth="1"/>
    <x:col min="12" max="12" width="65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5" customHeight="1">
      <x:c r="A2" s="3" t="str">
        <x:v>Armaduras repetitivas — por unidade base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25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</x:row>
    <x:row r="4" ht="25" customHeight="1">
      <x:c r="A4" s="2" t="str">
        <x:v>kg/base = peças/base × corte unitário × peso linear. Frequências 1/passo não contam automaticamente as barras de extremidade.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ht="25" customHeight="1">
      <x:c r="A5" s="2" t="str">
        <x:v>Amarelo: rever dados. Cortes de cintas em falta ficam pendentes. Arranques, emendas, reforços locais e diferenças de contagem em Acertos aço.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</x:row>
    <x:row r="6" ht="48" customHeight="1">
      <x:c r="A6" s="8" t="str">
        <x:v>Tipo</x:v>
      </x:c>
      <x:c r="B6" s="8" t="str">
        <x:v>Componente</x:v>
      </x:c>
      <x:c r="C6" s="8" t="str">
        <x:v>Ø mm</x:v>
      </x:c>
      <x:c r="D6" s="8" t="str">
        <x:v>N.º / faces</x:v>
      </x:c>
      <x:c r="E6" s="8" t="str">
        <x:v>Passo m (opcional)</x:v>
      </x:c>
      <x:c r="F6" s="8" t="str">
        <x:v>Peças/base</x:v>
      </x:c>
      <x:c r="G6" s="8" t="str">
        <x:v>Corte unit. m</x:v>
      </x:c>
      <x:c r="H6" s="8" t="str">
        <x:v>Peso linear kg/m</x:v>
      </x:c>
      <x:c r="I6" s="8" t="str">
        <x:v>Peso kg/base</x:v>
      </x:c>
      <x:c r="J6" s="8" t="str">
        <x:v>Estado</x:v>
      </x:c>
      <x:c r="K6" s="8" t="str">
        <x:v>Origem</x:v>
      </x:c>
      <x:c r="L6" s="8" t="str">
        <x:v>Critério / pendência</x:v>
      </x:c>
    </x:row>
    <x:row r="7" ht="44" customHeight="1">
      <x:c r="A7" s="2" t="str">
        <x:v>P1-P0</x:v>
      </x:c>
      <x:c r="B7" s="2" t="str">
        <x:v>Longitudinal 1</x:v>
      </x:c>
      <x:c r="C7" s="11" t="n">
        <x:v>16</x:v>
      </x:c>
      <x:c r="D7" s="11" t="n">
        <x:v>6</x:v>
      </x:c>
      <x:c r="E7" s="11"/>
      <x:c r="F7" s="12" t="n">
        <x:f>IF(OR(NOT(ISNUMBER(D7)),D7&lt;=0),"Pendente",IF(E7="",D7,IF(E7&gt;0,D7/E7,"Pendente")))</x:f>
        <x:v>6</x:v>
      </x:c>
      <x:c r="G7" s="11" t="n">
        <x:v>1</x:v>
      </x:c>
      <x:c r="H7" s="12" t="n">
        <x:f>IF(COUNTIF('Como utilizar'!$D$7:$D$14,C7)=0,"Pendente",VLOOKUP(C7,'Como utilizar'!$D$7:$E$14,2,FALSE))</x:f>
        <x:v>1.578</x:v>
      </x:c>
      <x:c r="I7" s="12" t="n">
        <x:f>IF(J7="Pendente","Pendente",F7*G7*H7)</x:f>
        <x:v>9.468</x:v>
      </x:c>
      <x:c r="J7" s="2" t="str">
        <x:f>IF(AND(ISNUMBER(F7),ISNUMBER(G7),G7&gt;0,ISNUMBER(H7),H7&gt;0),"Base calculada","Pendente")</x:f>
        <x:v>Base calculada</x:v>
      </x:c>
      <x:c r="K7" s="2" t="str">
        <x:v>Des.05 — quadro P1-P0</x:v>
      </x:c>
      <x:c r="L7" s="9" t="str">
        <x:v>Quantidade/Ø conferidos no PDF. Base reta de 1 m; emendas, embebimentos e dobras medidos separadamente.</x:v>
      </x:c>
    </x:row>
    <x:row r="8" ht="44" customHeight="1">
      <x:c r="A8" s="2" t="str">
        <x:v>P1-P0</x:v>
      </x:c>
      <x:c r="B8" s="2" t="str">
        <x:v>Longitudinal 2</x:v>
      </x:c>
      <x:c r="C8" s="11" t="n">
        <x:v>12</x:v>
      </x:c>
      <x:c r="D8" s="11" t="n">
        <x:v>10</x:v>
      </x:c>
      <x:c r="E8" s="11"/>
      <x:c r="F8" s="12" t="n">
        <x:f>IF(OR(NOT(ISNUMBER(D8)),D8&lt;=0),"Pendente",IF(E8="",D8,IF(E8&gt;0,D8/E8,"Pendente")))</x:f>
        <x:v>10</x:v>
      </x:c>
      <x:c r="G8" s="11" t="n">
        <x:v>1</x:v>
      </x:c>
      <x:c r="H8" s="12" t="n">
        <x:f>IF(COUNTIF('Como utilizar'!$D$7:$D$14,C8)=0,"Pendente",VLOOKUP(C8,'Como utilizar'!$D$7:$E$14,2,FALSE))</x:f>
        <x:v>0.888</x:v>
      </x:c>
      <x:c r="I8" s="12" t="n">
        <x:f>IF(J8="Pendente","Pendente",F8*G8*H8)</x:f>
        <x:v>8.88</x:v>
      </x:c>
      <x:c r="J8" s="2" t="str">
        <x:f>IF(AND(ISNUMBER(F8),ISNUMBER(G8),G8&gt;0,ISNUMBER(H8),H8&gt;0),"Base calculada","Pendente")</x:f>
        <x:v>Base calculada</x:v>
      </x:c>
      <x:c r="K8" s="2" t="str">
        <x:v>Des.05 — quadro P1-P0</x:v>
      </x:c>
      <x:c r="L8" s="9" t="str">
        <x:v>Quantidade/Ø conferidos no PDF. Base reta de 1 m; emendas, embebimentos e dobras medidos separadamente.</x:v>
      </x:c>
    </x:row>
    <x:row r="9" ht="44" customHeight="1">
      <x:c r="A9" s="2" t="str">
        <x:v>P1-P0</x:v>
      </x:c>
      <x:c r="B9" s="2" t="str">
        <x:v>Cinta 1</x:v>
      </x:c>
      <x:c r="C9" s="11" t="n">
        <x:v>8</x:v>
      </x:c>
      <x:c r="D9" s="11" t="n">
        <x:v>1</x:v>
      </x:c>
      <x:c r="E9" s="11" t="n">
        <x:f>'Pormenores PDF'!$B$9</x:f>
        <x:v>0.2</x:v>
      </x:c>
      <x:c r="F9" s="12" t="n">
        <x:f>IF(OR(NOT(ISNUMBER(D9)),D9&lt;=0),"Pendente",IF(E9="",D9,IF(E9&gt;0,D9/E9,"Pendente")))</x:f>
        <x:v>5</x:v>
      </x:c>
      <x:c r="G9" s="11"/>
      <x:c r="H9" s="12" t="n">
        <x:f>IF(COUNTIF('Como utilizar'!$D$7:$D$14,C9)=0,"Pendente",VLOOKUP(C9,'Como utilizar'!$D$7:$E$14,2,FALSE))</x:f>
        <x:v>0.395</x:v>
      </x:c>
      <x:c r="I9" s="12" t="str">
        <x:f>IF(J9="Pendente","Pendente",F9*G9*H9)</x:f>
        <x:v>Pendente</x:v>
      </x:c>
      <x:c r="J9" s="2" t="str">
        <x:f>IF(AND(ISNUMBER(F9),ISNUMBER(G9),G9&gt;0,ISNUMBER(H9),H9&gt;0),"Base calculada","Pendente")</x:f>
        <x:v>Pendente</x:v>
      </x:c>
      <x:c r="K9" s="2" t="str">
        <x:v>Des.05 — quadro P1-P0</x:v>
      </x:c>
      <x:c r="L9" s="9" t="str">
        <x:v>Passo normal conferido no PDF. Nas zonas a/2 usar contagem real e registar diferença em Acertos aço. Corte permanece por confirmar.</x:v>
      </x:c>
    </x:row>
    <x:row r="10" ht="44" customHeight="1">
      <x:c r="A10" s="2" t="str">
        <x:v>P1-P0</x:v>
      </x:c>
      <x:c r="B10" s="2" t="str">
        <x:v>Cinta 2</x:v>
      </x:c>
      <x:c r="C10" s="11" t="n">
        <x:v>8</x:v>
      </x:c>
      <x:c r="D10" s="11" t="n">
        <x:v>1</x:v>
      </x:c>
      <x:c r="E10" s="11" t="n">
        <x:f>'Pormenores PDF'!$B$9</x:f>
        <x:v>0.2</x:v>
      </x:c>
      <x:c r="F10" s="12" t="n">
        <x:f>IF(OR(NOT(ISNUMBER(D10)),D10&lt;=0),"Pendente",IF(E10="",D10,IF(E10&gt;0,D10/E10,"Pendente")))</x:f>
        <x:v>5</x:v>
      </x:c>
      <x:c r="G10" s="11"/>
      <x:c r="H10" s="12" t="n">
        <x:f>IF(COUNTIF('Como utilizar'!$D$7:$D$14,C10)=0,"Pendente",VLOOKUP(C10,'Como utilizar'!$D$7:$E$14,2,FALSE))</x:f>
        <x:v>0.395</x:v>
      </x:c>
      <x:c r="I10" s="12" t="str">
        <x:f>IF(J10="Pendente","Pendente",F10*G10*H10)</x:f>
        <x:v>Pendente</x:v>
      </x:c>
      <x:c r="J10" s="2" t="str">
        <x:f>IF(AND(ISNUMBER(F10),ISNUMBER(G10),G10&gt;0,ISNUMBER(H10),H10&gt;0),"Base calculada","Pendente")</x:f>
        <x:v>Pendente</x:v>
      </x:c>
      <x:c r="K10" s="2" t="str">
        <x:v>Des.05 — quadro P1-P0</x:v>
      </x:c>
      <x:c r="L10" s="9" t="str">
        <x:v>Passo normal conferido no PDF. Nas zonas a/2 usar contagem real e registar diferença em Acertos aço. Corte permanece por confirmar.</x:v>
      </x:c>
    </x:row>
    <x:row r="11" ht="44" customHeight="1">
      <x:c r="A11" s="2" t="str">
        <x:v>P1-P1</x:v>
      </x:c>
      <x:c r="B11" s="2" t="str">
        <x:v>Longitudinal 1</x:v>
      </x:c>
      <x:c r="C11" s="11" t="n">
        <x:v>16</x:v>
      </x:c>
      <x:c r="D11" s="11" t="n">
        <x:v>6</x:v>
      </x:c>
      <x:c r="E11" s="11"/>
      <x:c r="F11" s="12" t="n">
        <x:f>IF(OR(NOT(ISNUMBER(D11)),D11&lt;=0),"Pendente",IF(E11="",D11,IF(E11&gt;0,D11/E11,"Pendente")))</x:f>
        <x:v>6</x:v>
      </x:c>
      <x:c r="G11" s="11" t="n">
        <x:v>1</x:v>
      </x:c>
      <x:c r="H11" s="12" t="n">
        <x:f>IF(COUNTIF('Como utilizar'!$D$7:$D$14,C11)=0,"Pendente",VLOOKUP(C11,'Como utilizar'!$D$7:$E$14,2,FALSE))</x:f>
        <x:v>1.578</x:v>
      </x:c>
      <x:c r="I11" s="12" t="n">
        <x:f>IF(J11="Pendente","Pendente",F11*G11*H11)</x:f>
        <x:v>9.468</x:v>
      </x:c>
      <x:c r="J11" s="2" t="str">
        <x:f>IF(AND(ISNUMBER(F11),ISNUMBER(G11),G11&gt;0,ISNUMBER(H11),H11&gt;0),"Base calculada","Pendente")</x:f>
        <x:v>Base calculada</x:v>
      </x:c>
      <x:c r="K11" s="2" t="str">
        <x:v>Des.05 — quadro P1-P1</x:v>
      </x:c>
      <x:c r="L11" s="9" t="str">
        <x:v>Quantidade/Ø conferidos no PDF. Base reta de 1 m; emendas, embebimentos e dobras medidos separadamente.</x:v>
      </x:c>
    </x:row>
    <x:row r="12" ht="44" customHeight="1">
      <x:c r="A12" s="2" t="str">
        <x:v>P1-P1</x:v>
      </x:c>
      <x:c r="B12" s="2" t="str">
        <x:v>Longitudinal 2</x:v>
      </x:c>
      <x:c r="C12" s="11" t="n">
        <x:v>12</x:v>
      </x:c>
      <x:c r="D12" s="11" t="n">
        <x:v>10</x:v>
      </x:c>
      <x:c r="E12" s="11"/>
      <x:c r="F12" s="12" t="n">
        <x:f>IF(OR(NOT(ISNUMBER(D12)),D12&lt;=0),"Pendente",IF(E12="",D12,IF(E12&gt;0,D12/E12,"Pendente")))</x:f>
        <x:v>10</x:v>
      </x:c>
      <x:c r="G12" s="11" t="n">
        <x:v>1</x:v>
      </x:c>
      <x:c r="H12" s="12" t="n">
        <x:f>IF(COUNTIF('Como utilizar'!$D$7:$D$14,C12)=0,"Pendente",VLOOKUP(C12,'Como utilizar'!$D$7:$E$14,2,FALSE))</x:f>
        <x:v>0.888</x:v>
      </x:c>
      <x:c r="I12" s="12" t="n">
        <x:f>IF(J12="Pendente","Pendente",F12*G12*H12)</x:f>
        <x:v>8.88</x:v>
      </x:c>
      <x:c r="J12" s="2" t="str">
        <x:f>IF(AND(ISNUMBER(F12),ISNUMBER(G12),G12&gt;0,ISNUMBER(H12),H12&gt;0),"Base calculada","Pendente")</x:f>
        <x:v>Base calculada</x:v>
      </x:c>
      <x:c r="K12" s="2" t="str">
        <x:v>Des.05 — quadro P1-P1</x:v>
      </x:c>
      <x:c r="L12" s="9" t="str">
        <x:v>Quantidade/Ø conferidos no PDF. Base reta de 1 m; emendas, embebimentos e dobras medidos separadamente.</x:v>
      </x:c>
    </x:row>
    <x:row r="13" ht="44" customHeight="1">
      <x:c r="A13" s="2" t="str">
        <x:v>P1-P1</x:v>
      </x:c>
      <x:c r="B13" s="2" t="str">
        <x:v>Cinta 1</x:v>
      </x:c>
      <x:c r="C13" s="11" t="n">
        <x:v>8</x:v>
      </x:c>
      <x:c r="D13" s="11" t="n">
        <x:v>1</x:v>
      </x:c>
      <x:c r="E13" s="11" t="n">
        <x:f>'Pormenores PDF'!$B$9</x:f>
        <x:v>0.2</x:v>
      </x:c>
      <x:c r="F13" s="12" t="n">
        <x:f>IF(OR(NOT(ISNUMBER(D13)),D13&lt;=0),"Pendente",IF(E13="",D13,IF(E13&gt;0,D13/E13,"Pendente")))</x:f>
        <x:v>5</x:v>
      </x:c>
      <x:c r="G13" s="11"/>
      <x:c r="H13" s="12" t="n">
        <x:f>IF(COUNTIF('Como utilizar'!$D$7:$D$14,C13)=0,"Pendente",VLOOKUP(C13,'Como utilizar'!$D$7:$E$14,2,FALSE))</x:f>
        <x:v>0.395</x:v>
      </x:c>
      <x:c r="I13" s="12" t="str">
        <x:f>IF(J13="Pendente","Pendente",F13*G13*H13)</x:f>
        <x:v>Pendente</x:v>
      </x:c>
      <x:c r="J13" s="2" t="str">
        <x:f>IF(AND(ISNUMBER(F13),ISNUMBER(G13),G13&gt;0,ISNUMBER(H13),H13&gt;0),"Base calculada","Pendente")</x:f>
        <x:v>Pendente</x:v>
      </x:c>
      <x:c r="K13" s="2" t="str">
        <x:v>Des.05 — quadro P1-P1</x:v>
      </x:c>
      <x:c r="L13" s="9" t="str">
        <x:v>Passo normal conferido no PDF. Nas zonas a/2 usar contagem real e registar diferença em Acertos aço. Corte permanece por confirmar.</x:v>
      </x:c>
    </x:row>
    <x:row r="14" ht="44" customHeight="1">
      <x:c r="A14" s="2" t="str">
        <x:v>P1-P1</x:v>
      </x:c>
      <x:c r="B14" s="2" t="str">
        <x:v>Cinta 2</x:v>
      </x:c>
      <x:c r="C14" s="11" t="n">
        <x:v>8</x:v>
      </x:c>
      <x:c r="D14" s="11" t="n">
        <x:v>1</x:v>
      </x:c>
      <x:c r="E14" s="11" t="n">
        <x:f>'Pormenores PDF'!$B$9</x:f>
        <x:v>0.2</x:v>
      </x:c>
      <x:c r="F14" s="12" t="n">
        <x:f>IF(OR(NOT(ISNUMBER(D14)),D14&lt;=0),"Pendente",IF(E14="",D14,IF(E14&gt;0,D14/E14,"Pendente")))</x:f>
        <x:v>5</x:v>
      </x:c>
      <x:c r="G14" s="11"/>
      <x:c r="H14" s="12" t="n">
        <x:f>IF(COUNTIF('Como utilizar'!$D$7:$D$14,C14)=0,"Pendente",VLOOKUP(C14,'Como utilizar'!$D$7:$E$14,2,FALSE))</x:f>
        <x:v>0.395</x:v>
      </x:c>
      <x:c r="I14" s="12" t="str">
        <x:f>IF(J14="Pendente","Pendente",F14*G14*H14)</x:f>
        <x:v>Pendente</x:v>
      </x:c>
      <x:c r="J14" s="2" t="str">
        <x:f>IF(AND(ISNUMBER(F14),ISNUMBER(G14),G14&gt;0,ISNUMBER(H14),H14&gt;0),"Base calculada","Pendente")</x:f>
        <x:v>Pendente</x:v>
      </x:c>
      <x:c r="K14" s="2" t="str">
        <x:v>Des.05 — quadro P1-P1</x:v>
      </x:c>
      <x:c r="L14" s="9" t="str">
        <x:v>Passo normal conferido no PDF. Nas zonas a/2 usar contagem real e registar diferença em Acertos aço. Corte permanece por confirmar.</x:v>
      </x:c>
    </x:row>
    <x:row r="15" ht="44" customHeight="1">
      <x:c r="A15" s="2" t="str">
        <x:v>P1-COB</x:v>
      </x:c>
      <x:c r="B15" s="2" t="str">
        <x:v>Longitudinal 1</x:v>
      </x:c>
      <x:c r="C15" s="11" t="n">
        <x:v>16</x:v>
      </x:c>
      <x:c r="D15" s="11" t="n">
        <x:v>6</x:v>
      </x:c>
      <x:c r="E15" s="11"/>
      <x:c r="F15" s="12" t="n">
        <x:f>IF(OR(NOT(ISNUMBER(D15)),D15&lt;=0),"Pendente",IF(E15="",D15,IF(E15&gt;0,D15/E15,"Pendente")))</x:f>
        <x:v>6</x:v>
      </x:c>
      <x:c r="G15" s="11" t="n">
        <x:v>1</x:v>
      </x:c>
      <x:c r="H15" s="12" t="n">
        <x:f>IF(COUNTIF('Como utilizar'!$D$7:$D$14,C15)=0,"Pendente",VLOOKUP(C15,'Como utilizar'!$D$7:$E$14,2,FALSE))</x:f>
        <x:v>1.578</x:v>
      </x:c>
      <x:c r="I15" s="12" t="n">
        <x:f>IF(J15="Pendente","Pendente",F15*G15*H15)</x:f>
        <x:v>9.468</x:v>
      </x:c>
      <x:c r="J15" s="2" t="str">
        <x:f>IF(AND(ISNUMBER(F15),ISNUMBER(G15),G15&gt;0,ISNUMBER(H15),H15&gt;0),"Base calculada","Pendente")</x:f>
        <x:v>Base calculada</x:v>
      </x:c>
      <x:c r="K15" s="2" t="str">
        <x:v>Des.05 — quadro P1-COB</x:v>
      </x:c>
      <x:c r="L15" s="9" t="str">
        <x:v>Quantidade/Ø conferidos no PDF. Base reta de 1 m; emendas, embebimentos e dobras medidos separadamente.</x:v>
      </x:c>
    </x:row>
    <x:row r="16" ht="44" customHeight="1">
      <x:c r="A16" s="2" t="str">
        <x:v>P1-COB</x:v>
      </x:c>
      <x:c r="B16" s="2" t="str">
        <x:v>Longitudinal 2</x:v>
      </x:c>
      <x:c r="C16" s="11" t="n">
        <x:v>12</x:v>
      </x:c>
      <x:c r="D16" s="11" t="n">
        <x:v>10</x:v>
      </x:c>
      <x:c r="E16" s="11"/>
      <x:c r="F16" s="12" t="n">
        <x:f>IF(OR(NOT(ISNUMBER(D16)),D16&lt;=0),"Pendente",IF(E16="",D16,IF(E16&gt;0,D16/E16,"Pendente")))</x:f>
        <x:v>10</x:v>
      </x:c>
      <x:c r="G16" s="11" t="n">
        <x:v>1</x:v>
      </x:c>
      <x:c r="H16" s="12" t="n">
        <x:f>IF(COUNTIF('Como utilizar'!$D$7:$D$14,C16)=0,"Pendente",VLOOKUP(C16,'Como utilizar'!$D$7:$E$14,2,FALSE))</x:f>
        <x:v>0.888</x:v>
      </x:c>
      <x:c r="I16" s="12" t="n">
        <x:f>IF(J16="Pendente","Pendente",F16*G16*H16)</x:f>
        <x:v>8.88</x:v>
      </x:c>
      <x:c r="J16" s="2" t="str">
        <x:f>IF(AND(ISNUMBER(F16),ISNUMBER(G16),G16&gt;0,ISNUMBER(H16),H16&gt;0),"Base calculada","Pendente")</x:f>
        <x:v>Base calculada</x:v>
      </x:c>
      <x:c r="K16" s="2" t="str">
        <x:v>Des.05 — quadro P1-COB</x:v>
      </x:c>
      <x:c r="L16" s="9" t="str">
        <x:v>Quantidade/Ø conferidos no PDF. Base reta de 1 m; emendas, embebimentos e dobras medidos separadamente.</x:v>
      </x:c>
    </x:row>
    <x:row r="17" ht="44" customHeight="1">
      <x:c r="A17" s="2" t="str">
        <x:v>P1-COB</x:v>
      </x:c>
      <x:c r="B17" s="2" t="str">
        <x:v>Cinta 1</x:v>
      </x:c>
      <x:c r="C17" s="11" t="n">
        <x:v>8</x:v>
      </x:c>
      <x:c r="D17" s="11" t="n">
        <x:v>1</x:v>
      </x:c>
      <x:c r="E17" s="11" t="n">
        <x:f>'Pormenores PDF'!$B$9</x:f>
        <x:v>0.2</x:v>
      </x:c>
      <x:c r="F17" s="12" t="n">
        <x:f>IF(OR(NOT(ISNUMBER(D17)),D17&lt;=0),"Pendente",IF(E17="",D17,IF(E17&gt;0,D17/E17,"Pendente")))</x:f>
        <x:v>5</x:v>
      </x:c>
      <x:c r="G17" s="11"/>
      <x:c r="H17" s="12" t="n">
        <x:f>IF(COUNTIF('Como utilizar'!$D$7:$D$14,C17)=0,"Pendente",VLOOKUP(C17,'Como utilizar'!$D$7:$E$14,2,FALSE))</x:f>
        <x:v>0.395</x:v>
      </x:c>
      <x:c r="I17" s="12" t="str">
        <x:f>IF(J17="Pendente","Pendente",F17*G17*H17)</x:f>
        <x:v>Pendente</x:v>
      </x:c>
      <x:c r="J17" s="2" t="str">
        <x:f>IF(AND(ISNUMBER(F17),ISNUMBER(G17),G17&gt;0,ISNUMBER(H17),H17&gt;0),"Base calculada","Pendente")</x:f>
        <x:v>Pendente</x:v>
      </x:c>
      <x:c r="K17" s="2" t="str">
        <x:v>Des.05 — quadro P1-COB</x:v>
      </x:c>
      <x:c r="L17" s="9" t="str">
        <x:v>Passo normal conferido no PDF. Nas zonas a/2 usar contagem real e registar diferença em Acertos aço. Corte permanece por confirmar.</x:v>
      </x:c>
    </x:row>
    <x:row r="18" ht="44" customHeight="1">
      <x:c r="A18" s="2" t="str">
        <x:v>P1-COB</x:v>
      </x:c>
      <x:c r="B18" s="2" t="str">
        <x:v>Cinta 2</x:v>
      </x:c>
      <x:c r="C18" s="11" t="n">
        <x:v>8</x:v>
      </x:c>
      <x:c r="D18" s="11" t="n">
        <x:v>1</x:v>
      </x:c>
      <x:c r="E18" s="11" t="n">
        <x:f>'Pormenores PDF'!$B$9</x:f>
        <x:v>0.2</x:v>
      </x:c>
      <x:c r="F18" s="12" t="n">
        <x:f>IF(OR(NOT(ISNUMBER(D18)),D18&lt;=0),"Pendente",IF(E18="",D18,IF(E18&gt;0,D18/E18,"Pendente")))</x:f>
        <x:v>5</x:v>
      </x:c>
      <x:c r="G18" s="11"/>
      <x:c r="H18" s="12" t="n">
        <x:f>IF(COUNTIF('Como utilizar'!$D$7:$D$14,C18)=0,"Pendente",VLOOKUP(C18,'Como utilizar'!$D$7:$E$14,2,FALSE))</x:f>
        <x:v>0.395</x:v>
      </x:c>
      <x:c r="I18" s="12" t="str">
        <x:f>IF(J18="Pendente","Pendente",F18*G18*H18)</x:f>
        <x:v>Pendente</x:v>
      </x:c>
      <x:c r="J18" s="2" t="str">
        <x:f>IF(AND(ISNUMBER(F18),ISNUMBER(G18),G18&gt;0,ISNUMBER(H18),H18&gt;0),"Base calculada","Pendente")</x:f>
        <x:v>Pendente</x:v>
      </x:c>
      <x:c r="K18" s="2" t="str">
        <x:v>Des.05 — quadro P1-COB</x:v>
      </x:c>
      <x:c r="L18" s="9" t="str">
        <x:v>Passo normal conferido no PDF. Nas zonas a/2 usar contagem real e registar diferença em Acertos aço. Corte permanece por confirmar.</x:v>
      </x:c>
    </x:row>
    <x:row r="19" ht="44" customHeight="1">
      <x:c r="A19" s="2" t="str">
        <x:v>P2-P0</x:v>
      </x:c>
      <x:c r="B19" s="2" t="str">
        <x:v>Longitudinal 1</x:v>
      </x:c>
      <x:c r="C19" s="11" t="n">
        <x:v>16</x:v>
      </x:c>
      <x:c r="D19" s="11" t="n">
        <x:v>28</x:v>
      </x:c>
      <x:c r="E19" s="11"/>
      <x:c r="F19" s="12" t="n">
        <x:f>IF(OR(NOT(ISNUMBER(D19)),D19&lt;=0),"Pendente",IF(E19="",D19,IF(E19&gt;0,D19/E19,"Pendente")))</x:f>
        <x:v>28</x:v>
      </x:c>
      <x:c r="G19" s="11" t="n">
        <x:v>1</x:v>
      </x:c>
      <x:c r="H19" s="12" t="n">
        <x:f>IF(COUNTIF('Como utilizar'!$D$7:$D$14,C19)=0,"Pendente",VLOOKUP(C19,'Como utilizar'!$D$7:$E$14,2,FALSE))</x:f>
        <x:v>1.578</x:v>
      </x:c>
      <x:c r="I19" s="12" t="n">
        <x:f>IF(J19="Pendente","Pendente",F19*G19*H19)</x:f>
        <x:v>44.184000000000005</x:v>
      </x:c>
      <x:c r="J19" s="2" t="str">
        <x:f>IF(AND(ISNUMBER(F19),ISNUMBER(G19),G19&gt;0,ISNUMBER(H19),H19&gt;0),"Base calculada","Pendente")</x:f>
        <x:v>Base calculada</x:v>
      </x:c>
      <x:c r="K19" s="2" t="str">
        <x:v>Des.05 — quadro P2-P0</x:v>
      </x:c>
      <x:c r="L19" s="9" t="str">
        <x:v>Quantidade/Ø conferidos no PDF. Base reta de 1 m; emendas, embebimentos e dobras medidos separadamente.</x:v>
      </x:c>
    </x:row>
    <x:row r="20" ht="44" customHeight="1">
      <x:c r="A20" s="2" t="str">
        <x:v>P2-P0</x:v>
      </x:c>
      <x:c r="B20" s="2" t="str">
        <x:v>Cinta 1</x:v>
      </x:c>
      <x:c r="C20" s="11" t="n">
        <x:v>8</x:v>
      </x:c>
      <x:c r="D20" s="11" t="n">
        <x:v>1</x:v>
      </x:c>
      <x:c r="E20" s="11" t="n">
        <x:f>'Pormenores PDF'!$B$9</x:f>
        <x:v>0.2</x:v>
      </x:c>
      <x:c r="F20" s="12" t="n">
        <x:f>IF(OR(NOT(ISNUMBER(D20)),D20&lt;=0),"Pendente",IF(E20="",D20,IF(E20&gt;0,D20/E20,"Pendente")))</x:f>
        <x:v>5</x:v>
      </x:c>
      <x:c r="G20" s="11"/>
      <x:c r="H20" s="12" t="n">
        <x:f>IF(COUNTIF('Como utilizar'!$D$7:$D$14,C20)=0,"Pendente",VLOOKUP(C20,'Como utilizar'!$D$7:$E$14,2,FALSE))</x:f>
        <x:v>0.395</x:v>
      </x:c>
      <x:c r="I20" s="12" t="str">
        <x:f>IF(J20="Pendente","Pendente",F20*G20*H20)</x:f>
        <x:v>Pendente</x:v>
      </x:c>
      <x:c r="J20" s="2" t="str">
        <x:f>IF(AND(ISNUMBER(F20),ISNUMBER(G20),G20&gt;0,ISNUMBER(H20),H20&gt;0),"Base calculada","Pendente")</x:f>
        <x:v>Pendente</x:v>
      </x:c>
      <x:c r="K20" s="2" t="str">
        <x:v>Des.05 — quadro P2-P0</x:v>
      </x:c>
      <x:c r="L20" s="9" t="str">
        <x:v>Passo normal conferido no PDF. Nas zonas a/2 usar contagem real e registar diferença em Acertos aço. Corte permanece por confirmar.</x:v>
      </x:c>
    </x:row>
    <x:row r="21" ht="44" customHeight="1">
      <x:c r="A21" s="2" t="str">
        <x:v>P2-P0</x:v>
      </x:c>
      <x:c r="B21" s="2" t="str">
        <x:v>Cinta 2</x:v>
      </x:c>
      <x:c r="C21" s="11" t="n">
        <x:v>8</x:v>
      </x:c>
      <x:c r="D21" s="11" t="n">
        <x:v>1</x:v>
      </x:c>
      <x:c r="E21" s="11" t="n">
        <x:f>'Pormenores PDF'!$B$9</x:f>
        <x:v>0.2</x:v>
      </x:c>
      <x:c r="F21" s="12" t="n">
        <x:f>IF(OR(NOT(ISNUMBER(D21)),D21&lt;=0),"Pendente",IF(E21="",D21,IF(E21&gt;0,D21/E21,"Pendente")))</x:f>
        <x:v>5</x:v>
      </x:c>
      <x:c r="G21" s="11"/>
      <x:c r="H21" s="12" t="n">
        <x:f>IF(COUNTIF('Como utilizar'!$D$7:$D$14,C21)=0,"Pendente",VLOOKUP(C21,'Como utilizar'!$D$7:$E$14,2,FALSE))</x:f>
        <x:v>0.395</x:v>
      </x:c>
      <x:c r="I21" s="12" t="str">
        <x:f>IF(J21="Pendente","Pendente",F21*G21*H21)</x:f>
        <x:v>Pendente</x:v>
      </x:c>
      <x:c r="J21" s="2" t="str">
        <x:f>IF(AND(ISNUMBER(F21),ISNUMBER(G21),G21&gt;0,ISNUMBER(H21),H21&gt;0),"Base calculada","Pendente")</x:f>
        <x:v>Pendente</x:v>
      </x:c>
      <x:c r="K21" s="2" t="str">
        <x:v>Des.05 — quadro P2-P0</x:v>
      </x:c>
      <x:c r="L21" s="9" t="str">
        <x:v>Passo normal conferido no PDF. Nas zonas a/2 usar contagem real e registar diferença em Acertos aço. Corte permanece por confirmar.</x:v>
      </x:c>
    </x:row>
    <x:row r="22" ht="44" customHeight="1">
      <x:c r="A22" s="2" t="str">
        <x:v>P2-P1</x:v>
      </x:c>
      <x:c r="B22" s="2" t="str">
        <x:v>Longitudinal 1</x:v>
      </x:c>
      <x:c r="C22" s="11" t="n">
        <x:v>16</x:v>
      </x:c>
      <x:c r="D22" s="11" t="n">
        <x:v>28</x:v>
      </x:c>
      <x:c r="E22" s="11"/>
      <x:c r="F22" s="12" t="n">
        <x:f>IF(OR(NOT(ISNUMBER(D22)),D22&lt;=0),"Pendente",IF(E22="",D22,IF(E22&gt;0,D22/E22,"Pendente")))</x:f>
        <x:v>28</x:v>
      </x:c>
      <x:c r="G22" s="11" t="n">
        <x:v>1</x:v>
      </x:c>
      <x:c r="H22" s="12" t="n">
        <x:f>IF(COUNTIF('Como utilizar'!$D$7:$D$14,C22)=0,"Pendente",VLOOKUP(C22,'Como utilizar'!$D$7:$E$14,2,FALSE))</x:f>
        <x:v>1.578</x:v>
      </x:c>
      <x:c r="I22" s="12" t="n">
        <x:f>IF(J22="Pendente","Pendente",F22*G22*H22)</x:f>
        <x:v>44.184000000000005</x:v>
      </x:c>
      <x:c r="J22" s="2" t="str">
        <x:f>IF(AND(ISNUMBER(F22),ISNUMBER(G22),G22&gt;0,ISNUMBER(H22),H22&gt;0),"Base calculada","Pendente")</x:f>
        <x:v>Base calculada</x:v>
      </x:c>
      <x:c r="K22" s="2" t="str">
        <x:v>Des.05 — quadro P2-P1</x:v>
      </x:c>
      <x:c r="L22" s="9" t="str">
        <x:v>Quantidade/Ø conferidos no PDF. Base reta de 1 m; emendas, embebimentos e dobras medidos separadamente.</x:v>
      </x:c>
    </x:row>
    <x:row r="23" ht="44" customHeight="1">
      <x:c r="A23" s="2" t="str">
        <x:v>P2-P1</x:v>
      </x:c>
      <x:c r="B23" s="2" t="str">
        <x:v>Cinta 1</x:v>
      </x:c>
      <x:c r="C23" s="11" t="n">
        <x:v>8</x:v>
      </x:c>
      <x:c r="D23" s="11" t="n">
        <x:v>1</x:v>
      </x:c>
      <x:c r="E23" s="11" t="n">
        <x:f>'Pormenores PDF'!$B$9</x:f>
        <x:v>0.2</x:v>
      </x:c>
      <x:c r="F23" s="12" t="n">
        <x:f>IF(OR(NOT(ISNUMBER(D23)),D23&lt;=0),"Pendente",IF(E23="",D23,IF(E23&gt;0,D23/E23,"Pendente")))</x:f>
        <x:v>5</x:v>
      </x:c>
      <x:c r="G23" s="11"/>
      <x:c r="H23" s="12" t="n">
        <x:f>IF(COUNTIF('Como utilizar'!$D$7:$D$14,C23)=0,"Pendente",VLOOKUP(C23,'Como utilizar'!$D$7:$E$14,2,FALSE))</x:f>
        <x:v>0.395</x:v>
      </x:c>
      <x:c r="I23" s="12" t="str">
        <x:f>IF(J23="Pendente","Pendente",F23*G23*H23)</x:f>
        <x:v>Pendente</x:v>
      </x:c>
      <x:c r="J23" s="2" t="str">
        <x:f>IF(AND(ISNUMBER(F23),ISNUMBER(G23),G23&gt;0,ISNUMBER(H23),H23&gt;0),"Base calculada","Pendente")</x:f>
        <x:v>Pendente</x:v>
      </x:c>
      <x:c r="K23" s="2" t="str">
        <x:v>Des.05 — quadro P2-P1</x:v>
      </x:c>
      <x:c r="L23" s="9" t="str">
        <x:v>Passo normal conferido no PDF. Nas zonas a/2 usar contagem real e registar diferença em Acertos aço. Corte permanece por confirmar.</x:v>
      </x:c>
    </x:row>
    <x:row r="24" ht="44" customHeight="1">
      <x:c r="A24" s="2" t="str">
        <x:v>P2-P1</x:v>
      </x:c>
      <x:c r="B24" s="2" t="str">
        <x:v>Cinta 2</x:v>
      </x:c>
      <x:c r="C24" s="11" t="n">
        <x:v>8</x:v>
      </x:c>
      <x:c r="D24" s="11" t="n">
        <x:v>1</x:v>
      </x:c>
      <x:c r="E24" s="11" t="n">
        <x:f>'Pormenores PDF'!$B$9</x:f>
        <x:v>0.2</x:v>
      </x:c>
      <x:c r="F24" s="12" t="n">
        <x:f>IF(OR(NOT(ISNUMBER(D24)),D24&lt;=0),"Pendente",IF(E24="",D24,IF(E24&gt;0,D24/E24,"Pendente")))</x:f>
        <x:v>5</x:v>
      </x:c>
      <x:c r="G24" s="11"/>
      <x:c r="H24" s="12" t="n">
        <x:f>IF(COUNTIF('Como utilizar'!$D$7:$D$14,C24)=0,"Pendente",VLOOKUP(C24,'Como utilizar'!$D$7:$E$14,2,FALSE))</x:f>
        <x:v>0.395</x:v>
      </x:c>
      <x:c r="I24" s="12" t="str">
        <x:f>IF(J24="Pendente","Pendente",F24*G24*H24)</x:f>
        <x:v>Pendente</x:v>
      </x:c>
      <x:c r="J24" s="2" t="str">
        <x:f>IF(AND(ISNUMBER(F24),ISNUMBER(G24),G24&gt;0,ISNUMBER(H24),H24&gt;0),"Base calculada","Pendente")</x:f>
        <x:v>Pendente</x:v>
      </x:c>
      <x:c r="K24" s="2" t="str">
        <x:v>Des.05 — quadro P2-P1</x:v>
      </x:c>
      <x:c r="L24" s="9" t="str">
        <x:v>Passo normal conferido no PDF. Nas zonas a/2 usar contagem real e registar diferença em Acertos aço. Corte permanece por confirmar.</x:v>
      </x:c>
    </x:row>
    <x:row r="25" ht="44" customHeight="1">
      <x:c r="A25" s="2" t="str">
        <x:v>P3-P0</x:v>
      </x:c>
      <x:c r="B25" s="2" t="str">
        <x:v>Longitudinal 1</x:v>
      </x:c>
      <x:c r="C25" s="11" t="n">
        <x:v>16</x:v>
      </x:c>
      <x:c r="D25" s="11" t="n">
        <x:v>6</x:v>
      </x:c>
      <x:c r="E25" s="11"/>
      <x:c r="F25" s="12" t="n">
        <x:f>IF(OR(NOT(ISNUMBER(D25)),D25&lt;=0),"Pendente",IF(E25="",D25,IF(E25&gt;0,D25/E25,"Pendente")))</x:f>
        <x:v>6</x:v>
      </x:c>
      <x:c r="G25" s="11" t="n">
        <x:v>1</x:v>
      </x:c>
      <x:c r="H25" s="12" t="n">
        <x:f>IF(COUNTIF('Como utilizar'!$D$7:$D$14,C25)=0,"Pendente",VLOOKUP(C25,'Como utilizar'!$D$7:$E$14,2,FALSE))</x:f>
        <x:v>1.578</x:v>
      </x:c>
      <x:c r="I25" s="12" t="n">
        <x:f>IF(J25="Pendente","Pendente",F25*G25*H25)</x:f>
        <x:v>9.468</x:v>
      </x:c>
      <x:c r="J25" s="2" t="str">
        <x:f>IF(AND(ISNUMBER(F25),ISNUMBER(G25),G25&gt;0,ISNUMBER(H25),H25&gt;0),"Base calculada","Pendente")</x:f>
        <x:v>Base calculada</x:v>
      </x:c>
      <x:c r="K25" s="2" t="str">
        <x:v>Des.05 — quadro P3-P0</x:v>
      </x:c>
      <x:c r="L25" s="9" t="str">
        <x:v>Quantidade/Ø conferidos no PDF. Base reta de 1 m; emendas, embebimentos e dobras medidos separadamente.</x:v>
      </x:c>
    </x:row>
    <x:row r="26" ht="44" customHeight="1">
      <x:c r="A26" s="2" t="str">
        <x:v>P3-P0</x:v>
      </x:c>
      <x:c r="B26" s="2" t="str">
        <x:v>Longitudinal 2</x:v>
      </x:c>
      <x:c r="C26" s="11" t="n">
        <x:v>12</x:v>
      </x:c>
      <x:c r="D26" s="11" t="n">
        <x:v>6</x:v>
      </x:c>
      <x:c r="E26" s="11"/>
      <x:c r="F26" s="12" t="n">
        <x:f>IF(OR(NOT(ISNUMBER(D26)),D26&lt;=0),"Pendente",IF(E26="",D26,IF(E26&gt;0,D26/E26,"Pendente")))</x:f>
        <x:v>6</x:v>
      </x:c>
      <x:c r="G26" s="11" t="n">
        <x:v>1</x:v>
      </x:c>
      <x:c r="H26" s="12" t="n">
        <x:f>IF(COUNTIF('Como utilizar'!$D$7:$D$14,C26)=0,"Pendente",VLOOKUP(C26,'Como utilizar'!$D$7:$E$14,2,FALSE))</x:f>
        <x:v>0.888</x:v>
      </x:c>
      <x:c r="I26" s="12" t="n">
        <x:f>IF(J26="Pendente","Pendente",F26*G26*H26)</x:f>
        <x:v>5.328</x:v>
      </x:c>
      <x:c r="J26" s="2" t="str">
        <x:f>IF(AND(ISNUMBER(F26),ISNUMBER(G26),G26&gt;0,ISNUMBER(H26),H26&gt;0),"Base calculada","Pendente")</x:f>
        <x:v>Base calculada</x:v>
      </x:c>
      <x:c r="K26" s="2" t="str">
        <x:v>Des.05 — quadro P3-P0</x:v>
      </x:c>
      <x:c r="L26" s="9" t="str">
        <x:v>Quantidade/Ø conferidos no PDF. Base reta de 1 m; emendas, embebimentos e dobras medidos separadamente.</x:v>
      </x:c>
    </x:row>
    <x:row r="27" ht="44" customHeight="1">
      <x:c r="A27" s="2" t="str">
        <x:v>P3-P0</x:v>
      </x:c>
      <x:c r="B27" s="2" t="str">
        <x:v>Cinta 1</x:v>
      </x:c>
      <x:c r="C27" s="11" t="n">
        <x:v>8</x:v>
      </x:c>
      <x:c r="D27" s="11" t="n">
        <x:v>1</x:v>
      </x:c>
      <x:c r="E27" s="11" t="n">
        <x:f>'Pormenores PDF'!$B$9</x:f>
        <x:v>0.2</x:v>
      </x:c>
      <x:c r="F27" s="12" t="n">
        <x:f>IF(OR(NOT(ISNUMBER(D27)),D27&lt;=0),"Pendente",IF(E27="",D27,IF(E27&gt;0,D27/E27,"Pendente")))</x:f>
        <x:v>5</x:v>
      </x:c>
      <x:c r="G27" s="11"/>
      <x:c r="H27" s="12" t="n">
        <x:f>IF(COUNTIF('Como utilizar'!$D$7:$D$14,C27)=0,"Pendente",VLOOKUP(C27,'Como utilizar'!$D$7:$E$14,2,FALSE))</x:f>
        <x:v>0.395</x:v>
      </x:c>
      <x:c r="I27" s="12" t="str">
        <x:f>IF(J27="Pendente","Pendente",F27*G27*H27)</x:f>
        <x:v>Pendente</x:v>
      </x:c>
      <x:c r="J27" s="2" t="str">
        <x:f>IF(AND(ISNUMBER(F27),ISNUMBER(G27),G27&gt;0,ISNUMBER(H27),H27&gt;0),"Base calculada","Pendente")</x:f>
        <x:v>Pendente</x:v>
      </x:c>
      <x:c r="K27" s="2" t="str">
        <x:v>Des.05 — quadro P3-P0</x:v>
      </x:c>
      <x:c r="L27" s="9" t="str">
        <x:v>Passo normal conferido no PDF. Nas zonas a/2 usar contagem real e registar diferença em Acertos aço. Corte permanece por confirmar.</x:v>
      </x:c>
    </x:row>
    <x:row r="28" ht="44" customHeight="1">
      <x:c r="A28" s="2" t="str">
        <x:v>P4-P1</x:v>
      </x:c>
      <x:c r="B28" s="2" t="str">
        <x:v>Longitudinal 1</x:v>
      </x:c>
      <x:c r="C28" s="11" t="n">
        <x:v>16</x:v>
      </x:c>
      <x:c r="D28" s="11" t="n">
        <x:v>6</x:v>
      </x:c>
      <x:c r="E28" s="11"/>
      <x:c r="F28" s="12" t="n">
        <x:f>IF(OR(NOT(ISNUMBER(D28)),D28&lt;=0),"Pendente",IF(E28="",D28,IF(E28&gt;0,D28/E28,"Pendente")))</x:f>
        <x:v>6</x:v>
      </x:c>
      <x:c r="G28" s="11" t="n">
        <x:v>1</x:v>
      </x:c>
      <x:c r="H28" s="12" t="n">
        <x:f>IF(COUNTIF('Como utilizar'!$D$7:$D$14,C28)=0,"Pendente",VLOOKUP(C28,'Como utilizar'!$D$7:$E$14,2,FALSE))</x:f>
        <x:v>1.578</x:v>
      </x:c>
      <x:c r="I28" s="12" t="n">
        <x:f>IF(J28="Pendente","Pendente",F28*G28*H28)</x:f>
        <x:v>9.468</x:v>
      </x:c>
      <x:c r="J28" s="2" t="str">
        <x:f>IF(AND(ISNUMBER(F28),ISNUMBER(G28),G28&gt;0,ISNUMBER(H28),H28&gt;0),"Base calculada","Pendente")</x:f>
        <x:v>Base calculada</x:v>
      </x:c>
      <x:c r="K28" s="2" t="str">
        <x:v>Des.05 — quadro P4-P1</x:v>
      </x:c>
      <x:c r="L28" s="9" t="str">
        <x:v>Quantidade/Ø conferidos no PDF. Base reta de 1 m; emendas, embebimentos e dobras medidos separadamente.</x:v>
      </x:c>
    </x:row>
    <x:row r="29" ht="44" customHeight="1">
      <x:c r="A29" s="2" t="str">
        <x:v>P4-P1</x:v>
      </x:c>
      <x:c r="B29" s="2" t="str">
        <x:v>Longitudinal 2</x:v>
      </x:c>
      <x:c r="C29" s="11" t="n">
        <x:v>12</x:v>
      </x:c>
      <x:c r="D29" s="11" t="n">
        <x:v>6</x:v>
      </x:c>
      <x:c r="E29" s="11"/>
      <x:c r="F29" s="12" t="n">
        <x:f>IF(OR(NOT(ISNUMBER(D29)),D29&lt;=0),"Pendente",IF(E29="",D29,IF(E29&gt;0,D29/E29,"Pendente")))</x:f>
        <x:v>6</x:v>
      </x:c>
      <x:c r="G29" s="11" t="n">
        <x:v>1</x:v>
      </x:c>
      <x:c r="H29" s="12" t="n">
        <x:f>IF(COUNTIF('Como utilizar'!$D$7:$D$14,C29)=0,"Pendente",VLOOKUP(C29,'Como utilizar'!$D$7:$E$14,2,FALSE))</x:f>
        <x:v>0.888</x:v>
      </x:c>
      <x:c r="I29" s="12" t="n">
        <x:f>IF(J29="Pendente","Pendente",F29*G29*H29)</x:f>
        <x:v>5.328</x:v>
      </x:c>
      <x:c r="J29" s="2" t="str">
        <x:f>IF(AND(ISNUMBER(F29),ISNUMBER(G29),G29&gt;0,ISNUMBER(H29),H29&gt;0),"Base calculada","Pendente")</x:f>
        <x:v>Base calculada</x:v>
      </x:c>
      <x:c r="K29" s="2" t="str">
        <x:v>Des.05 — quadro P4-P1</x:v>
      </x:c>
      <x:c r="L29" s="9" t="str">
        <x:v>Quantidade/Ø conferidos no PDF. Base reta de 1 m; emendas, embebimentos e dobras medidos separadamente.</x:v>
      </x:c>
    </x:row>
    <x:row r="30" ht="44" customHeight="1">
      <x:c r="A30" s="2" t="str">
        <x:v>P4-P1</x:v>
      </x:c>
      <x:c r="B30" s="2" t="str">
        <x:v>Cinta 1</x:v>
      </x:c>
      <x:c r="C30" s="11" t="n">
        <x:v>8</x:v>
      </x:c>
      <x:c r="D30" s="11" t="n">
        <x:v>1</x:v>
      </x:c>
      <x:c r="E30" s="11" t="n">
        <x:f>'Pormenores PDF'!$B$9</x:f>
        <x:v>0.2</x:v>
      </x:c>
      <x:c r="F30" s="12" t="n">
        <x:f>IF(OR(NOT(ISNUMBER(D30)),D30&lt;=0),"Pendente",IF(E30="",D30,IF(E30&gt;0,D30/E30,"Pendente")))</x:f>
        <x:v>5</x:v>
      </x:c>
      <x:c r="G30" s="11"/>
      <x:c r="H30" s="12" t="n">
        <x:f>IF(COUNTIF('Como utilizar'!$D$7:$D$14,C30)=0,"Pendente",VLOOKUP(C30,'Como utilizar'!$D$7:$E$14,2,FALSE))</x:f>
        <x:v>0.395</x:v>
      </x:c>
      <x:c r="I30" s="12" t="str">
        <x:f>IF(J30="Pendente","Pendente",F30*G30*H30)</x:f>
        <x:v>Pendente</x:v>
      </x:c>
      <x:c r="J30" s="2" t="str">
        <x:f>IF(AND(ISNUMBER(F30),ISNUMBER(G30),G30&gt;0,ISNUMBER(H30),H30&gt;0),"Base calculada","Pendente")</x:f>
        <x:v>Pendente</x:v>
      </x:c>
      <x:c r="K30" s="2" t="str">
        <x:v>Des.05 — quadro P4-P1</x:v>
      </x:c>
      <x:c r="L30" s="9" t="str">
        <x:v>Passo normal conferido no PDF. Nas zonas a/2 usar contagem real e registar diferença em Acertos aço. Corte permanece por confirmar.</x:v>
      </x:c>
    </x:row>
    <x:row r="31" ht="44" customHeight="1">
      <x:c r="A31" s="2" t="str">
        <x:v>P4-COB</x:v>
      </x:c>
      <x:c r="B31" s="2" t="str">
        <x:v>Longitudinal 1</x:v>
      </x:c>
      <x:c r="C31" s="11" t="n">
        <x:v>16</x:v>
      </x:c>
      <x:c r="D31" s="11" t="n">
        <x:v>6</x:v>
      </x:c>
      <x:c r="E31" s="11"/>
      <x:c r="F31" s="12" t="n">
        <x:f>IF(OR(NOT(ISNUMBER(D31)),D31&lt;=0),"Pendente",IF(E31="",D31,IF(E31&gt;0,D31/E31,"Pendente")))</x:f>
        <x:v>6</x:v>
      </x:c>
      <x:c r="G31" s="11" t="n">
        <x:v>1</x:v>
      </x:c>
      <x:c r="H31" s="12" t="n">
        <x:f>IF(COUNTIF('Como utilizar'!$D$7:$D$14,C31)=0,"Pendente",VLOOKUP(C31,'Como utilizar'!$D$7:$E$14,2,FALSE))</x:f>
        <x:v>1.578</x:v>
      </x:c>
      <x:c r="I31" s="12" t="n">
        <x:f>IF(J31="Pendente","Pendente",F31*G31*H31)</x:f>
        <x:v>9.468</x:v>
      </x:c>
      <x:c r="J31" s="2" t="str">
        <x:f>IF(AND(ISNUMBER(F31),ISNUMBER(G31),G31&gt;0,ISNUMBER(H31),H31&gt;0),"Base calculada","Pendente")</x:f>
        <x:v>Base calculada</x:v>
      </x:c>
      <x:c r="K31" s="2" t="str">
        <x:v>Des.05 — quadro P4-COB</x:v>
      </x:c>
      <x:c r="L31" s="9" t="str">
        <x:v>Quantidade/Ø conferidos no PDF. Base reta de 1 m; emendas, embebimentos e dobras medidos separadamente.</x:v>
      </x:c>
    </x:row>
    <x:row r="32" ht="44" customHeight="1">
      <x:c r="A32" s="2" t="str">
        <x:v>P4-COB</x:v>
      </x:c>
      <x:c r="B32" s="2" t="str">
        <x:v>Longitudinal 2</x:v>
      </x:c>
      <x:c r="C32" s="11" t="n">
        <x:v>12</x:v>
      </x:c>
      <x:c r="D32" s="11" t="n">
        <x:v>6</x:v>
      </x:c>
      <x:c r="E32" s="11"/>
      <x:c r="F32" s="12" t="n">
        <x:f>IF(OR(NOT(ISNUMBER(D32)),D32&lt;=0),"Pendente",IF(E32="",D32,IF(E32&gt;0,D32/E32,"Pendente")))</x:f>
        <x:v>6</x:v>
      </x:c>
      <x:c r="G32" s="11" t="n">
        <x:v>1</x:v>
      </x:c>
      <x:c r="H32" s="12" t="n">
        <x:f>IF(COUNTIF('Como utilizar'!$D$7:$D$14,C32)=0,"Pendente",VLOOKUP(C32,'Como utilizar'!$D$7:$E$14,2,FALSE))</x:f>
        <x:v>0.888</x:v>
      </x:c>
      <x:c r="I32" s="12" t="n">
        <x:f>IF(J32="Pendente","Pendente",F32*G32*H32)</x:f>
        <x:v>5.328</x:v>
      </x:c>
      <x:c r="J32" s="2" t="str">
        <x:f>IF(AND(ISNUMBER(F32),ISNUMBER(G32),G32&gt;0,ISNUMBER(H32),H32&gt;0),"Base calculada","Pendente")</x:f>
        <x:v>Base calculada</x:v>
      </x:c>
      <x:c r="K32" s="2" t="str">
        <x:v>Des.05 — quadro P4-COB</x:v>
      </x:c>
      <x:c r="L32" s="9" t="str">
        <x:v>Quantidade/Ø conferidos no PDF. Base reta de 1 m; emendas, embebimentos e dobras medidos separadamente.</x:v>
      </x:c>
    </x:row>
    <x:row r="33" ht="44" customHeight="1">
      <x:c r="A33" s="2" t="str">
        <x:v>P4-COB</x:v>
      </x:c>
      <x:c r="B33" s="2" t="str">
        <x:v>Cinta 1</x:v>
      </x:c>
      <x:c r="C33" s="11" t="n">
        <x:v>8</x:v>
      </x:c>
      <x:c r="D33" s="11" t="n">
        <x:v>1</x:v>
      </x:c>
      <x:c r="E33" s="11" t="n">
        <x:f>'Pormenores PDF'!$B$9</x:f>
        <x:v>0.2</x:v>
      </x:c>
      <x:c r="F33" s="12" t="n">
        <x:f>IF(OR(NOT(ISNUMBER(D33)),D33&lt;=0),"Pendente",IF(E33="",D33,IF(E33&gt;0,D33/E33,"Pendente")))</x:f>
        <x:v>5</x:v>
      </x:c>
      <x:c r="G33" s="11"/>
      <x:c r="H33" s="12" t="n">
        <x:f>IF(COUNTIF('Como utilizar'!$D$7:$D$14,C33)=0,"Pendente",VLOOKUP(C33,'Como utilizar'!$D$7:$E$14,2,FALSE))</x:f>
        <x:v>0.395</x:v>
      </x:c>
      <x:c r="I33" s="12" t="str">
        <x:f>IF(J33="Pendente","Pendente",F33*G33*H33)</x:f>
        <x:v>Pendente</x:v>
      </x:c>
      <x:c r="J33" s="2" t="str">
        <x:f>IF(AND(ISNUMBER(F33),ISNUMBER(G33),G33&gt;0,ISNUMBER(H33),H33&gt;0),"Base calculada","Pendente")</x:f>
        <x:v>Pendente</x:v>
      </x:c>
      <x:c r="K33" s="2" t="str">
        <x:v>Des.05 — quadro P4-COB</x:v>
      </x:c>
      <x:c r="L33" s="9" t="str">
        <x:v>Passo normal conferido no PDF. Nas zonas a/2 usar contagem real e registar diferença em Acertos aço. Corte permanece por confirmar.</x:v>
      </x:c>
    </x:row>
    <x:row r="34" ht="44" customHeight="1">
      <x:c r="A34" s="2" t="str">
        <x:v>P5-P1</x:v>
      </x:c>
      <x:c r="B34" s="2" t="str">
        <x:v>Longitudinal 1</x:v>
      </x:c>
      <x:c r="C34" s="11" t="n">
        <x:v>16</x:v>
      </x:c>
      <x:c r="D34" s="11" t="n">
        <x:v>6</x:v>
      </x:c>
      <x:c r="E34" s="11"/>
      <x:c r="F34" s="12" t="n">
        <x:f>IF(OR(NOT(ISNUMBER(D34)),D34&lt;=0),"Pendente",IF(E34="",D34,IF(E34&gt;0,D34/E34,"Pendente")))</x:f>
        <x:v>6</x:v>
      </x:c>
      <x:c r="G34" s="11" t="n">
        <x:v>1</x:v>
      </x:c>
      <x:c r="H34" s="12" t="n">
        <x:f>IF(COUNTIF('Como utilizar'!$D$7:$D$14,C34)=0,"Pendente",VLOOKUP(C34,'Como utilizar'!$D$7:$E$14,2,FALSE))</x:f>
        <x:v>1.578</x:v>
      </x:c>
      <x:c r="I34" s="12" t="n">
        <x:f>IF(J34="Pendente","Pendente",F34*G34*H34)</x:f>
        <x:v>9.468</x:v>
      </x:c>
      <x:c r="J34" s="2" t="str">
        <x:f>IF(AND(ISNUMBER(F34),ISNUMBER(G34),G34&gt;0,ISNUMBER(H34),H34&gt;0),"Base calculada","Pendente")</x:f>
        <x:v>Base calculada</x:v>
      </x:c>
      <x:c r="K34" s="2" t="str">
        <x:v>Des.05 — quadro P5-P1</x:v>
      </x:c>
      <x:c r="L34" s="9" t="str">
        <x:v>Quantidade/Ø conferidos no PDF. Base reta de 1 m; emendas, embebimentos e dobras medidos separadamente.</x:v>
      </x:c>
    </x:row>
    <x:row r="35" ht="44" customHeight="1">
      <x:c r="A35" s="2" t="str">
        <x:v>P5-P1</x:v>
      </x:c>
      <x:c r="B35" s="2" t="str">
        <x:v>Longitudinal 2</x:v>
      </x:c>
      <x:c r="C35" s="11" t="n">
        <x:v>12</x:v>
      </x:c>
      <x:c r="D35" s="11" t="n">
        <x:v>6</x:v>
      </x:c>
      <x:c r="E35" s="11"/>
      <x:c r="F35" s="12" t="n">
        <x:f>IF(OR(NOT(ISNUMBER(D35)),D35&lt;=0),"Pendente",IF(E35="",D35,IF(E35&gt;0,D35/E35,"Pendente")))</x:f>
        <x:v>6</x:v>
      </x:c>
      <x:c r="G35" s="11" t="n">
        <x:v>1</x:v>
      </x:c>
      <x:c r="H35" s="12" t="n">
        <x:f>IF(COUNTIF('Como utilizar'!$D$7:$D$14,C35)=0,"Pendente",VLOOKUP(C35,'Como utilizar'!$D$7:$E$14,2,FALSE))</x:f>
        <x:v>0.888</x:v>
      </x:c>
      <x:c r="I35" s="12" t="n">
        <x:f>IF(J35="Pendente","Pendente",F35*G35*H35)</x:f>
        <x:v>5.328</x:v>
      </x:c>
      <x:c r="J35" s="2" t="str">
        <x:f>IF(AND(ISNUMBER(F35),ISNUMBER(G35),G35&gt;0,ISNUMBER(H35),H35&gt;0),"Base calculada","Pendente")</x:f>
        <x:v>Base calculada</x:v>
      </x:c>
      <x:c r="K35" s="2" t="str">
        <x:v>Des.05 — quadro P5-P1</x:v>
      </x:c>
      <x:c r="L35" s="9" t="str">
        <x:v>Quantidade/Ø conferidos no PDF. Base reta de 1 m; emendas, embebimentos e dobras medidos separadamente.</x:v>
      </x:c>
    </x:row>
    <x:row r="36" ht="44" customHeight="1">
      <x:c r="A36" s="2" t="str">
        <x:v>P5-P1</x:v>
      </x:c>
      <x:c r="B36" s="2" t="str">
        <x:v>Cinta 1</x:v>
      </x:c>
      <x:c r="C36" s="11" t="n">
        <x:v>8</x:v>
      </x:c>
      <x:c r="D36" s="11" t="n">
        <x:v>1</x:v>
      </x:c>
      <x:c r="E36" s="11" t="n">
        <x:f>'Pormenores PDF'!$B$9</x:f>
        <x:v>0.2</x:v>
      </x:c>
      <x:c r="F36" s="12" t="n">
        <x:f>IF(OR(NOT(ISNUMBER(D36)),D36&lt;=0),"Pendente",IF(E36="",D36,IF(E36&gt;0,D36/E36,"Pendente")))</x:f>
        <x:v>5</x:v>
      </x:c>
      <x:c r="G36" s="11"/>
      <x:c r="H36" s="12" t="n">
        <x:f>IF(COUNTIF('Como utilizar'!$D$7:$D$14,C36)=0,"Pendente",VLOOKUP(C36,'Como utilizar'!$D$7:$E$14,2,FALSE))</x:f>
        <x:v>0.395</x:v>
      </x:c>
      <x:c r="I36" s="12" t="str">
        <x:f>IF(J36="Pendente","Pendente",F36*G36*H36)</x:f>
        <x:v>Pendente</x:v>
      </x:c>
      <x:c r="J36" s="2" t="str">
        <x:f>IF(AND(ISNUMBER(F36),ISNUMBER(G36),G36&gt;0,ISNUMBER(H36),H36&gt;0),"Base calculada","Pendente")</x:f>
        <x:v>Pendente</x:v>
      </x:c>
      <x:c r="K36" s="2" t="str">
        <x:v>Des.05 — quadro P5-P1</x:v>
      </x:c>
      <x:c r="L36" s="9" t="str">
        <x:v>Passo normal conferido no PDF. Nas zonas a/2 usar contagem real e registar diferença em Acertos aço. Corte permanece por confirmar.</x:v>
      </x:c>
    </x:row>
    <x:row r="37" ht="44" customHeight="1">
      <x:c r="A37" s="2" t="str">
        <x:v>P6-P0</x:v>
      </x:c>
      <x:c r="B37" s="2" t="str">
        <x:v>Longitudinal 1</x:v>
      </x:c>
      <x:c r="C37" s="11" t="n">
        <x:v>20</x:v>
      </x:c>
      <x:c r="D37" s="11" t="n">
        <x:v>8</x:v>
      </x:c>
      <x:c r="E37" s="11"/>
      <x:c r="F37" s="12" t="n">
        <x:f>IF(OR(NOT(ISNUMBER(D37)),D37&lt;=0),"Pendente",IF(E37="",D37,IF(E37&gt;0,D37/E37,"Pendente")))</x:f>
        <x:v>8</x:v>
      </x:c>
      <x:c r="G37" s="11" t="n">
        <x:v>1</x:v>
      </x:c>
      <x:c r="H37" s="12" t="n">
        <x:f>IF(COUNTIF('Como utilizar'!$D$7:$D$14,C37)=0,"Pendente",VLOOKUP(C37,'Como utilizar'!$D$7:$E$14,2,FALSE))</x:f>
        <x:v>2.466</x:v>
      </x:c>
      <x:c r="I37" s="12" t="n">
        <x:f>IF(J37="Pendente","Pendente",F37*G37*H37)</x:f>
        <x:v>19.728</x:v>
      </x:c>
      <x:c r="J37" s="2" t="str">
        <x:f>IF(AND(ISNUMBER(F37),ISNUMBER(G37),G37&gt;0,ISNUMBER(H37),H37&gt;0),"Base calculada","Pendente")</x:f>
        <x:v>Base calculada</x:v>
      </x:c>
      <x:c r="K37" s="2" t="str">
        <x:v>Des.05 — quadro P6-P0</x:v>
      </x:c>
      <x:c r="L37" s="9" t="str">
        <x:v>Quantidade/Ø conferidos no PDF. Base reta de 1 m; emendas, embebimentos e dobras medidos separadamente.</x:v>
      </x:c>
    </x:row>
    <x:row r="38" ht="44" customHeight="1">
      <x:c r="A38" s="2" t="str">
        <x:v>P6-P0</x:v>
      </x:c>
      <x:c r="B38" s="2" t="str">
        <x:v>Longitudinal 2</x:v>
      </x:c>
      <x:c r="C38" s="11" t="n">
        <x:v>16</x:v>
      </x:c>
      <x:c r="D38" s="11" t="n">
        <x:v>4</x:v>
      </x:c>
      <x:c r="E38" s="11"/>
      <x:c r="F38" s="12" t="n">
        <x:f>IF(OR(NOT(ISNUMBER(D38)),D38&lt;=0),"Pendente",IF(E38="",D38,IF(E38&gt;0,D38/E38,"Pendente")))</x:f>
        <x:v>4</x:v>
      </x:c>
      <x:c r="G38" s="11" t="n">
        <x:v>1</x:v>
      </x:c>
      <x:c r="H38" s="12" t="n">
        <x:f>IF(COUNTIF('Como utilizar'!$D$7:$D$14,C38)=0,"Pendente",VLOOKUP(C38,'Como utilizar'!$D$7:$E$14,2,FALSE))</x:f>
        <x:v>1.578</x:v>
      </x:c>
      <x:c r="I38" s="12" t="n">
        <x:f>IF(J38="Pendente","Pendente",F38*G38*H38)</x:f>
        <x:v>6.312</x:v>
      </x:c>
      <x:c r="J38" s="2" t="str">
        <x:f>IF(AND(ISNUMBER(F38),ISNUMBER(G38),G38&gt;0,ISNUMBER(H38),H38&gt;0),"Base calculada","Pendente")</x:f>
        <x:v>Base calculada</x:v>
      </x:c>
      <x:c r="K38" s="2" t="str">
        <x:v>Des.05 — quadro P6-P0</x:v>
      </x:c>
      <x:c r="L38" s="9" t="str">
        <x:v>Quantidade/Ø conferidos no PDF. Base reta de 1 m; emendas, embebimentos e dobras medidos separadamente.</x:v>
      </x:c>
    </x:row>
    <x:row r="39" ht="44" customHeight="1">
      <x:c r="A39" s="2" t="str">
        <x:v>P6-P0</x:v>
      </x:c>
      <x:c r="B39" s="2" t="str">
        <x:v>Cinta 1</x:v>
      </x:c>
      <x:c r="C39" s="11" t="n">
        <x:v>8</x:v>
      </x:c>
      <x:c r="D39" s="11" t="n">
        <x:v>1</x:v>
      </x:c>
      <x:c r="E39" s="11" t="n">
        <x:f>'Pormenores PDF'!$B$9</x:f>
        <x:v>0.2</x:v>
      </x:c>
      <x:c r="F39" s="12" t="n">
        <x:f>IF(OR(NOT(ISNUMBER(D39)),D39&lt;=0),"Pendente",IF(E39="",D39,IF(E39&gt;0,D39/E39,"Pendente")))</x:f>
        <x:v>5</x:v>
      </x:c>
      <x:c r="G39" s="11"/>
      <x:c r="H39" s="12" t="n">
        <x:f>IF(COUNTIF('Como utilizar'!$D$7:$D$14,C39)=0,"Pendente",VLOOKUP(C39,'Como utilizar'!$D$7:$E$14,2,FALSE))</x:f>
        <x:v>0.395</x:v>
      </x:c>
      <x:c r="I39" s="12" t="str">
        <x:f>IF(J39="Pendente","Pendente",F39*G39*H39)</x:f>
        <x:v>Pendente</x:v>
      </x:c>
      <x:c r="J39" s="2" t="str">
        <x:f>IF(AND(ISNUMBER(F39),ISNUMBER(G39),G39&gt;0,ISNUMBER(H39),H39&gt;0),"Base calculada","Pendente")</x:f>
        <x:v>Pendente</x:v>
      </x:c>
      <x:c r="K39" s="2" t="str">
        <x:v>Des.05 — quadro P6-P0</x:v>
      </x:c>
      <x:c r="L39" s="9" t="str">
        <x:v>Passo normal conferido no PDF. Nas zonas a/2 usar contagem real e registar diferença em Acertos aço. Corte permanece por confirmar.</x:v>
      </x:c>
    </x:row>
    <x:row r="40" ht="44" customHeight="1">
      <x:c r="A40" s="2" t="str">
        <x:v>P6-P1</x:v>
      </x:c>
      <x:c r="B40" s="2" t="str">
        <x:v>Longitudinal 1</x:v>
      </x:c>
      <x:c r="C40" s="11" t="n">
        <x:v>20</x:v>
      </x:c>
      <x:c r="D40" s="11" t="n">
        <x:v>8</x:v>
      </x:c>
      <x:c r="E40" s="11"/>
      <x:c r="F40" s="12" t="n">
        <x:f>IF(OR(NOT(ISNUMBER(D40)),D40&lt;=0),"Pendente",IF(E40="",D40,IF(E40&gt;0,D40/E40,"Pendente")))</x:f>
        <x:v>8</x:v>
      </x:c>
      <x:c r="G40" s="11" t="n">
        <x:v>1</x:v>
      </x:c>
      <x:c r="H40" s="12" t="n">
        <x:f>IF(COUNTIF('Como utilizar'!$D$7:$D$14,C40)=0,"Pendente",VLOOKUP(C40,'Como utilizar'!$D$7:$E$14,2,FALSE))</x:f>
        <x:v>2.466</x:v>
      </x:c>
      <x:c r="I40" s="12" t="n">
        <x:f>IF(J40="Pendente","Pendente",F40*G40*H40)</x:f>
        <x:v>19.728</x:v>
      </x:c>
      <x:c r="J40" s="2" t="str">
        <x:f>IF(AND(ISNUMBER(F40),ISNUMBER(G40),G40&gt;0,ISNUMBER(H40),H40&gt;0),"Base calculada","Pendente")</x:f>
        <x:v>Base calculada</x:v>
      </x:c>
      <x:c r="K40" s="2" t="str">
        <x:v>Des.05 — quadro P6-P1</x:v>
      </x:c>
      <x:c r="L40" s="9" t="str">
        <x:v>Quantidade/Ø conferidos no PDF. Base reta de 1 m; emendas, embebimentos e dobras medidos separadamente.</x:v>
      </x:c>
    </x:row>
    <x:row r="41" ht="44" customHeight="1">
      <x:c r="A41" s="2" t="str">
        <x:v>P6-P1</x:v>
      </x:c>
      <x:c r="B41" s="2" t="str">
        <x:v>Longitudinal 2</x:v>
      </x:c>
      <x:c r="C41" s="11" t="n">
        <x:v>16</x:v>
      </x:c>
      <x:c r="D41" s="11" t="n">
        <x:v>4</x:v>
      </x:c>
      <x:c r="E41" s="11"/>
      <x:c r="F41" s="12" t="n">
        <x:f>IF(OR(NOT(ISNUMBER(D41)),D41&lt;=0),"Pendente",IF(E41="",D41,IF(E41&gt;0,D41/E41,"Pendente")))</x:f>
        <x:v>4</x:v>
      </x:c>
      <x:c r="G41" s="11" t="n">
        <x:v>1</x:v>
      </x:c>
      <x:c r="H41" s="12" t="n">
        <x:f>IF(COUNTIF('Como utilizar'!$D$7:$D$14,C41)=0,"Pendente",VLOOKUP(C41,'Como utilizar'!$D$7:$E$14,2,FALSE))</x:f>
        <x:v>1.578</x:v>
      </x:c>
      <x:c r="I41" s="12" t="n">
        <x:f>IF(J41="Pendente","Pendente",F41*G41*H41)</x:f>
        <x:v>6.312</x:v>
      </x:c>
      <x:c r="J41" s="2" t="str">
        <x:f>IF(AND(ISNUMBER(F41),ISNUMBER(G41),G41&gt;0,ISNUMBER(H41),H41&gt;0),"Base calculada","Pendente")</x:f>
        <x:v>Base calculada</x:v>
      </x:c>
      <x:c r="K41" s="2" t="str">
        <x:v>Des.05 — quadro P6-P1</x:v>
      </x:c>
      <x:c r="L41" s="9" t="str">
        <x:v>Quantidade/Ø conferidos no PDF. Base reta de 1 m; emendas, embebimentos e dobras medidos separadamente.</x:v>
      </x:c>
    </x:row>
    <x:row r="42" ht="44" customHeight="1">
      <x:c r="A42" s="2" t="str">
        <x:v>P6-P1</x:v>
      </x:c>
      <x:c r="B42" s="2" t="str">
        <x:v>Cinta 1</x:v>
      </x:c>
      <x:c r="C42" s="11" t="n">
        <x:v>8</x:v>
      </x:c>
      <x:c r="D42" s="11" t="n">
        <x:v>1</x:v>
      </x:c>
      <x:c r="E42" s="11" t="n">
        <x:f>'Pormenores PDF'!$B$9</x:f>
        <x:v>0.2</x:v>
      </x:c>
      <x:c r="F42" s="12" t="n">
        <x:f>IF(OR(NOT(ISNUMBER(D42)),D42&lt;=0),"Pendente",IF(E42="",D42,IF(E42&gt;0,D42/E42,"Pendente")))</x:f>
        <x:v>5</x:v>
      </x:c>
      <x:c r="G42" s="11"/>
      <x:c r="H42" s="12" t="n">
        <x:f>IF(COUNTIF('Como utilizar'!$D$7:$D$14,C42)=0,"Pendente",VLOOKUP(C42,'Como utilizar'!$D$7:$E$14,2,FALSE))</x:f>
        <x:v>0.395</x:v>
      </x:c>
      <x:c r="I42" s="12" t="str">
        <x:f>IF(J42="Pendente","Pendente",F42*G42*H42)</x:f>
        <x:v>Pendente</x:v>
      </x:c>
      <x:c r="J42" s="2" t="str">
        <x:f>IF(AND(ISNUMBER(F42),ISNUMBER(G42),G42&gt;0,ISNUMBER(H42),H42&gt;0),"Base calculada","Pendente")</x:f>
        <x:v>Pendente</x:v>
      </x:c>
      <x:c r="K42" s="2" t="str">
        <x:v>Des.05 — quadro P6-P1</x:v>
      </x:c>
      <x:c r="L42" s="9" t="str">
        <x:v>Passo normal conferido no PDF. Nas zonas a/2 usar contagem real e registar diferença em Acertos aço. Corte permanece por confirmar.</x:v>
      </x:c>
    </x:row>
    <x:row r="43" ht="44" customHeight="1">
      <x:c r="A43" s="2" t="str">
        <x:v>P7-P0</x:v>
      </x:c>
      <x:c r="B43" s="2" t="str">
        <x:v>Longitudinal 1</x:v>
      </x:c>
      <x:c r="C43" s="11" t="n">
        <x:v>16</x:v>
      </x:c>
      <x:c r="D43" s="11" t="n">
        <x:v>10</x:v>
      </x:c>
      <x:c r="E43" s="11"/>
      <x:c r="F43" s="12" t="n">
        <x:f>IF(OR(NOT(ISNUMBER(D43)),D43&lt;=0),"Pendente",IF(E43="",D43,IF(E43&gt;0,D43/E43,"Pendente")))</x:f>
        <x:v>10</x:v>
      </x:c>
      <x:c r="G43" s="11" t="n">
        <x:v>1</x:v>
      </x:c>
      <x:c r="H43" s="12" t="n">
        <x:f>IF(COUNTIF('Como utilizar'!$D$7:$D$14,C43)=0,"Pendente",VLOOKUP(C43,'Como utilizar'!$D$7:$E$14,2,FALSE))</x:f>
        <x:v>1.578</x:v>
      </x:c>
      <x:c r="I43" s="12" t="n">
        <x:f>IF(J43="Pendente","Pendente",F43*G43*H43)</x:f>
        <x:v>15.780000000000001</x:v>
      </x:c>
      <x:c r="J43" s="2" t="str">
        <x:f>IF(AND(ISNUMBER(F43),ISNUMBER(G43),G43&gt;0,ISNUMBER(H43),H43&gt;0),"Base calculada","Pendente")</x:f>
        <x:v>Base calculada</x:v>
      </x:c>
      <x:c r="K43" s="2" t="str">
        <x:v>Des.05 — quadro P7-P0</x:v>
      </x:c>
      <x:c r="L43" s="9" t="str">
        <x:v>Quantidade/Ø conferidos no PDF. Base reta de 1 m; emendas, embebimentos e dobras medidos separadamente.</x:v>
      </x:c>
    </x:row>
    <x:row r="44" ht="44" customHeight="1">
      <x:c r="A44" s="2" t="str">
        <x:v>P7-P0</x:v>
      </x:c>
      <x:c r="B44" s="2" t="str">
        <x:v>Cinta 1</x:v>
      </x:c>
      <x:c r="C44" s="11" t="n">
        <x:v>8</x:v>
      </x:c>
      <x:c r="D44" s="11" t="n">
        <x:v>1</x:v>
      </x:c>
      <x:c r="E44" s="11" t="n">
        <x:f>'Pormenores PDF'!$B$9</x:f>
        <x:v>0.2</x:v>
      </x:c>
      <x:c r="F44" s="12" t="n">
        <x:f>IF(OR(NOT(ISNUMBER(D44)),D44&lt;=0),"Pendente",IF(E44="",D44,IF(E44&gt;0,D44/E44,"Pendente")))</x:f>
        <x:v>5</x:v>
      </x:c>
      <x:c r="G44" s="11"/>
      <x:c r="H44" s="12" t="n">
        <x:f>IF(COUNTIF('Como utilizar'!$D$7:$D$14,C44)=0,"Pendente",VLOOKUP(C44,'Como utilizar'!$D$7:$E$14,2,FALSE))</x:f>
        <x:v>0.395</x:v>
      </x:c>
      <x:c r="I44" s="12" t="str">
        <x:f>IF(J44="Pendente","Pendente",F44*G44*H44)</x:f>
        <x:v>Pendente</x:v>
      </x:c>
      <x:c r="J44" s="2" t="str">
        <x:f>IF(AND(ISNUMBER(F44),ISNUMBER(G44),G44&gt;0,ISNUMBER(H44),H44&gt;0),"Base calculada","Pendente")</x:f>
        <x:v>Pendente</x:v>
      </x:c>
      <x:c r="K44" s="2" t="str">
        <x:v>Des.05 — quadro P7-P0</x:v>
      </x:c>
      <x:c r="L44" s="9" t="str">
        <x:v>Passo normal conferido no PDF. Nas zonas a/2 usar contagem real e registar diferença em Acertos aço. Corte permanece por confirmar.</x:v>
      </x:c>
    </x:row>
    <x:row r="45" ht="44" customHeight="1">
      <x:c r="A45" s="2" t="str">
        <x:v>P7-P1</x:v>
      </x:c>
      <x:c r="B45" s="2" t="str">
        <x:v>Longitudinal 1</x:v>
      </x:c>
      <x:c r="C45" s="11" t="n">
        <x:v>16</x:v>
      </x:c>
      <x:c r="D45" s="11" t="n">
        <x:v>7</x:v>
      </x:c>
      <x:c r="E45" s="11"/>
      <x:c r="F45" s="12" t="n">
        <x:f>IF(OR(NOT(ISNUMBER(D45)),D45&lt;=0),"Pendente",IF(E45="",D45,IF(E45&gt;0,D45/E45,"Pendente")))</x:f>
        <x:v>7</x:v>
      </x:c>
      <x:c r="G45" s="11" t="n">
        <x:v>1</x:v>
      </x:c>
      <x:c r="H45" s="12" t="n">
        <x:f>IF(COUNTIF('Como utilizar'!$D$7:$D$14,C45)=0,"Pendente",VLOOKUP(C45,'Como utilizar'!$D$7:$E$14,2,FALSE))</x:f>
        <x:v>1.578</x:v>
      </x:c>
      <x:c r="I45" s="12" t="n">
        <x:f>IF(J45="Pendente","Pendente",F45*G45*H45)</x:f>
        <x:v>11.046000000000001</x:v>
      </x:c>
      <x:c r="J45" s="2" t="str">
        <x:f>IF(AND(ISNUMBER(F45),ISNUMBER(G45),G45&gt;0,ISNUMBER(H45),H45&gt;0),"Base calculada","Pendente")</x:f>
        <x:v>Base calculada</x:v>
      </x:c>
      <x:c r="K45" s="2" t="str">
        <x:v>Des.05 — quadro P7-P1</x:v>
      </x:c>
      <x:c r="L45" s="9" t="str">
        <x:v>Quantidade/Ø conferidos no PDF. Base reta de 1 m; emendas, embebimentos e dobras medidos separadamente.</x:v>
      </x:c>
    </x:row>
    <x:row r="46" ht="44" customHeight="1">
      <x:c r="A46" s="2" t="str">
        <x:v>P7-P1</x:v>
      </x:c>
      <x:c r="B46" s="2" t="str">
        <x:v>Cinta 1</x:v>
      </x:c>
      <x:c r="C46" s="11" t="n">
        <x:v>8</x:v>
      </x:c>
      <x:c r="D46" s="11" t="n">
        <x:v>1</x:v>
      </x:c>
      <x:c r="E46" s="11" t="n">
        <x:f>'Pormenores PDF'!$B$9</x:f>
        <x:v>0.2</x:v>
      </x:c>
      <x:c r="F46" s="12" t="n">
        <x:f>IF(OR(NOT(ISNUMBER(D46)),D46&lt;=0),"Pendente",IF(E46="",D46,IF(E46&gt;0,D46/E46,"Pendente")))</x:f>
        <x:v>5</x:v>
      </x:c>
      <x:c r="G46" s="11"/>
      <x:c r="H46" s="12" t="n">
        <x:f>IF(COUNTIF('Como utilizar'!$D$7:$D$14,C46)=0,"Pendente",VLOOKUP(C46,'Como utilizar'!$D$7:$E$14,2,FALSE))</x:f>
        <x:v>0.395</x:v>
      </x:c>
      <x:c r="I46" s="12" t="str">
        <x:f>IF(J46="Pendente","Pendente",F46*G46*H46)</x:f>
        <x:v>Pendente</x:v>
      </x:c>
      <x:c r="J46" s="2" t="str">
        <x:f>IF(AND(ISNUMBER(F46),ISNUMBER(G46),G46&gt;0,ISNUMBER(H46),H46&gt;0),"Base calculada","Pendente")</x:f>
        <x:v>Pendente</x:v>
      </x:c>
      <x:c r="K46" s="2" t="str">
        <x:v>Des.05 — quadro P7-P1</x:v>
      </x:c>
      <x:c r="L46" s="9" t="str">
        <x:v>Passo normal conferido no PDF. Nas zonas a/2 usar contagem real e registar diferença em Acertos aço. Corte permanece por confirmar.</x:v>
      </x:c>
    </x:row>
    <x:row r="47" ht="44" customHeight="1">
      <x:c r="A47" s="2" t="str">
        <x:v>P7-COB</x:v>
      </x:c>
      <x:c r="B47" s="2" t="str">
        <x:v>Longitudinal 1</x:v>
      </x:c>
      <x:c r="C47" s="11" t="n">
        <x:v>16</x:v>
      </x:c>
      <x:c r="D47" s="11" t="n">
        <x:v>7</x:v>
      </x:c>
      <x:c r="E47" s="11"/>
      <x:c r="F47" s="12" t="n">
        <x:f>IF(OR(NOT(ISNUMBER(D47)),D47&lt;=0),"Pendente",IF(E47="",D47,IF(E47&gt;0,D47/E47,"Pendente")))</x:f>
        <x:v>7</x:v>
      </x:c>
      <x:c r="G47" s="11" t="n">
        <x:v>1</x:v>
      </x:c>
      <x:c r="H47" s="12" t="n">
        <x:f>IF(COUNTIF('Como utilizar'!$D$7:$D$14,C47)=0,"Pendente",VLOOKUP(C47,'Como utilizar'!$D$7:$E$14,2,FALSE))</x:f>
        <x:v>1.578</x:v>
      </x:c>
      <x:c r="I47" s="12" t="n">
        <x:f>IF(J47="Pendente","Pendente",F47*G47*H47)</x:f>
        <x:v>11.046000000000001</x:v>
      </x:c>
      <x:c r="J47" s="2" t="str">
        <x:f>IF(AND(ISNUMBER(F47),ISNUMBER(G47),G47&gt;0,ISNUMBER(H47),H47&gt;0),"Base calculada","Pendente")</x:f>
        <x:v>Base calculada</x:v>
      </x:c>
      <x:c r="K47" s="2" t="str">
        <x:v>Des.05 — quadro P7-COB</x:v>
      </x:c>
      <x:c r="L47" s="9" t="str">
        <x:v>Quantidade/Ø conferidos no PDF. Base reta de 1 m; emendas, embebimentos e dobras medidos separadamente.</x:v>
      </x:c>
    </x:row>
    <x:row r="48" ht="44" customHeight="1">
      <x:c r="A48" s="2" t="str">
        <x:v>P7-COB</x:v>
      </x:c>
      <x:c r="B48" s="2" t="str">
        <x:v>Cinta 1</x:v>
      </x:c>
      <x:c r="C48" s="11" t="n">
        <x:v>8</x:v>
      </x:c>
      <x:c r="D48" s="11" t="n">
        <x:v>1</x:v>
      </x:c>
      <x:c r="E48" s="11" t="n">
        <x:f>'Pormenores PDF'!$B$9</x:f>
        <x:v>0.2</x:v>
      </x:c>
      <x:c r="F48" s="12" t="n">
        <x:f>IF(OR(NOT(ISNUMBER(D48)),D48&lt;=0),"Pendente",IF(E48="",D48,IF(E48&gt;0,D48/E48,"Pendente")))</x:f>
        <x:v>5</x:v>
      </x:c>
      <x:c r="G48" s="11"/>
      <x:c r="H48" s="12" t="n">
        <x:f>IF(COUNTIF('Como utilizar'!$D$7:$D$14,C48)=0,"Pendente",VLOOKUP(C48,'Como utilizar'!$D$7:$E$14,2,FALSE))</x:f>
        <x:v>0.395</x:v>
      </x:c>
      <x:c r="I48" s="12" t="str">
        <x:f>IF(J48="Pendente","Pendente",F48*G48*H48)</x:f>
        <x:v>Pendente</x:v>
      </x:c>
      <x:c r="J48" s="2" t="str">
        <x:f>IF(AND(ISNUMBER(F48),ISNUMBER(G48),G48&gt;0,ISNUMBER(H48),H48&gt;0),"Base calculada","Pendente")</x:f>
        <x:v>Pendente</x:v>
      </x:c>
      <x:c r="K48" s="2" t="str">
        <x:v>Des.05 — quadro P7-COB</x:v>
      </x:c>
      <x:c r="L48" s="9" t="str">
        <x:v>Passo normal conferido no PDF. Nas zonas a/2 usar contagem real e registar diferença em Acertos aço. Corte permanece por confirmar.</x:v>
      </x:c>
    </x:row>
    <x:row r="49" ht="44" customHeight="1">
      <x:c r="A49" s="2" t="str">
        <x:v>P8-P0</x:v>
      </x:c>
      <x:c r="B49" s="2" t="str">
        <x:v>Longitudinal 1</x:v>
      </x:c>
      <x:c r="C49" s="11" t="n">
        <x:v>16</x:v>
      </x:c>
      <x:c r="D49" s="11" t="n">
        <x:v>6</x:v>
      </x:c>
      <x:c r="E49" s="11"/>
      <x:c r="F49" s="12" t="n">
        <x:f>IF(OR(NOT(ISNUMBER(D49)),D49&lt;=0),"Pendente",IF(E49="",D49,IF(E49&gt;0,D49/E49,"Pendente")))</x:f>
        <x:v>6</x:v>
      </x:c>
      <x:c r="G49" s="11" t="n">
        <x:v>1</x:v>
      </x:c>
      <x:c r="H49" s="12" t="n">
        <x:f>IF(COUNTIF('Como utilizar'!$D$7:$D$14,C49)=0,"Pendente",VLOOKUP(C49,'Como utilizar'!$D$7:$E$14,2,FALSE))</x:f>
        <x:v>1.578</x:v>
      </x:c>
      <x:c r="I49" s="12" t="n">
        <x:f>IF(J49="Pendente","Pendente",F49*G49*H49)</x:f>
        <x:v>9.468</x:v>
      </x:c>
      <x:c r="J49" s="2" t="str">
        <x:f>IF(AND(ISNUMBER(F49),ISNUMBER(G49),G49&gt;0,ISNUMBER(H49),H49&gt;0),"Base calculada","Pendente")</x:f>
        <x:v>Base calculada</x:v>
      </x:c>
      <x:c r="K49" s="2" t="str">
        <x:v>Des.05 — quadro P8-P0</x:v>
      </x:c>
      <x:c r="L49" s="9" t="str">
        <x:v>Quantidade/Ø conferidos no PDF. Base reta de 1 m; emendas, embebimentos e dobras medidos separadamente.</x:v>
      </x:c>
    </x:row>
    <x:row r="50" ht="44" customHeight="1">
      <x:c r="A50" s="2" t="str">
        <x:v>P8-P0</x:v>
      </x:c>
      <x:c r="B50" s="2" t="str">
        <x:v>Longitudinal 2</x:v>
      </x:c>
      <x:c r="C50" s="11" t="n">
        <x:v>12</x:v>
      </x:c>
      <x:c r="D50" s="11" t="n">
        <x:v>10</x:v>
      </x:c>
      <x:c r="E50" s="11"/>
      <x:c r="F50" s="12" t="n">
        <x:f>IF(OR(NOT(ISNUMBER(D50)),D50&lt;=0),"Pendente",IF(E50="",D50,IF(E50&gt;0,D50/E50,"Pendente")))</x:f>
        <x:v>10</x:v>
      </x:c>
      <x:c r="G50" s="11" t="n">
        <x:v>1</x:v>
      </x:c>
      <x:c r="H50" s="12" t="n">
        <x:f>IF(COUNTIF('Como utilizar'!$D$7:$D$14,C50)=0,"Pendente",VLOOKUP(C50,'Como utilizar'!$D$7:$E$14,2,FALSE))</x:f>
        <x:v>0.888</x:v>
      </x:c>
      <x:c r="I50" s="12" t="n">
        <x:f>IF(J50="Pendente","Pendente",F50*G50*H50)</x:f>
        <x:v>8.88</x:v>
      </x:c>
      <x:c r="J50" s="2" t="str">
        <x:f>IF(AND(ISNUMBER(F50),ISNUMBER(G50),G50&gt;0,ISNUMBER(H50),H50&gt;0),"Base calculada","Pendente")</x:f>
        <x:v>Base calculada</x:v>
      </x:c>
      <x:c r="K50" s="2" t="str">
        <x:v>Des.05 — quadro P8-P0</x:v>
      </x:c>
      <x:c r="L50" s="9" t="str">
        <x:v>Quantidade/Ø conferidos no PDF. Base reta de 1 m; emendas, embebimentos e dobras medidos separadamente.</x:v>
      </x:c>
    </x:row>
    <x:row r="51" ht="44" customHeight="1">
      <x:c r="A51" s="2" t="str">
        <x:v>P8-P0</x:v>
      </x:c>
      <x:c r="B51" s="2" t="str">
        <x:v>Cinta 1</x:v>
      </x:c>
      <x:c r="C51" s="11" t="n">
        <x:v>8</x:v>
      </x:c>
      <x:c r="D51" s="11" t="n">
        <x:v>1</x:v>
      </x:c>
      <x:c r="E51" s="11" t="n">
        <x:f>'Pormenores PDF'!$B$9</x:f>
        <x:v>0.2</x:v>
      </x:c>
      <x:c r="F51" s="12" t="n">
        <x:f>IF(OR(NOT(ISNUMBER(D51)),D51&lt;=0),"Pendente",IF(E51="",D51,IF(E51&gt;0,D51/E51,"Pendente")))</x:f>
        <x:v>5</x:v>
      </x:c>
      <x:c r="G51" s="11"/>
      <x:c r="H51" s="12" t="n">
        <x:f>IF(COUNTIF('Como utilizar'!$D$7:$D$14,C51)=0,"Pendente",VLOOKUP(C51,'Como utilizar'!$D$7:$E$14,2,FALSE))</x:f>
        <x:v>0.395</x:v>
      </x:c>
      <x:c r="I51" s="12" t="str">
        <x:f>IF(J51="Pendente","Pendente",F51*G51*H51)</x:f>
        <x:v>Pendente</x:v>
      </x:c>
      <x:c r="J51" s="2" t="str">
        <x:f>IF(AND(ISNUMBER(F51),ISNUMBER(G51),G51&gt;0,ISNUMBER(H51),H51&gt;0),"Base calculada","Pendente")</x:f>
        <x:v>Pendente</x:v>
      </x:c>
      <x:c r="K51" s="2" t="str">
        <x:v>Des.05 — quadro P8-P0</x:v>
      </x:c>
      <x:c r="L51" s="9" t="str">
        <x:v>Passo normal conferido no PDF. Nas zonas a/2 usar contagem real e registar diferença em Acertos aço. Corte permanece por confirmar.</x:v>
      </x:c>
    </x:row>
    <x:row r="52" ht="44" customHeight="1">
      <x:c r="A52" s="2" t="str">
        <x:v>P8-P0</x:v>
      </x:c>
      <x:c r="B52" s="2" t="str">
        <x:v>Cinta 2</x:v>
      </x:c>
      <x:c r="C52" s="11" t="n">
        <x:v>8</x:v>
      </x:c>
      <x:c r="D52" s="11" t="n">
        <x:v>1</x:v>
      </x:c>
      <x:c r="E52" s="11" t="n">
        <x:f>'Pormenores PDF'!$B$9</x:f>
        <x:v>0.2</x:v>
      </x:c>
      <x:c r="F52" s="12" t="n">
        <x:f>IF(OR(NOT(ISNUMBER(D52)),D52&lt;=0),"Pendente",IF(E52="",D52,IF(E52&gt;0,D52/E52,"Pendente")))</x:f>
        <x:v>5</x:v>
      </x:c>
      <x:c r="G52" s="11"/>
      <x:c r="H52" s="12" t="n">
        <x:f>IF(COUNTIF('Como utilizar'!$D$7:$D$14,C52)=0,"Pendente",VLOOKUP(C52,'Como utilizar'!$D$7:$E$14,2,FALSE))</x:f>
        <x:v>0.395</x:v>
      </x:c>
      <x:c r="I52" s="12" t="str">
        <x:f>IF(J52="Pendente","Pendente",F52*G52*H52)</x:f>
        <x:v>Pendente</x:v>
      </x:c>
      <x:c r="J52" s="2" t="str">
        <x:f>IF(AND(ISNUMBER(F52),ISNUMBER(G52),G52&gt;0,ISNUMBER(H52),H52&gt;0),"Base calculada","Pendente")</x:f>
        <x:v>Pendente</x:v>
      </x:c>
      <x:c r="K52" s="2" t="str">
        <x:v>Des.05 — quadro P8-P0</x:v>
      </x:c>
      <x:c r="L52" s="9" t="str">
        <x:v>Passo normal conferido no PDF. Nas zonas a/2 usar contagem real e registar diferença em Acertos aço. Corte permanece por confirmar.</x:v>
      </x:c>
    </x:row>
    <x:row r="53" ht="44" customHeight="1">
      <x:c r="A53" s="2" t="str">
        <x:v>P8-P1</x:v>
      </x:c>
      <x:c r="B53" s="2" t="str">
        <x:v>Longitudinal 1</x:v>
      </x:c>
      <x:c r="C53" s="11" t="n">
        <x:v>16</x:v>
      </x:c>
      <x:c r="D53" s="11" t="n">
        <x:v>6</x:v>
      </x:c>
      <x:c r="E53" s="11"/>
      <x:c r="F53" s="12" t="n">
        <x:f>IF(OR(NOT(ISNUMBER(D53)),D53&lt;=0),"Pendente",IF(E53="",D53,IF(E53&gt;0,D53/E53,"Pendente")))</x:f>
        <x:v>6</x:v>
      </x:c>
      <x:c r="G53" s="11" t="n">
        <x:v>1</x:v>
      </x:c>
      <x:c r="H53" s="12" t="n">
        <x:f>IF(COUNTIF('Como utilizar'!$D$7:$D$14,C53)=0,"Pendente",VLOOKUP(C53,'Como utilizar'!$D$7:$E$14,2,FALSE))</x:f>
        <x:v>1.578</x:v>
      </x:c>
      <x:c r="I53" s="12" t="n">
        <x:f>IF(J53="Pendente","Pendente",F53*G53*H53)</x:f>
        <x:v>9.468</x:v>
      </x:c>
      <x:c r="J53" s="2" t="str">
        <x:f>IF(AND(ISNUMBER(F53),ISNUMBER(G53),G53&gt;0,ISNUMBER(H53),H53&gt;0),"Base calculada","Pendente")</x:f>
        <x:v>Base calculada</x:v>
      </x:c>
      <x:c r="K53" s="2" t="str">
        <x:v>Des.05 — quadro P8-P1</x:v>
      </x:c>
      <x:c r="L53" s="9" t="str">
        <x:v>Quantidade/Ø conferidos no PDF. Base reta de 1 m; emendas, embebimentos e dobras medidos separadamente.</x:v>
      </x:c>
    </x:row>
    <x:row r="54" ht="44" customHeight="1">
      <x:c r="A54" s="2" t="str">
        <x:v>P8-P1</x:v>
      </x:c>
      <x:c r="B54" s="2" t="str">
        <x:v>Longitudinal 2</x:v>
      </x:c>
      <x:c r="C54" s="11" t="n">
        <x:v>12</x:v>
      </x:c>
      <x:c r="D54" s="11" t="n">
        <x:v>10</x:v>
      </x:c>
      <x:c r="E54" s="11"/>
      <x:c r="F54" s="12" t="n">
        <x:f>IF(OR(NOT(ISNUMBER(D54)),D54&lt;=0),"Pendente",IF(E54="",D54,IF(E54&gt;0,D54/E54,"Pendente")))</x:f>
        <x:v>10</x:v>
      </x:c>
      <x:c r="G54" s="11" t="n">
        <x:v>1</x:v>
      </x:c>
      <x:c r="H54" s="12" t="n">
        <x:f>IF(COUNTIF('Como utilizar'!$D$7:$D$14,C54)=0,"Pendente",VLOOKUP(C54,'Como utilizar'!$D$7:$E$14,2,FALSE))</x:f>
        <x:v>0.888</x:v>
      </x:c>
      <x:c r="I54" s="12" t="n">
        <x:f>IF(J54="Pendente","Pendente",F54*G54*H54)</x:f>
        <x:v>8.88</x:v>
      </x:c>
      <x:c r="J54" s="2" t="str">
        <x:f>IF(AND(ISNUMBER(F54),ISNUMBER(G54),G54&gt;0,ISNUMBER(H54),H54&gt;0),"Base calculada","Pendente")</x:f>
        <x:v>Base calculada</x:v>
      </x:c>
      <x:c r="K54" s="2" t="str">
        <x:v>Des.05 — quadro P8-P1</x:v>
      </x:c>
      <x:c r="L54" s="9" t="str">
        <x:v>Quantidade/Ø conferidos no PDF. Base reta de 1 m; emendas, embebimentos e dobras medidos separadamente.</x:v>
      </x:c>
    </x:row>
    <x:row r="55" ht="44" customHeight="1">
      <x:c r="A55" s="2" t="str">
        <x:v>P8-P1</x:v>
      </x:c>
      <x:c r="B55" s="2" t="str">
        <x:v>Cinta 1</x:v>
      </x:c>
      <x:c r="C55" s="11" t="n">
        <x:v>8</x:v>
      </x:c>
      <x:c r="D55" s="11" t="n">
        <x:v>1</x:v>
      </x:c>
      <x:c r="E55" s="11" t="n">
        <x:f>'Pormenores PDF'!$B$9</x:f>
        <x:v>0.2</x:v>
      </x:c>
      <x:c r="F55" s="12" t="n">
        <x:f>IF(OR(NOT(ISNUMBER(D55)),D55&lt;=0),"Pendente",IF(E55="",D55,IF(E55&gt;0,D55/E55,"Pendente")))</x:f>
        <x:v>5</x:v>
      </x:c>
      <x:c r="G55" s="11"/>
      <x:c r="H55" s="12" t="n">
        <x:f>IF(COUNTIF('Como utilizar'!$D$7:$D$14,C55)=0,"Pendente",VLOOKUP(C55,'Como utilizar'!$D$7:$E$14,2,FALSE))</x:f>
        <x:v>0.395</x:v>
      </x:c>
      <x:c r="I55" s="12" t="str">
        <x:f>IF(J55="Pendente","Pendente",F55*G55*H55)</x:f>
        <x:v>Pendente</x:v>
      </x:c>
      <x:c r="J55" s="2" t="str">
        <x:f>IF(AND(ISNUMBER(F55),ISNUMBER(G55),G55&gt;0,ISNUMBER(H55),H55&gt;0),"Base calculada","Pendente")</x:f>
        <x:v>Pendente</x:v>
      </x:c>
      <x:c r="K55" s="2" t="str">
        <x:v>Des.05 — quadro P8-P1</x:v>
      </x:c>
      <x:c r="L55" s="9" t="str">
        <x:v>Passo normal conferido no PDF. Nas zonas a/2 usar contagem real e registar diferença em Acertos aço. Corte permanece por confirmar.</x:v>
      </x:c>
    </x:row>
    <x:row r="56" ht="44" customHeight="1">
      <x:c r="A56" s="2" t="str">
        <x:v>P8-P1</x:v>
      </x:c>
      <x:c r="B56" s="2" t="str">
        <x:v>Cinta 2</x:v>
      </x:c>
      <x:c r="C56" s="11" t="n">
        <x:v>8</x:v>
      </x:c>
      <x:c r="D56" s="11" t="n">
        <x:v>1</x:v>
      </x:c>
      <x:c r="E56" s="11" t="n">
        <x:f>'Pormenores PDF'!$B$9</x:f>
        <x:v>0.2</x:v>
      </x:c>
      <x:c r="F56" s="12" t="n">
        <x:f>IF(OR(NOT(ISNUMBER(D56)),D56&lt;=0),"Pendente",IF(E56="",D56,IF(E56&gt;0,D56/E56,"Pendente")))</x:f>
        <x:v>5</x:v>
      </x:c>
      <x:c r="G56" s="11"/>
      <x:c r="H56" s="12" t="n">
        <x:f>IF(COUNTIF('Como utilizar'!$D$7:$D$14,C56)=0,"Pendente",VLOOKUP(C56,'Como utilizar'!$D$7:$E$14,2,FALSE))</x:f>
        <x:v>0.395</x:v>
      </x:c>
      <x:c r="I56" s="12" t="str">
        <x:f>IF(J56="Pendente","Pendente",F56*G56*H56)</x:f>
        <x:v>Pendente</x:v>
      </x:c>
      <x:c r="J56" s="2" t="str">
        <x:f>IF(AND(ISNUMBER(F56),ISNUMBER(G56),G56&gt;0,ISNUMBER(H56),H56&gt;0),"Base calculada","Pendente")</x:f>
        <x:v>Pendente</x:v>
      </x:c>
      <x:c r="K56" s="2" t="str">
        <x:v>Des.05 — quadro P8-P1</x:v>
      </x:c>
      <x:c r="L56" s="9" t="str">
        <x:v>Passo normal conferido no PDF. Nas zonas a/2 usar contagem real e registar diferença em Acertos aço. Corte permanece por confirmar.</x:v>
      </x:c>
    </x:row>
    <x:row r="57" ht="44" customHeight="1">
      <x:c r="A57" s="2" t="str">
        <x:v>P9-COB</x:v>
      </x:c>
      <x:c r="B57" s="2" t="str">
        <x:v>Longitudinal 1</x:v>
      </x:c>
      <x:c r="C57" s="11" t="n">
        <x:v>16</x:v>
      </x:c>
      <x:c r="D57" s="11" t="n">
        <x:v>16</x:v>
      </x:c>
      <x:c r="E57" s="11"/>
      <x:c r="F57" s="12" t="n">
        <x:f>IF(OR(NOT(ISNUMBER(D57)),D57&lt;=0),"Pendente",IF(E57="",D57,IF(E57&gt;0,D57/E57,"Pendente")))</x:f>
        <x:v>16</x:v>
      </x:c>
      <x:c r="G57" s="11" t="n">
        <x:v>1</x:v>
      </x:c>
      <x:c r="H57" s="12" t="n">
        <x:f>IF(COUNTIF('Como utilizar'!$D$7:$D$14,C57)=0,"Pendente",VLOOKUP(C57,'Como utilizar'!$D$7:$E$14,2,FALSE))</x:f>
        <x:v>1.578</x:v>
      </x:c>
      <x:c r="I57" s="12" t="n">
        <x:f>IF(J57="Pendente","Pendente",F57*G57*H57)</x:f>
        <x:v>25.248</x:v>
      </x:c>
      <x:c r="J57" s="2" t="str">
        <x:f>IF(AND(ISNUMBER(F57),ISNUMBER(G57),G57&gt;0,ISNUMBER(H57),H57&gt;0),"Base calculada","Pendente")</x:f>
        <x:v>Base calculada</x:v>
      </x:c>
      <x:c r="K57" s="2" t="str">
        <x:v>Des.05 — quadro P9-COB</x:v>
      </x:c>
      <x:c r="L57" s="9" t="str">
        <x:v>Quantidade/Ø conferidos no PDF. Base reta de 1 m; emendas, embebimentos e dobras medidos separadamente.</x:v>
      </x:c>
    </x:row>
    <x:row r="58" ht="44" customHeight="1">
      <x:c r="A58" s="2" t="str">
        <x:v>P9-COB</x:v>
      </x:c>
      <x:c r="B58" s="2" t="str">
        <x:v>Longitudinal 2</x:v>
      </x:c>
      <x:c r="C58" s="11" t="n">
        <x:v>10</x:v>
      </x:c>
      <x:c r="D58" s="11" t="n">
        <x:v>14</x:v>
      </x:c>
      <x:c r="E58" s="11"/>
      <x:c r="F58" s="12" t="n">
        <x:f>IF(OR(NOT(ISNUMBER(D58)),D58&lt;=0),"Pendente",IF(E58="",D58,IF(E58&gt;0,D58/E58,"Pendente")))</x:f>
        <x:v>14</x:v>
      </x:c>
      <x:c r="G58" s="11" t="n">
        <x:v>1</x:v>
      </x:c>
      <x:c r="H58" s="12" t="n">
        <x:f>IF(COUNTIF('Como utilizar'!$D$7:$D$14,C58)=0,"Pendente",VLOOKUP(C58,'Como utilizar'!$D$7:$E$14,2,FALSE))</x:f>
        <x:v>0.617</x:v>
      </x:c>
      <x:c r="I58" s="12" t="n">
        <x:f>IF(J58="Pendente","Pendente",F58*G58*H58)</x:f>
        <x:v>8.638</x:v>
      </x:c>
      <x:c r="J58" s="2" t="str">
        <x:f>IF(AND(ISNUMBER(F58),ISNUMBER(G58),G58&gt;0,ISNUMBER(H58),H58&gt;0),"Base calculada","Pendente")</x:f>
        <x:v>Base calculada</x:v>
      </x:c>
      <x:c r="K58" s="2" t="str">
        <x:v>Des.05 — quadro P9-COB</x:v>
      </x:c>
      <x:c r="L58" s="9" t="str">
        <x:v>Quantidade/Ø conferidos no PDF. Base reta de 1 m; emendas, embebimentos e dobras medidos separadamente.</x:v>
      </x:c>
    </x:row>
    <x:row r="59" ht="44" customHeight="1">
      <x:c r="A59" s="2" t="str">
        <x:v>P9-COB</x:v>
      </x:c>
      <x:c r="B59" s="2" t="str">
        <x:v>Conjunto de cintas sobrepostas</x:v>
      </x:c>
      <x:c r="C59" s="11" t="n">
        <x:v>8</x:v>
      </x:c>
      <x:c r="D59" s="11" t="n">
        <x:v>1</x:v>
      </x:c>
      <x:c r="E59" s="11" t="n">
        <x:f>'Pormenores PDF'!$B$9</x:f>
        <x:v>0.2</x:v>
      </x:c>
      <x:c r="F59" s="12" t="n">
        <x:f>IF(OR(NOT(ISNUMBER(D59)),D59&lt;=0),"Pendente",IF(E59="",D59,IF(E59&gt;0,D59/E59,"Pendente")))</x:f>
        <x:v>5</x:v>
      </x:c>
      <x:c r="G59" s="11"/>
      <x:c r="H59" s="12" t="n">
        <x:f>IF(COUNTIF('Como utilizar'!$D$7:$D$14,C59)=0,"Pendente",VLOOKUP(C59,'Como utilizar'!$D$7:$E$14,2,FALSE))</x:f>
        <x:v>0.395</x:v>
      </x:c>
      <x:c r="I59" s="12" t="str">
        <x:f>IF(J59="Pendente","Pendente",F59*G59*H59)</x:f>
        <x:v>Pendente</x:v>
      </x:c>
      <x:c r="J59" s="2" t="str">
        <x:f>IF(AND(ISNUMBER(F59),ISNUMBER(G59),G59&gt;0,ISNUMBER(H59),H59&gt;0),"Base calculada","Pendente")</x:f>
        <x:v>Pendente</x:v>
      </x:c>
      <x:c r="K59" s="2" t="str">
        <x:v>Des.05 — quadro P9-COB</x:v>
      </x:c>
      <x:c r="L59" s="9" t="str">
        <x:v>Corte unitário = soma dos cortes de todas as peças do conjunto representado. Dimensões internas pendentes.</x:v>
      </x:c>
    </x:row>
    <x:row r="60" ht="44" customHeight="1">
      <x:c r="A60" s="2" t="str">
        <x:v>P10-COB</x:v>
      </x:c>
      <x:c r="B60" s="2" t="str">
        <x:v>Longitudinal 1</x:v>
      </x:c>
      <x:c r="C60" s="11" t="n">
        <x:v>16</x:v>
      </x:c>
      <x:c r="D60" s="11" t="n">
        <x:v>24</x:v>
      </x:c>
      <x:c r="E60" s="11"/>
      <x:c r="F60" s="12" t="n">
        <x:f>IF(OR(NOT(ISNUMBER(D60)),D60&lt;=0),"Pendente",IF(E60="",D60,IF(E60&gt;0,D60/E60,"Pendente")))</x:f>
        <x:v>24</x:v>
      </x:c>
      <x:c r="G60" s="11" t="n">
        <x:v>1</x:v>
      </x:c>
      <x:c r="H60" s="12" t="n">
        <x:f>IF(COUNTIF('Como utilizar'!$D$7:$D$14,C60)=0,"Pendente",VLOOKUP(C60,'Como utilizar'!$D$7:$E$14,2,FALSE))</x:f>
        <x:v>1.578</x:v>
      </x:c>
      <x:c r="I60" s="12" t="n">
        <x:f>IF(J60="Pendente","Pendente",F60*G60*H60)</x:f>
        <x:v>37.872</x:v>
      </x:c>
      <x:c r="J60" s="2" t="str">
        <x:f>IF(AND(ISNUMBER(F60),ISNUMBER(G60),G60&gt;0,ISNUMBER(H60),H60&gt;0),"Base calculada","Pendente")</x:f>
        <x:v>Base calculada</x:v>
      </x:c>
      <x:c r="K60" s="2" t="str">
        <x:v>Des.05 — quadro P10-COB</x:v>
      </x:c>
      <x:c r="L60" s="9" t="str">
        <x:v>Quantidade/Ø conferidos no PDF. Base reta de 1 m; emendas, embebimentos e dobras medidos separadamente.</x:v>
      </x:c>
    </x:row>
    <x:row r="61" ht="44" customHeight="1">
      <x:c r="A61" s="2" t="str">
        <x:v>P10-COB</x:v>
      </x:c>
      <x:c r="B61" s="2" t="str">
        <x:v>Conjunto de cintas sobrepostas</x:v>
      </x:c>
      <x:c r="C61" s="11" t="n">
        <x:v>8</x:v>
      </x:c>
      <x:c r="D61" s="11" t="n">
        <x:v>1</x:v>
      </x:c>
      <x:c r="E61" s="11" t="n">
        <x:f>'Pormenores PDF'!$B$9</x:f>
        <x:v>0.2</x:v>
      </x:c>
      <x:c r="F61" s="12" t="n">
        <x:f>IF(OR(NOT(ISNUMBER(D61)),D61&lt;=0),"Pendente",IF(E61="",D61,IF(E61&gt;0,D61/E61,"Pendente")))</x:f>
        <x:v>5</x:v>
      </x:c>
      <x:c r="G61" s="11"/>
      <x:c r="H61" s="12" t="n">
        <x:f>IF(COUNTIF('Como utilizar'!$D$7:$D$14,C61)=0,"Pendente",VLOOKUP(C61,'Como utilizar'!$D$7:$E$14,2,FALSE))</x:f>
        <x:v>0.395</x:v>
      </x:c>
      <x:c r="I61" s="12" t="str">
        <x:f>IF(J61="Pendente","Pendente",F61*G61*H61)</x:f>
        <x:v>Pendente</x:v>
      </x:c>
      <x:c r="J61" s="2" t="str">
        <x:f>IF(AND(ISNUMBER(F61),ISNUMBER(G61),G61&gt;0,ISNUMBER(H61),H61&gt;0),"Base calculada","Pendente")</x:f>
        <x:v>Pendente</x:v>
      </x:c>
      <x:c r="K61" s="2" t="str">
        <x:v>Des.05 — quadro P10-COB</x:v>
      </x:c>
      <x:c r="L61" s="9" t="str">
        <x:v>Corte unitário = soma dos cortes de todas as peças do conjunto representado. Dimensões internas pendentes.</x:v>
      </x:c>
    </x:row>
    <x:row r="62" ht="44" customHeight="1">
      <x:c r="A62" s="2" t="str">
        <x:v>P11-COB</x:v>
      </x:c>
      <x:c r="B62" s="2" t="str">
        <x:v>Longitudinal 1</x:v>
      </x:c>
      <x:c r="C62" s="11" t="n">
        <x:v>16</x:v>
      </x:c>
      <x:c r="D62" s="11" t="n">
        <x:v>8</x:v>
      </x:c>
      <x:c r="E62" s="11"/>
      <x:c r="F62" s="12" t="n">
        <x:f>IF(OR(NOT(ISNUMBER(D62)),D62&lt;=0),"Pendente",IF(E62="",D62,IF(E62&gt;0,D62/E62,"Pendente")))</x:f>
        <x:v>8</x:v>
      </x:c>
      <x:c r="G62" s="11" t="n">
        <x:v>1</x:v>
      </x:c>
      <x:c r="H62" s="12" t="n">
        <x:f>IF(COUNTIF('Como utilizar'!$D$7:$D$14,C62)=0,"Pendente",VLOOKUP(C62,'Como utilizar'!$D$7:$E$14,2,FALSE))</x:f>
        <x:v>1.578</x:v>
      </x:c>
      <x:c r="I62" s="12" t="n">
        <x:f>IF(J62="Pendente","Pendente",F62*G62*H62)</x:f>
        <x:v>12.624</x:v>
      </x:c>
      <x:c r="J62" s="2" t="str">
        <x:f>IF(AND(ISNUMBER(F62),ISNUMBER(G62),G62&gt;0,ISNUMBER(H62),H62&gt;0),"Base calculada","Pendente")</x:f>
        <x:v>Base calculada</x:v>
      </x:c>
      <x:c r="K62" s="2" t="str">
        <x:v>Des.05 — quadro P11-COB</x:v>
      </x:c>
      <x:c r="L62" s="9" t="str">
        <x:v>Quantidade/Ø conferidos no PDF. Base reta de 1 m; emendas, embebimentos e dobras medidos separadamente.</x:v>
      </x:c>
    </x:row>
    <x:row r="63" ht="44" customHeight="1">
      <x:c r="A63" s="2" t="str">
        <x:v>P11-COB</x:v>
      </x:c>
      <x:c r="B63" s="2" t="str">
        <x:v>Longitudinal 2</x:v>
      </x:c>
      <x:c r="C63" s="11" t="n">
        <x:v>12</x:v>
      </x:c>
      <x:c r="D63" s="11" t="n">
        <x:v>12</x:v>
      </x:c>
      <x:c r="E63" s="11"/>
      <x:c r="F63" s="12" t="n">
        <x:f>IF(OR(NOT(ISNUMBER(D63)),D63&lt;=0),"Pendente",IF(E63="",D63,IF(E63&gt;0,D63/E63,"Pendente")))</x:f>
        <x:v>12</x:v>
      </x:c>
      <x:c r="G63" s="11" t="n">
        <x:v>1</x:v>
      </x:c>
      <x:c r="H63" s="12" t="n">
        <x:f>IF(COUNTIF('Como utilizar'!$D$7:$D$14,C63)=0,"Pendente",VLOOKUP(C63,'Como utilizar'!$D$7:$E$14,2,FALSE))</x:f>
        <x:v>0.888</x:v>
      </x:c>
      <x:c r="I63" s="12" t="n">
        <x:f>IF(J63="Pendente","Pendente",F63*G63*H63)</x:f>
        <x:v>10.656</x:v>
      </x:c>
      <x:c r="J63" s="2" t="str">
        <x:f>IF(AND(ISNUMBER(F63),ISNUMBER(G63),G63&gt;0,ISNUMBER(H63),H63&gt;0),"Base calculada","Pendente")</x:f>
        <x:v>Base calculada</x:v>
      </x:c>
      <x:c r="K63" s="2" t="str">
        <x:v>Des.05 — quadro P11-COB</x:v>
      </x:c>
      <x:c r="L63" s="9" t="str">
        <x:v>Quantidade/Ø conferidos no PDF. Base reta de 1 m; emendas, embebimentos e dobras medidos separadamente.</x:v>
      </x:c>
    </x:row>
    <x:row r="64" ht="44" customHeight="1">
      <x:c r="A64" s="2" t="str">
        <x:v>P11-COB</x:v>
      </x:c>
      <x:c r="B64" s="2" t="str">
        <x:v>Conjunto de cintas sobrepostas</x:v>
      </x:c>
      <x:c r="C64" s="11" t="n">
        <x:v>8</x:v>
      </x:c>
      <x:c r="D64" s="11" t="n">
        <x:v>1</x:v>
      </x:c>
      <x:c r="E64" s="11" t="n">
        <x:f>'Pormenores PDF'!$B$9</x:f>
        <x:v>0.2</x:v>
      </x:c>
      <x:c r="F64" s="12" t="n">
        <x:f>IF(OR(NOT(ISNUMBER(D64)),D64&lt;=0),"Pendente",IF(E64="",D64,IF(E64&gt;0,D64/E64,"Pendente")))</x:f>
        <x:v>5</x:v>
      </x:c>
      <x:c r="G64" s="11"/>
      <x:c r="H64" s="12" t="n">
        <x:f>IF(COUNTIF('Como utilizar'!$D$7:$D$14,C64)=0,"Pendente",VLOOKUP(C64,'Como utilizar'!$D$7:$E$14,2,FALSE))</x:f>
        <x:v>0.395</x:v>
      </x:c>
      <x:c r="I64" s="12" t="str">
        <x:f>IF(J64="Pendente","Pendente",F64*G64*H64)</x:f>
        <x:v>Pendente</x:v>
      </x:c>
      <x:c r="J64" s="2" t="str">
        <x:f>IF(AND(ISNUMBER(F64),ISNUMBER(G64),G64&gt;0,ISNUMBER(H64),H64&gt;0),"Base calculada","Pendente")</x:f>
        <x:v>Pendente</x:v>
      </x:c>
      <x:c r="K64" s="2" t="str">
        <x:v>Des.05 — quadro P11-COB</x:v>
      </x:c>
      <x:c r="L64" s="9" t="str">
        <x:v>Corte unitário = soma dos cortes de todas as peças do conjunto representado. Dimensões internas pendentes.</x:v>
      </x:c>
    </x:row>
    <x:row r="65" ht="38" customHeight="1">
      <x:c r="A65" s="2" t="str">
        <x:v>S1</x:v>
      </x:c>
      <x:c r="B65" s="2" t="str">
        <x:v>Inferior direção A</x:v>
      </x:c>
      <x:c r="C65" s="11" t="n">
        <x:v>12</x:v>
      </x:c>
      <x:c r="D65" s="11" t="n">
        <x:f>ROUNDUP((Tipos!H26-2*Tipos!I26)/0.15,0)+1</x:f>
        <x:v>23</x:v>
      </x:c>
      <x:c r="E65" s="11"/>
      <x:c r="F65" s="12" t="n">
        <x:f>IF(OR(NOT(ISNUMBER(D65)),D65&lt;=0),"Pendente",IF(E65="",D65,IF(E65&gt;0,D65/E65,"Pendente")))</x:f>
        <x:v>23</x:v>
      </x:c>
      <x:c r="G65" s="11" t="n">
        <x:f>Tipos!F26-2*Tipos!I26</x:f>
        <x:v>3.9</x:v>
      </x:c>
      <x:c r="H65" s="12" t="n">
        <x:f>IF(COUNTIF('Como utilizar'!$D$7:$D$14,C65)=0,"Pendente",VLOOKUP(C65,'Como utilizar'!$D$7:$E$14,2,FALSE))</x:f>
        <x:v>0.888</x:v>
      </x:c>
      <x:c r="I65" s="12" t="n">
        <x:f>IF(J65="Pendente","Pendente",F65*G65*H65)</x:f>
        <x:v>79.6536</x:v>
      </x:c>
      <x:c r="J65" s="2" t="str">
        <x:f>IF(AND(ISNUMBER(F65),ISNUMBER(G65),G65&gt;0,ISNUMBER(H65),H65&gt;0),"Base calculada","Pendente")</x:f>
        <x:v>Base calculada</x:v>
      </x:c>
      <x:c r="K65" s="2" t="str">
        <x:v>SAPATAS!A5:AC5</x:v>
      </x:c>
      <x:c r="L65" s="9" t="str">
        <x:v>Contagem arredondada para cima; sem ganchos/transpasses.</x:v>
      </x:c>
    </x:row>
    <x:row r="66" ht="38" customHeight="1">
      <x:c r="A66" s="2" t="str">
        <x:v>S1</x:v>
      </x:c>
      <x:c r="B66" s="2" t="str">
        <x:v>Inferior direção B</x:v>
      </x:c>
      <x:c r="C66" s="11" t="n">
        <x:v>12</x:v>
      </x:c>
      <x:c r="D66" s="11" t="n">
        <x:f>ROUNDUP((Tipos!F26-2*Tipos!I26)/0.15,0)+1</x:f>
        <x:v>27</x:v>
      </x:c>
      <x:c r="E66" s="11"/>
      <x:c r="F66" s="12" t="n">
        <x:f>IF(OR(NOT(ISNUMBER(D66)),D66&lt;=0),"Pendente",IF(E66="",D66,IF(E66&gt;0,D66/E66,"Pendente")))</x:f>
        <x:v>27</x:v>
      </x:c>
      <x:c r="G66" s="11" t="n">
        <x:f>Tipos!H26-2*Tipos!I26</x:f>
        <x:v>3.1999999999999997</x:v>
      </x:c>
      <x:c r="H66" s="12" t="n">
        <x:f>IF(COUNTIF('Como utilizar'!$D$7:$D$14,C66)=0,"Pendente",VLOOKUP(C66,'Como utilizar'!$D$7:$E$14,2,FALSE))</x:f>
        <x:v>0.888</x:v>
      </x:c>
      <x:c r="I66" s="12" t="n">
        <x:f>IF(J66="Pendente","Pendente",F66*G66*H66)</x:f>
        <x:v>76.72319999999999</x:v>
      </x:c>
      <x:c r="J66" s="2" t="str">
        <x:f>IF(AND(ISNUMBER(F66),ISNUMBER(G66),G66&gt;0,ISNUMBER(H66),H66&gt;0),"Base calculada","Pendente")</x:f>
        <x:v>Base calculada</x:v>
      </x:c>
      <x:c r="K66" s="2" t="str">
        <x:v>SAPATAS!A5:AC5</x:v>
      </x:c>
      <x:c r="L66" s="9" t="str">
        <x:v>Contagem arredondada para cima; sem ganchos/transpasses.</x:v>
      </x:c>
    </x:row>
    <x:row r="67" ht="38" customHeight="1">
      <x:c r="A67" s="2" t="str">
        <x:v>S1</x:v>
      </x:c>
      <x:c r="B67" s="2" t="str">
        <x:v>Superior direção A</x:v>
      </x:c>
      <x:c r="C67" s="11" t="n">
        <x:v>10</x:v>
      </x:c>
      <x:c r="D67" s="11" t="n">
        <x:f>ROUNDUP((Tipos!H26-2*Tipos!I26)/0.15,0)+1</x:f>
        <x:v>23</x:v>
      </x:c>
      <x:c r="E67" s="11"/>
      <x:c r="F67" s="12" t="n">
        <x:f>IF(OR(NOT(ISNUMBER(D67)),D67&lt;=0),"Pendente",IF(E67="",D67,IF(E67&gt;0,D67/E67,"Pendente")))</x:f>
        <x:v>23</x:v>
      </x:c>
      <x:c r="G67" s="11" t="n">
        <x:f>Tipos!F26-2*Tipos!I26</x:f>
        <x:v>3.9</x:v>
      </x:c>
      <x:c r="H67" s="12" t="n">
        <x:f>IF(COUNTIF('Como utilizar'!$D$7:$D$14,C67)=0,"Pendente",VLOOKUP(C67,'Como utilizar'!$D$7:$E$14,2,FALSE))</x:f>
        <x:v>0.617</x:v>
      </x:c>
      <x:c r="I67" s="12" t="n">
        <x:f>IF(J67="Pendente","Pendente",F67*G67*H67)</x:f>
        <x:v>55.3449</x:v>
      </x:c>
      <x:c r="J67" s="2" t="str">
        <x:f>IF(AND(ISNUMBER(F67),ISNUMBER(G67),G67&gt;0,ISNUMBER(H67),H67&gt;0),"Base calculada","Pendente")</x:f>
        <x:v>Base calculada</x:v>
      </x:c>
      <x:c r="K67" s="2" t="str">
        <x:v>SAPATAS!A5:AC5</x:v>
      </x:c>
      <x:c r="L67" s="9" t="str">
        <x:v>Contagem arredondada para cima; sem ganchos/transpasses.</x:v>
      </x:c>
    </x:row>
    <x:row r="68" ht="38" customHeight="1">
      <x:c r="A68" s="2" t="str">
        <x:v>S1</x:v>
      </x:c>
      <x:c r="B68" s="2" t="str">
        <x:v>Superior direção B</x:v>
      </x:c>
      <x:c r="C68" s="11" t="n">
        <x:v>10</x:v>
      </x:c>
      <x:c r="D68" s="11" t="n">
        <x:f>ROUNDUP((Tipos!F26-2*Tipos!I26)/0.15,0)+1</x:f>
        <x:v>27</x:v>
      </x:c>
      <x:c r="E68" s="11"/>
      <x:c r="F68" s="12" t="n">
        <x:f>IF(OR(NOT(ISNUMBER(D68)),D68&lt;=0),"Pendente",IF(E68="",D68,IF(E68&gt;0,D68/E68,"Pendente")))</x:f>
        <x:v>27</x:v>
      </x:c>
      <x:c r="G68" s="11" t="n">
        <x:f>Tipos!H26-2*Tipos!I26</x:f>
        <x:v>3.1999999999999997</x:v>
      </x:c>
      <x:c r="H68" s="12" t="n">
        <x:f>IF(COUNTIF('Como utilizar'!$D$7:$D$14,C68)=0,"Pendente",VLOOKUP(C68,'Como utilizar'!$D$7:$E$14,2,FALSE))</x:f>
        <x:v>0.617</x:v>
      </x:c>
      <x:c r="I68" s="12" t="n">
        <x:f>IF(J68="Pendente","Pendente",F68*G68*H68)</x:f>
        <x:v>53.30879999999999</x:v>
      </x:c>
      <x:c r="J68" s="2" t="str">
        <x:f>IF(AND(ISNUMBER(F68),ISNUMBER(G68),G68&gt;0,ISNUMBER(H68),H68&gt;0),"Base calculada","Pendente")</x:f>
        <x:v>Base calculada</x:v>
      </x:c>
      <x:c r="K68" s="2" t="str">
        <x:v>SAPATAS!A5:AC5</x:v>
      </x:c>
      <x:c r="L68" s="9" t="str">
        <x:v>Contagem arredondada para cima; sem ganchos/transpasses.</x:v>
      </x:c>
    </x:row>
    <x:row r="69" ht="38" customHeight="1">
      <x:c r="A69" s="2" t="str">
        <x:v>S1</x:v>
      </x:c>
      <x:c r="B69" s="2" t="str">
        <x:v>Bordo</x:v>
      </x:c>
      <x:c r="C69" s="11" t="n">
        <x:v>8</x:v>
      </x:c>
      <x:c r="D69" s="11" t="n">
        <x:v>2</x:v>
      </x:c>
      <x:c r="E69" s="11"/>
      <x:c r="F69" s="12" t="n">
        <x:f>IF(OR(NOT(ISNUMBER(D69)),D69&lt;=0),"Pendente",IF(E69="",D69,IF(E69&gt;0,D69/E69,"Pendente")))</x:f>
        <x:v>2</x:v>
      </x:c>
      <x:c r="G69" s="11" t="n">
        <x:f>2*(Tipos!F26+Tipos!H26-4*Tipos!I26)</x:f>
        <x:v>14.2</x:v>
      </x:c>
      <x:c r="H69" s="12" t="n">
        <x:f>IF(COUNTIF('Como utilizar'!$D$7:$D$14,C69)=0,"Pendente",VLOOKUP(C69,'Como utilizar'!$D$7:$E$14,2,FALSE))</x:f>
        <x:v>0.395</x:v>
      </x:c>
      <x:c r="I69" s="12" t="n">
        <x:f>IF(J69="Pendente","Pendente",F69*G69*H69)</x:f>
        <x:v>11.218</x:v>
      </x:c>
      <x:c r="J69" s="2" t="str">
        <x:f>IF(AND(ISNUMBER(F69),ISNUMBER(G69),G69&gt;0,ISNUMBER(H69),H69&gt;0),"Base calculada","Pendente")</x:f>
        <x:v>Base calculada</x:v>
      </x:c>
      <x:c r="K69" s="2" t="str">
        <x:v>SAPATAS!A5:AC5</x:v>
      </x:c>
      <x:c r="L69" s="9" t="str">
        <x:v>Perímetro reto; confirmar dobras e cantos.</x:v>
      </x:c>
    </x:row>
    <x:row r="70" ht="38" customHeight="1">
      <x:c r="A70" s="2" t="str">
        <x:v>S2</x:v>
      </x:c>
      <x:c r="B70" s="2" t="str">
        <x:v>Inferior direção A</x:v>
      </x:c>
      <x:c r="C70" s="11" t="n">
        <x:v>16</x:v>
      </x:c>
      <x:c r="D70" s="11" t="n">
        <x:f>ROUNDUP((Tipos!H27-2*Tipos!I27)/0.15,0)+1</x:f>
        <x:v>20</x:v>
      </x:c>
      <x:c r="E70" s="11"/>
      <x:c r="F70" s="12" t="n">
        <x:f>IF(OR(NOT(ISNUMBER(D70)),D70&lt;=0),"Pendente",IF(E70="",D70,IF(E70&gt;0,D70/E70,"Pendente")))</x:f>
        <x:v>20</x:v>
      </x:c>
      <x:c r="G70" s="11" t="n">
        <x:f>Tipos!F27-2*Tipos!I27</x:f>
        <x:v>4.9</x:v>
      </x:c>
      <x:c r="H70" s="12" t="n">
        <x:f>IF(COUNTIF('Como utilizar'!$D$7:$D$14,C70)=0,"Pendente",VLOOKUP(C70,'Como utilizar'!$D$7:$E$14,2,FALSE))</x:f>
        <x:v>1.578</x:v>
      </x:c>
      <x:c r="I70" s="12" t="n">
        <x:f>IF(J70="Pendente","Pendente",F70*G70*H70)</x:f>
        <x:v>154.644</x:v>
      </x:c>
      <x:c r="J70" s="2" t="str">
        <x:f>IF(AND(ISNUMBER(F70),ISNUMBER(G70),G70&gt;0,ISNUMBER(H70),H70&gt;0),"Base calculada","Pendente")</x:f>
        <x:v>Base calculada</x:v>
      </x:c>
      <x:c r="K70" s="2" t="str">
        <x:v>SAPATAS!A6:AC6</x:v>
      </x:c>
      <x:c r="L70" s="9" t="str">
        <x:v>Contagem arredondada para cima; sem ganchos/transpasses.</x:v>
      </x:c>
    </x:row>
    <x:row r="71" ht="38" customHeight="1">
      <x:c r="A71" s="2" t="str">
        <x:v>S2</x:v>
      </x:c>
      <x:c r="B71" s="2" t="str">
        <x:v>Inferior direção B</x:v>
      </x:c>
      <x:c r="C71" s="11" t="n">
        <x:v>16</x:v>
      </x:c>
      <x:c r="D71" s="11" t="n">
        <x:f>ROUNDUP((Tipos!F27-2*Tipos!I27)/0.15,0)+1</x:f>
        <x:v>34</x:v>
      </x:c>
      <x:c r="E71" s="11"/>
      <x:c r="F71" s="12" t="n">
        <x:f>IF(OR(NOT(ISNUMBER(D71)),D71&lt;=0),"Pendente",IF(E71="",D71,IF(E71&gt;0,D71/E71,"Pendente")))</x:f>
        <x:v>34</x:v>
      </x:c>
      <x:c r="G71" s="11" t="n">
        <x:f>Tipos!H27-2*Tipos!I27</x:f>
        <x:v>2.8</x:v>
      </x:c>
      <x:c r="H71" s="12" t="n">
        <x:f>IF(COUNTIF('Como utilizar'!$D$7:$D$14,C71)=0,"Pendente",VLOOKUP(C71,'Como utilizar'!$D$7:$E$14,2,FALSE))</x:f>
        <x:v>1.578</x:v>
      </x:c>
      <x:c r="I71" s="12" t="n">
        <x:f>IF(J71="Pendente","Pendente",F71*G71*H71)</x:f>
        <x:v>150.2256</x:v>
      </x:c>
      <x:c r="J71" s="2" t="str">
        <x:f>IF(AND(ISNUMBER(F71),ISNUMBER(G71),G71&gt;0,ISNUMBER(H71),H71&gt;0),"Base calculada","Pendente")</x:f>
        <x:v>Base calculada</x:v>
      </x:c>
      <x:c r="K71" s="2" t="str">
        <x:v>SAPATAS!A6:AC6</x:v>
      </x:c>
      <x:c r="L71" s="9" t="str">
        <x:v>Contagem arredondada para cima; sem ganchos/transpasses.</x:v>
      </x:c>
    </x:row>
    <x:row r="72" ht="38" customHeight="1">
      <x:c r="A72" s="2" t="str">
        <x:v>S2</x:v>
      </x:c>
      <x:c r="B72" s="2" t="str">
        <x:v>Superior direção A</x:v>
      </x:c>
      <x:c r="C72" s="11" t="n">
        <x:v>12</x:v>
      </x:c>
      <x:c r="D72" s="11" t="n">
        <x:f>ROUNDUP((Tipos!H27-2*Tipos!I27)/0.15,0)+1</x:f>
        <x:v>20</x:v>
      </x:c>
      <x:c r="E72" s="11"/>
      <x:c r="F72" s="12" t="n">
        <x:f>IF(OR(NOT(ISNUMBER(D72)),D72&lt;=0),"Pendente",IF(E72="",D72,IF(E72&gt;0,D72/E72,"Pendente")))</x:f>
        <x:v>20</x:v>
      </x:c>
      <x:c r="G72" s="11" t="n">
        <x:f>Tipos!F27-2*Tipos!I27</x:f>
        <x:v>4.9</x:v>
      </x:c>
      <x:c r="H72" s="12" t="n">
        <x:f>IF(COUNTIF('Como utilizar'!$D$7:$D$14,C72)=0,"Pendente",VLOOKUP(C72,'Como utilizar'!$D$7:$E$14,2,FALSE))</x:f>
        <x:v>0.888</x:v>
      </x:c>
      <x:c r="I72" s="12" t="n">
        <x:f>IF(J72="Pendente","Pendente",F72*G72*H72)</x:f>
        <x:v>87.024</x:v>
      </x:c>
      <x:c r="J72" s="2" t="str">
        <x:f>IF(AND(ISNUMBER(F72),ISNUMBER(G72),G72&gt;0,ISNUMBER(H72),H72&gt;0),"Base calculada","Pendente")</x:f>
        <x:v>Base calculada</x:v>
      </x:c>
      <x:c r="K72" s="2" t="str">
        <x:v>SAPATAS!A6:AC6</x:v>
      </x:c>
      <x:c r="L72" s="9" t="str">
        <x:v>Contagem arredondada para cima; sem ganchos/transpasses.</x:v>
      </x:c>
    </x:row>
    <x:row r="73" ht="38" customHeight="1">
      <x:c r="A73" s="2" t="str">
        <x:v>S2</x:v>
      </x:c>
      <x:c r="B73" s="2" t="str">
        <x:v>Superior direção B</x:v>
      </x:c>
      <x:c r="C73" s="11" t="n">
        <x:v>12</x:v>
      </x:c>
      <x:c r="D73" s="11" t="n">
        <x:f>ROUNDUP((Tipos!F27-2*Tipos!I27)/0.15,0)+1</x:f>
        <x:v>34</x:v>
      </x:c>
      <x:c r="E73" s="11"/>
      <x:c r="F73" s="12" t="n">
        <x:f>IF(OR(NOT(ISNUMBER(D73)),D73&lt;=0),"Pendente",IF(E73="",D73,IF(E73&gt;0,D73/E73,"Pendente")))</x:f>
        <x:v>34</x:v>
      </x:c>
      <x:c r="G73" s="11" t="n">
        <x:f>Tipos!H27-2*Tipos!I27</x:f>
        <x:v>2.8</x:v>
      </x:c>
      <x:c r="H73" s="12" t="n">
        <x:f>IF(COUNTIF('Como utilizar'!$D$7:$D$14,C73)=0,"Pendente",VLOOKUP(C73,'Como utilizar'!$D$7:$E$14,2,FALSE))</x:f>
        <x:v>0.888</x:v>
      </x:c>
      <x:c r="I73" s="12" t="n">
        <x:f>IF(J73="Pendente","Pendente",F73*G73*H73)</x:f>
        <x:v>84.5376</x:v>
      </x:c>
      <x:c r="J73" s="2" t="str">
        <x:f>IF(AND(ISNUMBER(F73),ISNUMBER(G73),G73&gt;0,ISNUMBER(H73),H73&gt;0),"Base calculada","Pendente")</x:f>
        <x:v>Base calculada</x:v>
      </x:c>
      <x:c r="K73" s="2" t="str">
        <x:v>SAPATAS!A6:AC6</x:v>
      </x:c>
      <x:c r="L73" s="9" t="str">
        <x:v>Contagem arredondada para cima; sem ganchos/transpasses.</x:v>
      </x:c>
    </x:row>
    <x:row r="74" ht="38" customHeight="1">
      <x:c r="A74" s="2" t="str">
        <x:v>S2</x:v>
      </x:c>
      <x:c r="B74" s="2" t="str">
        <x:v>Bordo</x:v>
      </x:c>
      <x:c r="C74" s="11" t="n">
        <x:v>8</x:v>
      </x:c>
      <x:c r="D74" s="11" t="n">
        <x:v>4</x:v>
      </x:c>
      <x:c r="E74" s="11"/>
      <x:c r="F74" s="12" t="n">
        <x:f>IF(OR(NOT(ISNUMBER(D74)),D74&lt;=0),"Pendente",IF(E74="",D74,IF(E74&gt;0,D74/E74,"Pendente")))</x:f>
        <x:v>4</x:v>
      </x:c>
      <x:c r="G74" s="11" t="n">
        <x:f>2*(Tipos!F27+Tipos!H27-4*Tipos!I27)</x:f>
        <x:v>15.4</x:v>
      </x:c>
      <x:c r="H74" s="12" t="n">
        <x:f>IF(COUNTIF('Como utilizar'!$D$7:$D$14,C74)=0,"Pendente",VLOOKUP(C74,'Como utilizar'!$D$7:$E$14,2,FALSE))</x:f>
        <x:v>0.395</x:v>
      </x:c>
      <x:c r="I74" s="12" t="n">
        <x:f>IF(J74="Pendente","Pendente",F74*G74*H74)</x:f>
        <x:v>24.332</x:v>
      </x:c>
      <x:c r="J74" s="2" t="str">
        <x:f>IF(AND(ISNUMBER(F74),ISNUMBER(G74),G74&gt;0,ISNUMBER(H74),H74&gt;0),"Base calculada","Pendente")</x:f>
        <x:v>Base calculada</x:v>
      </x:c>
      <x:c r="K74" s="2" t="str">
        <x:v>SAPATAS!A6:AC6</x:v>
      </x:c>
      <x:c r="L74" s="9" t="str">
        <x:v>Perímetro reto; confirmar dobras e cantos.</x:v>
      </x:c>
    </x:row>
    <x:row r="75" ht="38" customHeight="1">
      <x:c r="A75" s="2" t="str">
        <x:v>S3</x:v>
      </x:c>
      <x:c r="B75" s="2" t="str">
        <x:v>Inferior direção A</x:v>
      </x:c>
      <x:c r="C75" s="11" t="n">
        <x:v>16</x:v>
      </x:c>
      <x:c r="D75" s="11" t="n">
        <x:f>ROUNDUP((Tipos!H28-2*Tipos!I28)/0.15,0)+1</x:f>
        <x:v>13</x:v>
      </x:c>
      <x:c r="E75" s="11"/>
      <x:c r="F75" s="12" t="n">
        <x:f>IF(OR(NOT(ISNUMBER(D75)),D75&lt;=0),"Pendente",IF(E75="",D75,IF(E75&gt;0,D75/E75,"Pendente")))</x:f>
        <x:v>13</x:v>
      </x:c>
      <x:c r="G75" s="11" t="n">
        <x:f>Tipos!F28-2*Tipos!I28</x:f>
        <x:v>1.4</x:v>
      </x:c>
      <x:c r="H75" s="12" t="n">
        <x:f>IF(COUNTIF('Como utilizar'!$D$7:$D$14,C75)=0,"Pendente",VLOOKUP(C75,'Como utilizar'!$D$7:$E$14,2,FALSE))</x:f>
        <x:v>1.578</x:v>
      </x:c>
      <x:c r="I75" s="12" t="n">
        <x:f>IF(J75="Pendente","Pendente",F75*G75*H75)</x:f>
        <x:v>28.7196</x:v>
      </x:c>
      <x:c r="J75" s="2" t="str">
        <x:f>IF(AND(ISNUMBER(F75),ISNUMBER(G75),G75&gt;0,ISNUMBER(H75),H75&gt;0),"Base calculada","Pendente")</x:f>
        <x:v>Base calculada</x:v>
      </x:c>
      <x:c r="K75" s="2" t="str">
        <x:v>SAPATAS!A7:AC7</x:v>
      </x:c>
      <x:c r="L75" s="9" t="str">
        <x:v>Contagem arredondada para cima; sem ganchos/transpasses.</x:v>
      </x:c>
    </x:row>
    <x:row r="76" ht="38" customHeight="1">
      <x:c r="A76" s="2" t="str">
        <x:v>S3</x:v>
      </x:c>
      <x:c r="B76" s="2" t="str">
        <x:v>Inferior direção B</x:v>
      </x:c>
      <x:c r="C76" s="11" t="n">
        <x:v>16</x:v>
      </x:c>
      <x:c r="D76" s="11" t="n">
        <x:f>ROUNDUP((Tipos!F28-2*Tipos!I28)/0.15,0)+1</x:f>
        <x:v>11</x:v>
      </x:c>
      <x:c r="E76" s="11"/>
      <x:c r="F76" s="12" t="n">
        <x:f>IF(OR(NOT(ISNUMBER(D76)),D76&lt;=0),"Pendente",IF(E76="",D76,IF(E76&gt;0,D76/E76,"Pendente")))</x:f>
        <x:v>11</x:v>
      </x:c>
      <x:c r="G76" s="11" t="n">
        <x:f>Tipos!H28-2*Tipos!I28</x:f>
        <x:v>1.7</x:v>
      </x:c>
      <x:c r="H76" s="12" t="n">
        <x:f>IF(COUNTIF('Como utilizar'!$D$7:$D$14,C76)=0,"Pendente",VLOOKUP(C76,'Como utilizar'!$D$7:$E$14,2,FALSE))</x:f>
        <x:v>1.578</x:v>
      </x:c>
      <x:c r="I76" s="12" t="n">
        <x:f>IF(J76="Pendente","Pendente",F76*G76*H76)</x:f>
        <x:v>29.5086</x:v>
      </x:c>
      <x:c r="J76" s="2" t="str">
        <x:f>IF(AND(ISNUMBER(F76),ISNUMBER(G76),G76&gt;0,ISNUMBER(H76),H76&gt;0),"Base calculada","Pendente")</x:f>
        <x:v>Base calculada</x:v>
      </x:c>
      <x:c r="K76" s="2" t="str">
        <x:v>SAPATAS!A7:AC7</x:v>
      </x:c>
      <x:c r="L76" s="9" t="str">
        <x:v>Contagem arredondada para cima; sem ganchos/transpasses.</x:v>
      </x:c>
    </x:row>
    <x:row r="77" ht="38" customHeight="1">
      <x:c r="A77" s="2" t="str">
        <x:v>S3</x:v>
      </x:c>
      <x:c r="B77" s="2" t="str">
        <x:v>Superior direção A</x:v>
      </x:c>
      <x:c r="C77" s="11" t="n">
        <x:v>12</x:v>
      </x:c>
      <x:c r="D77" s="11" t="n">
        <x:f>ROUNDUP((Tipos!H28-2*Tipos!I28)/0.15,0)+1</x:f>
        <x:v>13</x:v>
      </x:c>
      <x:c r="E77" s="11"/>
      <x:c r="F77" s="12" t="n">
        <x:f>IF(OR(NOT(ISNUMBER(D77)),D77&lt;=0),"Pendente",IF(E77="",D77,IF(E77&gt;0,D77/E77,"Pendente")))</x:f>
        <x:v>13</x:v>
      </x:c>
      <x:c r="G77" s="11" t="n">
        <x:f>Tipos!F28-2*Tipos!I28</x:f>
        <x:v>1.4</x:v>
      </x:c>
      <x:c r="H77" s="12" t="n">
        <x:f>IF(COUNTIF('Como utilizar'!$D$7:$D$14,C77)=0,"Pendente",VLOOKUP(C77,'Como utilizar'!$D$7:$E$14,2,FALSE))</x:f>
        <x:v>0.888</x:v>
      </x:c>
      <x:c r="I77" s="12" t="n">
        <x:f>IF(J77="Pendente","Pendente",F77*G77*H77)</x:f>
        <x:v>16.1616</x:v>
      </x:c>
      <x:c r="J77" s="2" t="str">
        <x:f>IF(AND(ISNUMBER(F77),ISNUMBER(G77),G77&gt;0,ISNUMBER(H77),H77&gt;0),"Base calculada","Pendente")</x:f>
        <x:v>Base calculada</x:v>
      </x:c>
      <x:c r="K77" s="2" t="str">
        <x:v>SAPATAS!A7:AC7</x:v>
      </x:c>
      <x:c r="L77" s="9" t="str">
        <x:v>Contagem arredondada para cima; sem ganchos/transpasses.</x:v>
      </x:c>
    </x:row>
    <x:row r="78" ht="38" customHeight="1">
      <x:c r="A78" s="2" t="str">
        <x:v>S3</x:v>
      </x:c>
      <x:c r="B78" s="2" t="str">
        <x:v>Superior direção B</x:v>
      </x:c>
      <x:c r="C78" s="11" t="n">
        <x:v>12</x:v>
      </x:c>
      <x:c r="D78" s="11" t="n">
        <x:f>ROUNDUP((Tipos!F28-2*Tipos!I28)/0.15,0)+1</x:f>
        <x:v>11</x:v>
      </x:c>
      <x:c r="E78" s="11"/>
      <x:c r="F78" s="12" t="n">
        <x:f>IF(OR(NOT(ISNUMBER(D78)),D78&lt;=0),"Pendente",IF(E78="",D78,IF(E78&gt;0,D78/E78,"Pendente")))</x:f>
        <x:v>11</x:v>
      </x:c>
      <x:c r="G78" s="11" t="n">
        <x:f>Tipos!H28-2*Tipos!I28</x:f>
        <x:v>1.7</x:v>
      </x:c>
      <x:c r="H78" s="12" t="n">
        <x:f>IF(COUNTIF('Como utilizar'!$D$7:$D$14,C78)=0,"Pendente",VLOOKUP(C78,'Como utilizar'!$D$7:$E$14,2,FALSE))</x:f>
        <x:v>0.888</x:v>
      </x:c>
      <x:c r="I78" s="12" t="n">
        <x:f>IF(J78="Pendente","Pendente",F78*G78*H78)</x:f>
        <x:v>16.6056</x:v>
      </x:c>
      <x:c r="J78" s="2" t="str">
        <x:f>IF(AND(ISNUMBER(F78),ISNUMBER(G78),G78&gt;0,ISNUMBER(H78),H78&gt;0),"Base calculada","Pendente")</x:f>
        <x:v>Base calculada</x:v>
      </x:c>
      <x:c r="K78" s="2" t="str">
        <x:v>SAPATAS!A7:AC7</x:v>
      </x:c>
      <x:c r="L78" s="9" t="str">
        <x:v>Contagem arredondada para cima; sem ganchos/transpasses.</x:v>
      </x:c>
    </x:row>
    <x:row r="79" ht="38" customHeight="1">
      <x:c r="A79" s="2" t="str">
        <x:v>S3</x:v>
      </x:c>
      <x:c r="B79" s="2" t="str">
        <x:v>Bordo</x:v>
      </x:c>
      <x:c r="C79" s="11" t="n">
        <x:v>8</x:v>
      </x:c>
      <x:c r="D79" s="11" t="n">
        <x:v>2</x:v>
      </x:c>
      <x:c r="E79" s="11"/>
      <x:c r="F79" s="12" t="n">
        <x:f>IF(OR(NOT(ISNUMBER(D79)),D79&lt;=0),"Pendente",IF(E79="",D79,IF(E79&gt;0,D79/E79,"Pendente")))</x:f>
        <x:v>2</x:v>
      </x:c>
      <x:c r="G79" s="11" t="n">
        <x:f>2*(Tipos!F28+Tipos!H28-4*Tipos!I28)</x:f>
        <x:v>6.199999999999999</x:v>
      </x:c>
      <x:c r="H79" s="12" t="n">
        <x:f>IF(COUNTIF('Como utilizar'!$D$7:$D$14,C79)=0,"Pendente",VLOOKUP(C79,'Como utilizar'!$D$7:$E$14,2,FALSE))</x:f>
        <x:v>0.395</x:v>
      </x:c>
      <x:c r="I79" s="12" t="n">
        <x:f>IF(J79="Pendente","Pendente",F79*G79*H79)</x:f>
        <x:v>4.898</x:v>
      </x:c>
      <x:c r="J79" s="2" t="str">
        <x:f>IF(AND(ISNUMBER(F79),ISNUMBER(G79),G79&gt;0,ISNUMBER(H79),H79&gt;0),"Base calculada","Pendente")</x:f>
        <x:v>Base calculada</x:v>
      </x:c>
      <x:c r="K79" s="2" t="str">
        <x:v>SAPATAS!A7:AC7</x:v>
      </x:c>
      <x:c r="L79" s="9" t="str">
        <x:v>Perímetro reto; confirmar dobras e cantos.</x:v>
      </x:c>
    </x:row>
    <x:row r="80" ht="38" customHeight="1">
      <x:c r="A80" s="2" t="str">
        <x:v>S4</x:v>
      </x:c>
      <x:c r="B80" s="2" t="str">
        <x:v>Inferior direção A</x:v>
      </x:c>
      <x:c r="C80" s="11" t="n">
        <x:v>12</x:v>
      </x:c>
      <x:c r="D80" s="11" t="n">
        <x:f>ROUNDUP((Tipos!H29-2*Tipos!I29)/0.15,0)+1</x:f>
        <x:v>10</x:v>
      </x:c>
      <x:c r="E80" s="11"/>
      <x:c r="F80" s="12" t="n">
        <x:f>IF(OR(NOT(ISNUMBER(D80)),D80&lt;=0),"Pendente",IF(E80="",D80,IF(E80&gt;0,D80/E80,"Pendente")))</x:f>
        <x:v>10</x:v>
      </x:c>
      <x:c r="G80" s="11" t="n">
        <x:f>Tipos!F29-2*Tipos!I29</x:f>
        <x:v>1.5</x:v>
      </x:c>
      <x:c r="H80" s="12" t="n">
        <x:f>IF(COUNTIF('Como utilizar'!$D$7:$D$14,C80)=0,"Pendente",VLOOKUP(C80,'Como utilizar'!$D$7:$E$14,2,FALSE))</x:f>
        <x:v>0.888</x:v>
      </x:c>
      <x:c r="I80" s="12" t="n">
        <x:f>IF(J80="Pendente","Pendente",F80*G80*H80)</x:f>
        <x:v>13.32</x:v>
      </x:c>
      <x:c r="J80" s="2" t="str">
        <x:f>IF(AND(ISNUMBER(F80),ISNUMBER(G80),G80&gt;0,ISNUMBER(H80),H80&gt;0),"Base calculada","Pendente")</x:f>
        <x:v>Base calculada</x:v>
      </x:c>
      <x:c r="K80" s="2" t="str">
        <x:v>SAPATAS!A8:AC8</x:v>
      </x:c>
      <x:c r="L80" s="9" t="str">
        <x:v>Contagem arredondada para cima; sem ganchos/transpasses.</x:v>
      </x:c>
    </x:row>
    <x:row r="81" ht="38" customHeight="1">
      <x:c r="A81" s="2" t="str">
        <x:v>S4</x:v>
      </x:c>
      <x:c r="B81" s="2" t="str">
        <x:v>Inferior direção B</x:v>
      </x:c>
      <x:c r="C81" s="11" t="n">
        <x:v>12</x:v>
      </x:c>
      <x:c r="D81" s="11" t="n">
        <x:f>ROUNDUP((Tipos!F29-2*Tipos!I29)/0.15,0)+1</x:f>
        <x:v>11</x:v>
      </x:c>
      <x:c r="E81" s="11"/>
      <x:c r="F81" s="12" t="n">
        <x:f>IF(OR(NOT(ISNUMBER(D81)),D81&lt;=0),"Pendente",IF(E81="",D81,IF(E81&gt;0,D81/E81,"Pendente")))</x:f>
        <x:v>11</x:v>
      </x:c>
      <x:c r="G81" s="11" t="n">
        <x:f>Tipos!H29-2*Tipos!I29</x:f>
        <x:v>1.2999999999999998</x:v>
      </x:c>
      <x:c r="H81" s="12" t="n">
        <x:f>IF(COUNTIF('Como utilizar'!$D$7:$D$14,C81)=0,"Pendente",VLOOKUP(C81,'Como utilizar'!$D$7:$E$14,2,FALSE))</x:f>
        <x:v>0.888</x:v>
      </x:c>
      <x:c r="I81" s="12" t="n">
        <x:f>IF(J81="Pendente","Pendente",F81*G81*H81)</x:f>
        <x:v>12.698399999999998</x:v>
      </x:c>
      <x:c r="J81" s="2" t="str">
        <x:f>IF(AND(ISNUMBER(F81),ISNUMBER(G81),G81&gt;0,ISNUMBER(H81),H81&gt;0),"Base calculada","Pendente")</x:f>
        <x:v>Base calculada</x:v>
      </x:c>
      <x:c r="K81" s="2" t="str">
        <x:v>SAPATAS!A8:AC8</x:v>
      </x:c>
      <x:c r="L81" s="9" t="str">
        <x:v>Contagem arredondada para cima; sem ganchos/transpasses.</x:v>
      </x:c>
    </x:row>
    <x:row r="82" ht="38" customHeight="1">
      <x:c r="A82" s="2" t="str">
        <x:v>S4</x:v>
      </x:c>
      <x:c r="B82" s="2" t="str">
        <x:v>Superior direção A</x:v>
      </x:c>
      <x:c r="C82" s="11" t="n">
        <x:v>10</x:v>
      </x:c>
      <x:c r="D82" s="11" t="n">
        <x:f>ROUNDUP((Tipos!H29-2*Tipos!I29)/0.15,0)+1</x:f>
        <x:v>10</x:v>
      </x:c>
      <x:c r="E82" s="11"/>
      <x:c r="F82" s="12" t="n">
        <x:f>IF(OR(NOT(ISNUMBER(D82)),D82&lt;=0),"Pendente",IF(E82="",D82,IF(E82&gt;0,D82/E82,"Pendente")))</x:f>
        <x:v>10</x:v>
      </x:c>
      <x:c r="G82" s="11" t="n">
        <x:f>Tipos!F29-2*Tipos!I29</x:f>
        <x:v>1.5</x:v>
      </x:c>
      <x:c r="H82" s="12" t="n">
        <x:f>IF(COUNTIF('Como utilizar'!$D$7:$D$14,C82)=0,"Pendente",VLOOKUP(C82,'Como utilizar'!$D$7:$E$14,2,FALSE))</x:f>
        <x:v>0.617</x:v>
      </x:c>
      <x:c r="I82" s="12" t="n">
        <x:f>IF(J82="Pendente","Pendente",F82*G82*H82)</x:f>
        <x:v>9.254999999999999</x:v>
      </x:c>
      <x:c r="J82" s="2" t="str">
        <x:f>IF(AND(ISNUMBER(F82),ISNUMBER(G82),G82&gt;0,ISNUMBER(H82),H82&gt;0),"Base calculada","Pendente")</x:f>
        <x:v>Base calculada</x:v>
      </x:c>
      <x:c r="K82" s="2" t="str">
        <x:v>SAPATAS!A8:AC8</x:v>
      </x:c>
      <x:c r="L82" s="9" t="str">
        <x:v>Contagem arredondada para cima; sem ganchos/transpasses.</x:v>
      </x:c>
    </x:row>
    <x:row r="83" ht="38" customHeight="1">
      <x:c r="A83" s="2" t="str">
        <x:v>S4</x:v>
      </x:c>
      <x:c r="B83" s="2" t="str">
        <x:v>Superior direção B</x:v>
      </x:c>
      <x:c r="C83" s="11" t="n">
        <x:v>10</x:v>
      </x:c>
      <x:c r="D83" s="11" t="n">
        <x:f>ROUNDUP((Tipos!F29-2*Tipos!I29)/0.15,0)+1</x:f>
        <x:v>11</x:v>
      </x:c>
      <x:c r="E83" s="11"/>
      <x:c r="F83" s="12" t="n">
        <x:f>IF(OR(NOT(ISNUMBER(D83)),D83&lt;=0),"Pendente",IF(E83="",D83,IF(E83&gt;0,D83/E83,"Pendente")))</x:f>
        <x:v>11</x:v>
      </x:c>
      <x:c r="G83" s="11" t="n">
        <x:f>Tipos!H29-2*Tipos!I29</x:f>
        <x:v>1.2999999999999998</x:v>
      </x:c>
      <x:c r="H83" s="12" t="n">
        <x:f>IF(COUNTIF('Como utilizar'!$D$7:$D$14,C83)=0,"Pendente",VLOOKUP(C83,'Como utilizar'!$D$7:$E$14,2,FALSE))</x:f>
        <x:v>0.617</x:v>
      </x:c>
      <x:c r="I83" s="12" t="n">
        <x:f>IF(J83="Pendente","Pendente",F83*G83*H83)</x:f>
        <x:v>8.823099999999998</x:v>
      </x:c>
      <x:c r="J83" s="2" t="str">
        <x:f>IF(AND(ISNUMBER(F83),ISNUMBER(G83),G83&gt;0,ISNUMBER(H83),H83&gt;0),"Base calculada","Pendente")</x:f>
        <x:v>Base calculada</x:v>
      </x:c>
      <x:c r="K83" s="2" t="str">
        <x:v>SAPATAS!A8:AC8</x:v>
      </x:c>
      <x:c r="L83" s="9" t="str">
        <x:v>Contagem arredondada para cima; sem ganchos/transpasses.</x:v>
      </x:c>
    </x:row>
    <x:row r="84" ht="38" customHeight="1">
      <x:c r="A84" s="2" t="str">
        <x:v>S4</x:v>
      </x:c>
      <x:c r="B84" s="2" t="str">
        <x:v>Bordo</x:v>
      </x:c>
      <x:c r="C84" s="11" t="n">
        <x:v>8</x:v>
      </x:c>
      <x:c r="D84" s="11" t="n">
        <x:v>2</x:v>
      </x:c>
      <x:c r="E84" s="11"/>
      <x:c r="F84" s="12" t="n">
        <x:f>IF(OR(NOT(ISNUMBER(D84)),D84&lt;=0),"Pendente",IF(E84="",D84,IF(E84&gt;0,D84/E84,"Pendente")))</x:f>
        <x:v>2</x:v>
      </x:c>
      <x:c r="G84" s="11" t="n">
        <x:f>2*(Tipos!F29+Tipos!H29-4*Tipos!I29)</x:f>
        <x:v>5.6</x:v>
      </x:c>
      <x:c r="H84" s="12" t="n">
        <x:f>IF(COUNTIF('Como utilizar'!$D$7:$D$14,C84)=0,"Pendente",VLOOKUP(C84,'Como utilizar'!$D$7:$E$14,2,FALSE))</x:f>
        <x:v>0.395</x:v>
      </x:c>
      <x:c r="I84" s="12" t="n">
        <x:f>IF(J84="Pendente","Pendente",F84*G84*H84)</x:f>
        <x:v>4.4239999999999995</x:v>
      </x:c>
      <x:c r="J84" s="2" t="str">
        <x:f>IF(AND(ISNUMBER(F84),ISNUMBER(G84),G84&gt;0,ISNUMBER(H84),H84&gt;0),"Base calculada","Pendente")</x:f>
        <x:v>Base calculada</x:v>
      </x:c>
      <x:c r="K84" s="2" t="str">
        <x:v>SAPATAS!A8:AC8</x:v>
      </x:c>
      <x:c r="L84" s="9" t="str">
        <x:v>Perímetro reto; confirmar dobras e cantos.</x:v>
      </x:c>
    </x:row>
    <x:row r="85" ht="38" customHeight="1">
      <x:c r="A85" s="2" t="str">
        <x:v>S5</x:v>
      </x:c>
      <x:c r="B85" s="2" t="str">
        <x:v>Inferior direção A</x:v>
      </x:c>
      <x:c r="C85" s="11" t="n">
        <x:v>10</x:v>
      </x:c>
      <x:c r="D85" s="11" t="n">
        <x:f>ROUNDUP((Tipos!H30-2*Tipos!I30)/0.15,0)+1</x:f>
        <x:v>7</x:v>
      </x:c>
      <x:c r="E85" s="11"/>
      <x:c r="F85" s="12" t="n">
        <x:f>IF(OR(NOT(ISNUMBER(D85)),D85&lt;=0),"Pendente",IF(E85="",D85,IF(E85&gt;0,D85/E85,"Pendente")))</x:f>
        <x:v>7</x:v>
      </x:c>
      <x:c r="G85" s="11" t="n">
        <x:f>Tipos!F30-2*Tipos!I30</x:f>
        <x:v>0.9</x:v>
      </x:c>
      <x:c r="H85" s="12" t="n">
        <x:f>IF(COUNTIF('Como utilizar'!$D$7:$D$14,C85)=0,"Pendente",VLOOKUP(C85,'Como utilizar'!$D$7:$E$14,2,FALSE))</x:f>
        <x:v>0.617</x:v>
      </x:c>
      <x:c r="I85" s="12" t="n">
        <x:f>IF(J85="Pendente","Pendente",F85*G85*H85)</x:f>
        <x:v>3.8870999999999998</x:v>
      </x:c>
      <x:c r="J85" s="2" t="str">
        <x:f>IF(AND(ISNUMBER(F85),ISNUMBER(G85),G85&gt;0,ISNUMBER(H85),H85&gt;0),"Base calculada","Pendente")</x:f>
        <x:v>Base calculada</x:v>
      </x:c>
      <x:c r="K85" s="2" t="str">
        <x:v>SAPATAS!A9:AC9</x:v>
      </x:c>
      <x:c r="L85" s="9" t="str">
        <x:v>Contagem arredondada para cima; sem ganchos/transpasses.</x:v>
      </x:c>
    </x:row>
    <x:row r="86" ht="38" customHeight="1">
      <x:c r="A86" s="2" t="str">
        <x:v>S5</x:v>
      </x:c>
      <x:c r="B86" s="2" t="str">
        <x:v>Inferior direção B</x:v>
      </x:c>
      <x:c r="C86" s="11" t="n">
        <x:v>10</x:v>
      </x:c>
      <x:c r="D86" s="11" t="n">
        <x:f>ROUNDUP((Tipos!F30-2*Tipos!I30)/0.15,0)+1</x:f>
        <x:v>7</x:v>
      </x:c>
      <x:c r="E86" s="11"/>
      <x:c r="F86" s="12" t="n">
        <x:f>IF(OR(NOT(ISNUMBER(D86)),D86&lt;=0),"Pendente",IF(E86="",D86,IF(E86&gt;0,D86/E86,"Pendente")))</x:f>
        <x:v>7</x:v>
      </x:c>
      <x:c r="G86" s="11" t="n">
        <x:f>Tipos!H30-2*Tipos!I30</x:f>
        <x:v>0.9</x:v>
      </x:c>
      <x:c r="H86" s="12" t="n">
        <x:f>IF(COUNTIF('Como utilizar'!$D$7:$D$14,C86)=0,"Pendente",VLOOKUP(C86,'Como utilizar'!$D$7:$E$14,2,FALSE))</x:f>
        <x:v>0.617</x:v>
      </x:c>
      <x:c r="I86" s="12" t="n">
        <x:f>IF(J86="Pendente","Pendente",F86*G86*H86)</x:f>
        <x:v>3.8870999999999998</x:v>
      </x:c>
      <x:c r="J86" s="2" t="str">
        <x:f>IF(AND(ISNUMBER(F86),ISNUMBER(G86),G86&gt;0,ISNUMBER(H86),H86&gt;0),"Base calculada","Pendente")</x:f>
        <x:v>Base calculada</x:v>
      </x:c>
      <x:c r="K86" s="2" t="str">
        <x:v>SAPATAS!A9:AC9</x:v>
      </x:c>
      <x:c r="L86" s="9" t="str">
        <x:v>Contagem arredondada para cima; sem ganchos/transpasses.</x:v>
      </x:c>
    </x:row>
    <x:row r="87" ht="38" customHeight="1">
      <x:c r="A87" s="2" t="str">
        <x:v>S5</x:v>
      </x:c>
      <x:c r="B87" s="2" t="str">
        <x:v>Superior direção A</x:v>
      </x:c>
      <x:c r="C87" s="11" t="n">
        <x:v>10</x:v>
      </x:c>
      <x:c r="D87" s="11" t="n">
        <x:f>ROUNDUP((Tipos!H30-2*Tipos!I30)/0.15,0)+1</x:f>
        <x:v>7</x:v>
      </x:c>
      <x:c r="E87" s="11"/>
      <x:c r="F87" s="12" t="n">
        <x:f>IF(OR(NOT(ISNUMBER(D87)),D87&lt;=0),"Pendente",IF(E87="",D87,IF(E87&gt;0,D87/E87,"Pendente")))</x:f>
        <x:v>7</x:v>
      </x:c>
      <x:c r="G87" s="11" t="n">
        <x:f>Tipos!F30-2*Tipos!I30</x:f>
        <x:v>0.9</x:v>
      </x:c>
      <x:c r="H87" s="12" t="n">
        <x:f>IF(COUNTIF('Como utilizar'!$D$7:$D$14,C87)=0,"Pendente",VLOOKUP(C87,'Como utilizar'!$D$7:$E$14,2,FALSE))</x:f>
        <x:v>0.617</x:v>
      </x:c>
      <x:c r="I87" s="12" t="n">
        <x:f>IF(J87="Pendente","Pendente",F87*G87*H87)</x:f>
        <x:v>3.8870999999999998</x:v>
      </x:c>
      <x:c r="J87" s="2" t="str">
        <x:f>IF(AND(ISNUMBER(F87),ISNUMBER(G87),G87&gt;0,ISNUMBER(H87),H87&gt;0),"Base calculada","Pendente")</x:f>
        <x:v>Base calculada</x:v>
      </x:c>
      <x:c r="K87" s="2" t="str">
        <x:v>SAPATAS!A9:AC9</x:v>
      </x:c>
      <x:c r="L87" s="9" t="str">
        <x:v>Contagem arredondada para cima; sem ganchos/transpasses.</x:v>
      </x:c>
    </x:row>
    <x:row r="88" ht="38" customHeight="1">
      <x:c r="A88" s="2" t="str">
        <x:v>S5</x:v>
      </x:c>
      <x:c r="B88" s="2" t="str">
        <x:v>Superior direção B</x:v>
      </x:c>
      <x:c r="C88" s="11" t="n">
        <x:v>10</x:v>
      </x:c>
      <x:c r="D88" s="11" t="n">
        <x:f>ROUNDUP((Tipos!F30-2*Tipos!I30)/0.15,0)+1</x:f>
        <x:v>7</x:v>
      </x:c>
      <x:c r="E88" s="11"/>
      <x:c r="F88" s="12" t="n">
        <x:f>IF(OR(NOT(ISNUMBER(D88)),D88&lt;=0),"Pendente",IF(E88="",D88,IF(E88&gt;0,D88/E88,"Pendente")))</x:f>
        <x:v>7</x:v>
      </x:c>
      <x:c r="G88" s="11" t="n">
        <x:f>Tipos!H30-2*Tipos!I30</x:f>
        <x:v>0.9</x:v>
      </x:c>
      <x:c r="H88" s="12" t="n">
        <x:f>IF(COUNTIF('Como utilizar'!$D$7:$D$14,C88)=0,"Pendente",VLOOKUP(C88,'Como utilizar'!$D$7:$E$14,2,FALSE))</x:f>
        <x:v>0.617</x:v>
      </x:c>
      <x:c r="I88" s="12" t="n">
        <x:f>IF(J88="Pendente","Pendente",F88*G88*H88)</x:f>
        <x:v>3.8870999999999998</x:v>
      </x:c>
      <x:c r="J88" s="2" t="str">
        <x:f>IF(AND(ISNUMBER(F88),ISNUMBER(G88),G88&gt;0,ISNUMBER(H88),H88&gt;0),"Base calculada","Pendente")</x:f>
        <x:v>Base calculada</x:v>
      </x:c>
      <x:c r="K88" s="2" t="str">
        <x:v>SAPATAS!A9:AC9</x:v>
      </x:c>
      <x:c r="L88" s="9" t="str">
        <x:v>Contagem arredondada para cima; sem ganchos/transpasses.</x:v>
      </x:c>
    </x:row>
    <x:row r="89" ht="38" customHeight="1">
      <x:c r="A89" s="2" t="str">
        <x:v>S5</x:v>
      </x:c>
      <x:c r="B89" s="2" t="str">
        <x:v>Bordo</x:v>
      </x:c>
      <x:c r="C89" s="11" t="n">
        <x:v>8</x:v>
      </x:c>
      <x:c r="D89" s="11" t="n">
        <x:v>2</x:v>
      </x:c>
      <x:c r="E89" s="11"/>
      <x:c r="F89" s="12" t="n">
        <x:f>IF(OR(NOT(ISNUMBER(D89)),D89&lt;=0),"Pendente",IF(E89="",D89,IF(E89&gt;0,D89/E89,"Pendente")))</x:f>
        <x:v>2</x:v>
      </x:c>
      <x:c r="G89" s="11" t="n">
        <x:f>2*(Tipos!F30+Tipos!H30-4*Tipos!I30)</x:f>
        <x:v>3.6</x:v>
      </x:c>
      <x:c r="H89" s="12" t="n">
        <x:f>IF(COUNTIF('Como utilizar'!$D$7:$D$14,C89)=0,"Pendente",VLOOKUP(C89,'Como utilizar'!$D$7:$E$14,2,FALSE))</x:f>
        <x:v>0.395</x:v>
      </x:c>
      <x:c r="I89" s="12" t="n">
        <x:f>IF(J89="Pendente","Pendente",F89*G89*H89)</x:f>
        <x:v>2.8440000000000003</x:v>
      </x:c>
      <x:c r="J89" s="2" t="str">
        <x:f>IF(AND(ISNUMBER(F89),ISNUMBER(G89),G89&gt;0,ISNUMBER(H89),H89&gt;0),"Base calculada","Pendente")</x:f>
        <x:v>Base calculada</x:v>
      </x:c>
      <x:c r="K89" s="2" t="str">
        <x:v>SAPATAS!A9:AC9</x:v>
      </x:c>
      <x:c r="L89" s="9" t="str">
        <x:v>Perímetro reto; confirmar dobras e cantos.</x:v>
      </x:c>
    </x:row>
    <x:row r="90" ht="38" customHeight="1">
      <x:c r="A90" s="2" t="str">
        <x:v>S6</x:v>
      </x:c>
      <x:c r="B90" s="2" t="str">
        <x:v>Inferior direção A</x:v>
      </x:c>
      <x:c r="C90" s="11" t="n">
        <x:v>10</x:v>
      </x:c>
      <x:c r="D90" s="11" t="n">
        <x:f>ROUNDUP((Tipos!H31-2*Tipos!I31)/0.15,0)+1</x:f>
        <x:v>15</x:v>
      </x:c>
      <x:c r="E90" s="11"/>
      <x:c r="F90" s="12" t="n">
        <x:f>IF(OR(NOT(ISNUMBER(D90)),D90&lt;=0),"Pendente",IF(E90="",D90,IF(E90&gt;0,D90/E90,"Pendente")))</x:f>
        <x:v>15</x:v>
      </x:c>
      <x:c r="G90" s="11" t="n">
        <x:f>Tipos!F31-2*Tipos!I31</x:f>
        <x:v>0.9</x:v>
      </x:c>
      <x:c r="H90" s="12" t="n">
        <x:f>IF(COUNTIF('Como utilizar'!$D$7:$D$14,C90)=0,"Pendente",VLOOKUP(C90,'Como utilizar'!$D$7:$E$14,2,FALSE))</x:f>
        <x:v>0.617</x:v>
      </x:c>
      <x:c r="I90" s="12" t="n">
        <x:f>IF(J90="Pendente","Pendente",F90*G90*H90)</x:f>
        <x:v>8.3295</x:v>
      </x:c>
      <x:c r="J90" s="2" t="str">
        <x:f>IF(AND(ISNUMBER(F90),ISNUMBER(G90),G90&gt;0,ISNUMBER(H90),H90&gt;0),"Base calculada","Pendente")</x:f>
        <x:v>Base calculada</x:v>
      </x:c>
      <x:c r="K90" s="2" t="str">
        <x:v>SAPATAS!A10:AC10</x:v>
      </x:c>
      <x:c r="L90" s="9" t="str">
        <x:v>Contagem arredondada para cima; sem ganchos/transpasses.</x:v>
      </x:c>
    </x:row>
    <x:row r="91" ht="38" customHeight="1">
      <x:c r="A91" s="2" t="str">
        <x:v>S6</x:v>
      </x:c>
      <x:c r="B91" s="2" t="str">
        <x:v>Inferior direção B</x:v>
      </x:c>
      <x:c r="C91" s="11" t="n">
        <x:v>10</x:v>
      </x:c>
      <x:c r="D91" s="11" t="n">
        <x:f>ROUNDUP((Tipos!F31-2*Tipos!I31)/0.15,0)+1</x:f>
        <x:v>7</x:v>
      </x:c>
      <x:c r="E91" s="11"/>
      <x:c r="F91" s="12" t="n">
        <x:f>IF(OR(NOT(ISNUMBER(D91)),D91&lt;=0),"Pendente",IF(E91="",D91,IF(E91&gt;0,D91/E91,"Pendente")))</x:f>
        <x:v>7</x:v>
      </x:c>
      <x:c r="G91" s="11" t="n">
        <x:f>Tipos!H31-2*Tipos!I31</x:f>
        <x:v>1.98</x:v>
      </x:c>
      <x:c r="H91" s="12" t="n">
        <x:f>IF(COUNTIF('Como utilizar'!$D$7:$D$14,C91)=0,"Pendente",VLOOKUP(C91,'Como utilizar'!$D$7:$E$14,2,FALSE))</x:f>
        <x:v>0.617</x:v>
      </x:c>
      <x:c r="I91" s="12" t="n">
        <x:f>IF(J91="Pendente","Pendente",F91*G91*H91)</x:f>
        <x:v>8.55162</x:v>
      </x:c>
      <x:c r="J91" s="2" t="str">
        <x:f>IF(AND(ISNUMBER(F91),ISNUMBER(G91),G91&gt;0,ISNUMBER(H91),H91&gt;0),"Base calculada","Pendente")</x:f>
        <x:v>Base calculada</x:v>
      </x:c>
      <x:c r="K91" s="2" t="str">
        <x:v>SAPATAS!A10:AC10</x:v>
      </x:c>
      <x:c r="L91" s="9" t="str">
        <x:v>Contagem arredondada para cima; sem ganchos/transpasses.</x:v>
      </x:c>
    </x:row>
    <x:row r="92" ht="38" customHeight="1">
      <x:c r="A92" s="2" t="str">
        <x:v>S6</x:v>
      </x:c>
      <x:c r="B92" s="2" t="str">
        <x:v>Superior direção A</x:v>
      </x:c>
      <x:c r="C92" s="11" t="n">
        <x:v>10</x:v>
      </x:c>
      <x:c r="D92" s="11" t="n">
        <x:f>ROUNDUP((Tipos!H31-2*Tipos!I31)/0.15,0)+1</x:f>
        <x:v>15</x:v>
      </x:c>
      <x:c r="E92" s="11"/>
      <x:c r="F92" s="12" t="n">
        <x:f>IF(OR(NOT(ISNUMBER(D92)),D92&lt;=0),"Pendente",IF(E92="",D92,IF(E92&gt;0,D92/E92,"Pendente")))</x:f>
        <x:v>15</x:v>
      </x:c>
      <x:c r="G92" s="11" t="n">
        <x:f>Tipos!F31-2*Tipos!I31</x:f>
        <x:v>0.9</x:v>
      </x:c>
      <x:c r="H92" s="12" t="n">
        <x:f>IF(COUNTIF('Como utilizar'!$D$7:$D$14,C92)=0,"Pendente",VLOOKUP(C92,'Como utilizar'!$D$7:$E$14,2,FALSE))</x:f>
        <x:v>0.617</x:v>
      </x:c>
      <x:c r="I92" s="12" t="n">
        <x:f>IF(J92="Pendente","Pendente",F92*G92*H92)</x:f>
        <x:v>8.3295</x:v>
      </x:c>
      <x:c r="J92" s="2" t="str">
        <x:f>IF(AND(ISNUMBER(F92),ISNUMBER(G92),G92&gt;0,ISNUMBER(H92),H92&gt;0),"Base calculada","Pendente")</x:f>
        <x:v>Base calculada</x:v>
      </x:c>
      <x:c r="K92" s="2" t="str">
        <x:v>SAPATAS!A10:AC10</x:v>
      </x:c>
      <x:c r="L92" s="9" t="str">
        <x:v>Contagem arredondada para cima; sem ganchos/transpasses.</x:v>
      </x:c>
    </x:row>
    <x:row r="93" ht="38" customHeight="1">
      <x:c r="A93" s="2" t="str">
        <x:v>S6</x:v>
      </x:c>
      <x:c r="B93" s="2" t="str">
        <x:v>Superior direção B</x:v>
      </x:c>
      <x:c r="C93" s="11" t="n">
        <x:v>10</x:v>
      </x:c>
      <x:c r="D93" s="11" t="n">
        <x:f>ROUNDUP((Tipos!F31-2*Tipos!I31)/0.15,0)+1</x:f>
        <x:v>7</x:v>
      </x:c>
      <x:c r="E93" s="11"/>
      <x:c r="F93" s="12" t="n">
        <x:f>IF(OR(NOT(ISNUMBER(D93)),D93&lt;=0),"Pendente",IF(E93="",D93,IF(E93&gt;0,D93/E93,"Pendente")))</x:f>
        <x:v>7</x:v>
      </x:c>
      <x:c r="G93" s="11" t="n">
        <x:f>Tipos!H31-2*Tipos!I31</x:f>
        <x:v>1.98</x:v>
      </x:c>
      <x:c r="H93" s="12" t="n">
        <x:f>IF(COUNTIF('Como utilizar'!$D$7:$D$14,C93)=0,"Pendente",VLOOKUP(C93,'Como utilizar'!$D$7:$E$14,2,FALSE))</x:f>
        <x:v>0.617</x:v>
      </x:c>
      <x:c r="I93" s="12" t="n">
        <x:f>IF(J93="Pendente","Pendente",F93*G93*H93)</x:f>
        <x:v>8.55162</x:v>
      </x:c>
      <x:c r="J93" s="2" t="str">
        <x:f>IF(AND(ISNUMBER(F93),ISNUMBER(G93),G93&gt;0,ISNUMBER(H93),H93&gt;0),"Base calculada","Pendente")</x:f>
        <x:v>Base calculada</x:v>
      </x:c>
      <x:c r="K93" s="2" t="str">
        <x:v>SAPATAS!A10:AC10</x:v>
      </x:c>
      <x:c r="L93" s="9" t="str">
        <x:v>Contagem arredondada para cima; sem ganchos/transpasses.</x:v>
      </x:c>
    </x:row>
    <x:row r="94" ht="38" customHeight="1">
      <x:c r="A94" s="2" t="str">
        <x:v>S6</x:v>
      </x:c>
      <x:c r="B94" s="2" t="str">
        <x:v>Bordo</x:v>
      </x:c>
      <x:c r="C94" s="11" t="n">
        <x:v>8</x:v>
      </x:c>
      <x:c r="D94" s="11" t="n">
        <x:v>2</x:v>
      </x:c>
      <x:c r="E94" s="11"/>
      <x:c r="F94" s="12" t="n">
        <x:f>IF(OR(NOT(ISNUMBER(D94)),D94&lt;=0),"Pendente",IF(E94="",D94,IF(E94&gt;0,D94/E94,"Pendente")))</x:f>
        <x:v>2</x:v>
      </x:c>
      <x:c r="G94" s="11" t="n">
        <x:f>2*(Tipos!F31+Tipos!H31-4*Tipos!I31)</x:f>
        <x:v>5.76</x:v>
      </x:c>
      <x:c r="H94" s="12" t="n">
        <x:f>IF(COUNTIF('Como utilizar'!$D$7:$D$14,C94)=0,"Pendente",VLOOKUP(C94,'Como utilizar'!$D$7:$E$14,2,FALSE))</x:f>
        <x:v>0.395</x:v>
      </x:c>
      <x:c r="I94" s="12" t="n">
        <x:f>IF(J94="Pendente","Pendente",F94*G94*H94)</x:f>
        <x:v>4.5504</x:v>
      </x:c>
      <x:c r="J94" s="2" t="str">
        <x:f>IF(AND(ISNUMBER(F94),ISNUMBER(G94),G94&gt;0,ISNUMBER(H94),H94&gt;0),"Base calculada","Pendente")</x:f>
        <x:v>Base calculada</x:v>
      </x:c>
      <x:c r="K94" s="2" t="str">
        <x:v>SAPATAS!A10:AC10</x:v>
      </x:c>
      <x:c r="L94" s="9" t="str">
        <x:v>Perímetro reto; confirmar dobras e cantos.</x:v>
      </x:c>
    </x:row>
    <x:row r="95" ht="38" customHeight="1">
      <x:c r="A95" s="2" t="str">
        <x:v>S7</x:v>
      </x:c>
      <x:c r="B95" s="2" t="str">
        <x:v>Inferior direção A</x:v>
      </x:c>
      <x:c r="C95" s="11" t="n">
        <x:v>10</x:v>
      </x:c>
      <x:c r="D95" s="11" t="n">
        <x:f>ROUNDUP((Tipos!H32-2*Tipos!I32)/0.15,0)+1</x:f>
        <x:v>7</x:v>
      </x:c>
      <x:c r="E95" s="11"/>
      <x:c r="F95" s="12" t="n">
        <x:f>IF(OR(NOT(ISNUMBER(D95)),D95&lt;=0),"Pendente",IF(E95="",D95,IF(E95&gt;0,D95/E95,"Pendente")))</x:f>
        <x:v>7</x:v>
      </x:c>
      <x:c r="G95" s="11" t="n">
        <x:f>Tipos!F32-2*Tipos!I32</x:f>
        <x:v>2.38</x:v>
      </x:c>
      <x:c r="H95" s="12" t="n">
        <x:f>IF(COUNTIF('Como utilizar'!$D$7:$D$14,C95)=0,"Pendente",VLOOKUP(C95,'Como utilizar'!$D$7:$E$14,2,FALSE))</x:f>
        <x:v>0.617</x:v>
      </x:c>
      <x:c r="I95" s="12" t="n">
        <x:f>IF(J95="Pendente","Pendente",F95*G95*H95)</x:f>
        <x:v>10.27922</x:v>
      </x:c>
      <x:c r="J95" s="2" t="str">
        <x:f>IF(AND(ISNUMBER(F95),ISNUMBER(G95),G95&gt;0,ISNUMBER(H95),H95&gt;0),"Base calculada","Pendente")</x:f>
        <x:v>Base calculada</x:v>
      </x:c>
      <x:c r="K95" s="2" t="str">
        <x:v>SAPATAS!A11:AC11</x:v>
      </x:c>
      <x:c r="L95" s="9" t="str">
        <x:v>Contagem arredondada para cima; sem ganchos/transpasses.</x:v>
      </x:c>
    </x:row>
    <x:row r="96" ht="38" customHeight="1">
      <x:c r="A96" s="2" t="str">
        <x:v>S7</x:v>
      </x:c>
      <x:c r="B96" s="2" t="str">
        <x:v>Inferior direção B</x:v>
      </x:c>
      <x:c r="C96" s="11" t="n">
        <x:v>10</x:v>
      </x:c>
      <x:c r="D96" s="11" t="n">
        <x:f>ROUNDUP((Tipos!F32-2*Tipos!I32)/0.15,0)+1</x:f>
        <x:v>17</x:v>
      </x:c>
      <x:c r="E96" s="11"/>
      <x:c r="F96" s="12" t="n">
        <x:f>IF(OR(NOT(ISNUMBER(D96)),D96&lt;=0),"Pendente",IF(E96="",D96,IF(E96&gt;0,D96/E96,"Pendente")))</x:f>
        <x:v>17</x:v>
      </x:c>
      <x:c r="G96" s="11" t="n">
        <x:f>Tipos!H32-2*Tipos!I32</x:f>
        <x:v>0.9</x:v>
      </x:c>
      <x:c r="H96" s="12" t="n">
        <x:f>IF(COUNTIF('Como utilizar'!$D$7:$D$14,C96)=0,"Pendente",VLOOKUP(C96,'Como utilizar'!$D$7:$E$14,2,FALSE))</x:f>
        <x:v>0.617</x:v>
      </x:c>
      <x:c r="I96" s="12" t="n">
        <x:f>IF(J96="Pendente","Pendente",F96*G96*H96)</x:f>
        <x:v>9.440100000000001</x:v>
      </x:c>
      <x:c r="J96" s="2" t="str">
        <x:f>IF(AND(ISNUMBER(F96),ISNUMBER(G96),G96&gt;0,ISNUMBER(H96),H96&gt;0),"Base calculada","Pendente")</x:f>
        <x:v>Base calculada</x:v>
      </x:c>
      <x:c r="K96" s="2" t="str">
        <x:v>SAPATAS!A11:AC11</x:v>
      </x:c>
      <x:c r="L96" s="9" t="str">
        <x:v>Contagem arredondada para cima; sem ganchos/transpasses.</x:v>
      </x:c>
    </x:row>
    <x:row r="97" ht="38" customHeight="1">
      <x:c r="A97" s="2" t="str">
        <x:v>S7</x:v>
      </x:c>
      <x:c r="B97" s="2" t="str">
        <x:v>Superior direção A</x:v>
      </x:c>
      <x:c r="C97" s="11" t="n">
        <x:v>10</x:v>
      </x:c>
      <x:c r="D97" s="11" t="n">
        <x:f>ROUNDUP((Tipos!H32-2*Tipos!I32)/0.15,0)+1</x:f>
        <x:v>7</x:v>
      </x:c>
      <x:c r="E97" s="11"/>
      <x:c r="F97" s="12" t="n">
        <x:f>IF(OR(NOT(ISNUMBER(D97)),D97&lt;=0),"Pendente",IF(E97="",D97,IF(E97&gt;0,D97/E97,"Pendente")))</x:f>
        <x:v>7</x:v>
      </x:c>
      <x:c r="G97" s="11" t="n">
        <x:f>Tipos!F32-2*Tipos!I32</x:f>
        <x:v>2.38</x:v>
      </x:c>
      <x:c r="H97" s="12" t="n">
        <x:f>IF(COUNTIF('Como utilizar'!$D$7:$D$14,C97)=0,"Pendente",VLOOKUP(C97,'Como utilizar'!$D$7:$E$14,2,FALSE))</x:f>
        <x:v>0.617</x:v>
      </x:c>
      <x:c r="I97" s="12" t="n">
        <x:f>IF(J97="Pendente","Pendente",F97*G97*H97)</x:f>
        <x:v>10.27922</x:v>
      </x:c>
      <x:c r="J97" s="2" t="str">
        <x:f>IF(AND(ISNUMBER(F97),ISNUMBER(G97),G97&gt;0,ISNUMBER(H97),H97&gt;0),"Base calculada","Pendente")</x:f>
        <x:v>Base calculada</x:v>
      </x:c>
      <x:c r="K97" s="2" t="str">
        <x:v>SAPATAS!A11:AC11</x:v>
      </x:c>
      <x:c r="L97" s="9" t="str">
        <x:v>Contagem arredondada para cima; sem ganchos/transpasses.</x:v>
      </x:c>
    </x:row>
    <x:row r="98" ht="38" customHeight="1">
      <x:c r="A98" s="2" t="str">
        <x:v>S7</x:v>
      </x:c>
      <x:c r="B98" s="2" t="str">
        <x:v>Superior direção B</x:v>
      </x:c>
      <x:c r="C98" s="11" t="n">
        <x:v>10</x:v>
      </x:c>
      <x:c r="D98" s="11" t="n">
        <x:f>ROUNDUP((Tipos!F32-2*Tipos!I32)/0.15,0)+1</x:f>
        <x:v>17</x:v>
      </x:c>
      <x:c r="E98" s="11"/>
      <x:c r="F98" s="12" t="n">
        <x:f>IF(OR(NOT(ISNUMBER(D98)),D98&lt;=0),"Pendente",IF(E98="",D98,IF(E98&gt;0,D98/E98,"Pendente")))</x:f>
        <x:v>17</x:v>
      </x:c>
      <x:c r="G98" s="11" t="n">
        <x:f>Tipos!H32-2*Tipos!I32</x:f>
        <x:v>0.9</x:v>
      </x:c>
      <x:c r="H98" s="12" t="n">
        <x:f>IF(COUNTIF('Como utilizar'!$D$7:$D$14,C98)=0,"Pendente",VLOOKUP(C98,'Como utilizar'!$D$7:$E$14,2,FALSE))</x:f>
        <x:v>0.617</x:v>
      </x:c>
      <x:c r="I98" s="12" t="n">
        <x:f>IF(J98="Pendente","Pendente",F98*G98*H98)</x:f>
        <x:v>9.440100000000001</x:v>
      </x:c>
      <x:c r="J98" s="2" t="str">
        <x:f>IF(AND(ISNUMBER(F98),ISNUMBER(G98),G98&gt;0,ISNUMBER(H98),H98&gt;0),"Base calculada","Pendente")</x:f>
        <x:v>Base calculada</x:v>
      </x:c>
      <x:c r="K98" s="2" t="str">
        <x:v>SAPATAS!A11:AC11</x:v>
      </x:c>
      <x:c r="L98" s="9" t="str">
        <x:v>Contagem arredondada para cima; sem ganchos/transpasses.</x:v>
      </x:c>
    </x:row>
    <x:row r="99" ht="38" customHeight="1">
      <x:c r="A99" s="2" t="str">
        <x:v>S7</x:v>
      </x:c>
      <x:c r="B99" s="2" t="str">
        <x:v>Bordo</x:v>
      </x:c>
      <x:c r="C99" s="11" t="n">
        <x:v>8</x:v>
      </x:c>
      <x:c r="D99" s="11" t="n">
        <x:v>2</x:v>
      </x:c>
      <x:c r="E99" s="11"/>
      <x:c r="F99" s="12" t="n">
        <x:f>IF(OR(NOT(ISNUMBER(D99)),D99&lt;=0),"Pendente",IF(E99="",D99,IF(E99&gt;0,D99/E99,"Pendente")))</x:f>
        <x:v>2</x:v>
      </x:c>
      <x:c r="G99" s="11" t="n">
        <x:f>2*(Tipos!F32+Tipos!H32-4*Tipos!I32)</x:f>
        <x:v>6.56</x:v>
      </x:c>
      <x:c r="H99" s="12" t="n">
        <x:f>IF(COUNTIF('Como utilizar'!$D$7:$D$14,C99)=0,"Pendente",VLOOKUP(C99,'Como utilizar'!$D$7:$E$14,2,FALSE))</x:f>
        <x:v>0.395</x:v>
      </x:c>
      <x:c r="I99" s="12" t="n">
        <x:f>IF(J99="Pendente","Pendente",F99*G99*H99)</x:f>
        <x:v>5.1824</x:v>
      </x:c>
      <x:c r="J99" s="2" t="str">
        <x:f>IF(AND(ISNUMBER(F99),ISNUMBER(G99),G99&gt;0,ISNUMBER(H99),H99&gt;0),"Base calculada","Pendente")</x:f>
        <x:v>Base calculada</x:v>
      </x:c>
      <x:c r="K99" s="2" t="str">
        <x:v>SAPATAS!A11:AC11</x:v>
      </x:c>
      <x:c r="L99" s="9" t="str">
        <x:v>Perímetro reto; confirmar dobras e cantos.</x:v>
      </x:c>
    </x:row>
    <x:row r="100" ht="38" customHeight="1">
      <x:c r="A100" s="2" t="str">
        <x:v>SAP-Pb1</x:v>
      </x:c>
      <x:c r="B100" s="2" t="str">
        <x:v>Inferior transversal</x:v>
      </x:c>
      <x:c r="C100" s="11" t="n">
        <x:v>10</x:v>
      </x:c>
      <x:c r="D100" s="11" t="n">
        <x:v>1</x:v>
      </x:c>
      <x:c r="E100" s="11" t="n">
        <x:v>0.2</x:v>
      </x:c>
      <x:c r="F100" s="12" t="n">
        <x:f>IF(OR(NOT(ISNUMBER(D100)),D100&lt;=0),"Pendente",IF(E100="",D100,IF(E100&gt;0,D100/E100,"Pendente")))</x:f>
        <x:v>5</x:v>
      </x:c>
      <x:c r="G100" s="11" t="n">
        <x:f>Tipos!F33-2*Tipos!I33</x:f>
        <x:v>0.7000000000000001</x:v>
      </x:c>
      <x:c r="H100" s="12" t="n">
        <x:f>IF(COUNTIF('Como utilizar'!$D$7:$D$14,C100)=0,"Pendente",VLOOKUP(C100,'Como utilizar'!$D$7:$E$14,2,FALSE))</x:f>
        <x:v>0.617</x:v>
      </x:c>
      <x:c r="I100" s="12" t="n">
        <x:f>IF(J100="Pendente","Pendente",F100*G100*H100)</x:f>
        <x:v>2.1595000000000004</x:v>
      </x:c>
      <x:c r="J100" s="2" t="str">
        <x:f>IF(AND(ISNUMBER(F100),ISNUMBER(G100),G100&gt;0,ISNUMBER(H100),H100&gt;0),"Base calculada","Pendente")</x:f>
        <x:v>Base calculada</x:v>
      </x:c>
      <x:c r="K100" s="2" t="str">
        <x:v>SAPATAS!A12:AC12</x:v>
      </x:c>
      <x:c r="L100" s="9" t="str">
        <x:v>Faixa de 1 m, sem barras de extremidade.</x:v>
      </x:c>
    </x:row>
    <x:row r="101" ht="38" customHeight="1">
      <x:c r="A101" s="2" t="str">
        <x:v>SAP-Pb1</x:v>
      </x:c>
      <x:c r="B101" s="2" t="str">
        <x:v>Inferior longitudinal</x:v>
      </x:c>
      <x:c r="C101" s="11" t="n">
        <x:v>10</x:v>
      </x:c>
      <x:c r="D101" s="11" t="n">
        <x:f>ROUNDUP((Tipos!F33-2*Tipos!I33)/0.2,0)+1</x:f>
        <x:v>5</x:v>
      </x:c>
      <x:c r="E101" s="11"/>
      <x:c r="F101" s="12" t="n">
        <x:f>IF(OR(NOT(ISNUMBER(D101)),D101&lt;=0),"Pendente",IF(E101="",D101,IF(E101&gt;0,D101/E101,"Pendente")))</x:f>
        <x:v>5</x:v>
      </x:c>
      <x:c r="G101" s="11" t="n">
        <x:v>1</x:v>
      </x:c>
      <x:c r="H101" s="12" t="n">
        <x:f>IF(COUNTIF('Como utilizar'!$D$7:$D$14,C101)=0,"Pendente",VLOOKUP(C101,'Como utilizar'!$D$7:$E$14,2,FALSE))</x:f>
        <x:v>0.617</x:v>
      </x:c>
      <x:c r="I101" s="12" t="n">
        <x:f>IF(J101="Pendente","Pendente",F101*G101*H101)</x:f>
        <x:v>3.085</x:v>
      </x:c>
      <x:c r="J101" s="2" t="str">
        <x:f>IF(AND(ISNUMBER(F101),ISNUMBER(G101),G101&gt;0,ISNUMBER(H101),H101&gt;0),"Base calculada","Pendente")</x:f>
        <x:v>Base calculada</x:v>
      </x:c>
      <x:c r="K101" s="2" t="str">
        <x:v>SAPATAS!A12:AC12</x:v>
      </x:c>
      <x:c r="L101" s="9" t="str">
        <x:v>Contagem pela largura, confirmar desenho.</x:v>
      </x:c>
    </x:row>
    <x:row r="102" ht="38" customHeight="1">
      <x:c r="A102" s="2" t="str">
        <x:v>SAP-Pb1</x:v>
      </x:c>
      <x:c r="B102" s="2" t="str">
        <x:v>Superior transversal</x:v>
      </x:c>
      <x:c r="C102" s="11" t="n">
        <x:v>10</x:v>
      </x:c>
      <x:c r="D102" s="11" t="n">
        <x:v>1</x:v>
      </x:c>
      <x:c r="E102" s="11" t="n">
        <x:v>0.1</x:v>
      </x:c>
      <x:c r="F102" s="12" t="n">
        <x:f>IF(OR(NOT(ISNUMBER(D102)),D102&lt;=0),"Pendente",IF(E102="",D102,IF(E102&gt;0,D102/E102,"Pendente")))</x:f>
        <x:v>10</x:v>
      </x:c>
      <x:c r="G102" s="11" t="n">
        <x:f>Tipos!F33-2*Tipos!I33</x:f>
        <x:v>0.7000000000000001</x:v>
      </x:c>
      <x:c r="H102" s="12" t="n">
        <x:f>IF(COUNTIF('Como utilizar'!$D$7:$D$14,C102)=0,"Pendente",VLOOKUP(C102,'Como utilizar'!$D$7:$E$14,2,FALSE))</x:f>
        <x:v>0.617</x:v>
      </x:c>
      <x:c r="I102" s="12" t="n">
        <x:f>IF(J102="Pendente","Pendente",F102*G102*H102)</x:f>
        <x:v>4.319000000000001</x:v>
      </x:c>
      <x:c r="J102" s="2" t="str">
        <x:f>IF(AND(ISNUMBER(F102),ISNUMBER(G102),G102&gt;0,ISNUMBER(H102),H102&gt;0),"Base calculada","Pendente")</x:f>
        <x:v>Base calculada</x:v>
      </x:c>
      <x:c r="K102" s="2" t="str">
        <x:v>SAPATAS!A12:AC12</x:v>
      </x:c>
      <x:c r="L102" s="9" t="str">
        <x:v>Faixa de 1 m, sem barras de extremidade.</x:v>
      </x:c>
    </x:row>
    <x:row r="103" ht="38" customHeight="1">
      <x:c r="A103" s="2" t="str">
        <x:v>SAP-Pb1</x:v>
      </x:c>
      <x:c r="B103" s="2" t="str">
        <x:v>Superior longitudinal</x:v>
      </x:c>
      <x:c r="C103" s="11" t="n">
        <x:v>10</x:v>
      </x:c>
      <x:c r="D103" s="11" t="n">
        <x:f>ROUNDUP((Tipos!F33-2*Tipos!I33)/0.1,0)+1</x:f>
        <x:v>8</x:v>
      </x:c>
      <x:c r="E103" s="11"/>
      <x:c r="F103" s="12" t="n">
        <x:f>IF(OR(NOT(ISNUMBER(D103)),D103&lt;=0),"Pendente",IF(E103="",D103,IF(E103&gt;0,D103/E103,"Pendente")))</x:f>
        <x:v>8</x:v>
      </x:c>
      <x:c r="G103" s="11" t="n">
        <x:v>1</x:v>
      </x:c>
      <x:c r="H103" s="12" t="n">
        <x:f>IF(COUNTIF('Como utilizar'!$D$7:$D$14,C103)=0,"Pendente",VLOOKUP(C103,'Como utilizar'!$D$7:$E$14,2,FALSE))</x:f>
        <x:v>0.617</x:v>
      </x:c>
      <x:c r="I103" s="12" t="n">
        <x:f>IF(J103="Pendente","Pendente",F103*G103*H103)</x:f>
        <x:v>4.936</x:v>
      </x:c>
      <x:c r="J103" s="2" t="str">
        <x:f>IF(AND(ISNUMBER(F103),ISNUMBER(G103),G103&gt;0,ISNUMBER(H103),H103&gt;0),"Base calculada","Pendente")</x:f>
        <x:v>Base calculada</x:v>
      </x:c>
      <x:c r="K103" s="2" t="str">
        <x:v>SAPATAS!A12:AC12</x:v>
      </x:c>
      <x:c r="L103" s="9" t="str">
        <x:v>Contagem pela largura, confirmar desenho.</x:v>
      </x:c>
    </x:row>
    <x:row r="104" ht="38" customHeight="1">
      <x:c r="A104" s="2" t="str">
        <x:v>MS.1-MURO</x:v>
      </x:c>
      <x:c r="B104" s="2" t="str">
        <x:v>Vertical — 2 faces</x:v>
      </x:c>
      <x:c r="C104" s="11" t="n">
        <x:v>10</x:v>
      </x:c>
      <x:c r="D104" s="11" t="n">
        <x:v>2</x:v>
      </x:c>
      <x:c r="E104" s="11" t="n">
        <x:v>0.15</x:v>
      </x:c>
      <x:c r="F104" s="12" t="n">
        <x:f>IF(OR(NOT(ISNUMBER(D104)),D104&lt;=0),"Pendente",IF(E104="",D104,IF(E104&gt;0,D104/E104,"Pendente")))</x:f>
        <x:v>13.333333333333334</x:v>
      </x:c>
      <x:c r="G104" s="11" t="n">
        <x:f>Tipos!G34</x:f>
        <x:v>3.15</x:v>
      </x:c>
      <x:c r="H104" s="12" t="n">
        <x:f>IF(COUNTIF('Como utilizar'!$D$7:$D$14,C104)=0,"Pendente",VLOOKUP(C104,'Como utilizar'!$D$7:$E$14,2,FALSE))</x:f>
        <x:v>0.617</x:v>
      </x:c>
      <x:c r="I104" s="12" t="n">
        <x:f>IF(J104="Pendente","Pendente",F104*G104*H104)</x:f>
        <x:v>25.914</x:v>
      </x:c>
      <x:c r="J104" s="2" t="str">
        <x:f>IF(AND(ISNUMBER(F104),ISNUMBER(G104),G104&gt;0,ISNUMBER(H104),H104&gt;0),"Base calculada","Pendente")</x:f>
        <x:v>Base calculada</x:v>
      </x:c>
      <x:c r="K104" s="2" t="str">
        <x:v>MUROS!A6:AB6</x:v>
      </x:c>
      <x:c r="L104" s="9" t="str">
        <x:v>Arranques e ancoragens medidos em Acertos aço.</x:v>
      </x:c>
    </x:row>
    <x:row r="105" ht="38" customHeight="1">
      <x:c r="A105" s="2" t="str">
        <x:v>MS.1-MURO</x:v>
      </x:c>
      <x:c r="B105" s="2" t="str">
        <x:v>Horizontal — 2 faces</x:v>
      </x:c>
      <x:c r="C105" s="11" t="n">
        <x:v>10</x:v>
      </x:c>
      <x:c r="D105" s="11" t="n">
        <x:f>2*(ROUNDUP((Tipos!G34-2*Tipos!I34)/0.15,0)+1)</x:f>
        <x:v>44</x:v>
      </x:c>
      <x:c r="E105" s="11"/>
      <x:c r="F105" s="12" t="n">
        <x:f>IF(OR(NOT(ISNUMBER(D105)),D105&lt;=0),"Pendente",IF(E105="",D105,IF(E105&gt;0,D105/E105,"Pendente")))</x:f>
        <x:v>44</x:v>
      </x:c>
      <x:c r="G105" s="11" t="n">
        <x:v>1</x:v>
      </x:c>
      <x:c r="H105" s="12" t="n">
        <x:f>IF(COUNTIF('Como utilizar'!$D$7:$D$14,C105)=0,"Pendente",VLOOKUP(C105,'Como utilizar'!$D$7:$E$14,2,FALSE))</x:f>
        <x:v>0.617</x:v>
      </x:c>
      <x:c r="I105" s="12" t="n">
        <x:f>IF(J105="Pendente","Pendente",F105*G105*H105)</x:f>
        <x:v>27.148</x:v>
      </x:c>
      <x:c r="J105" s="2" t="str">
        <x:f>IF(AND(ISNUMBER(F105),ISNUMBER(G105),G105&gt;0,ISNUMBER(H105),H105&gt;0),"Base calculada","Pendente")</x:f>
        <x:v>Base calculada</x:v>
      </x:c>
      <x:c r="K105" s="2" t="str">
        <x:v>MUROS!A6:AB6</x:v>
      </x:c>
      <x:c r="L105" s="9" t="str">
        <x:v>Sem emendas; confirmar posição das barras extremas.</x:v>
      </x:c>
    </x:row>
    <x:row r="106" ht="38" customHeight="1">
      <x:c r="A106" s="2" t="str">
        <x:v>MS.1-SAP</x:v>
      </x:c>
      <x:c r="B106" s="2" t="str">
        <x:v>Inferior transversal</x:v>
      </x:c>
      <x:c r="C106" s="11" t="n">
        <x:v>10</x:v>
      </x:c>
      <x:c r="D106" s="11" t="n">
        <x:v>1</x:v>
      </x:c>
      <x:c r="E106" s="11" t="n">
        <x:v>0.15</x:v>
      </x:c>
      <x:c r="F106" s="12" t="n">
        <x:f>IF(OR(NOT(ISNUMBER(D106)),D106&lt;=0),"Pendente",IF(E106="",D106,IF(E106&gt;0,D106/E106,"Pendente")))</x:f>
        <x:v>6.666666666666667</x:v>
      </x:c>
      <x:c r="G106" s="11" t="n">
        <x:f>Tipos!F35-2*Tipos!I35</x:f>
        <x:v>0.7000000000000001</x:v>
      </x:c>
      <x:c r="H106" s="12" t="n">
        <x:f>IF(COUNTIF('Como utilizar'!$D$7:$D$14,C106)=0,"Pendente",VLOOKUP(C106,'Como utilizar'!$D$7:$E$14,2,FALSE))</x:f>
        <x:v>0.617</x:v>
      </x:c>
      <x:c r="I106" s="12" t="n">
        <x:f>IF(J106="Pendente","Pendente",F106*G106*H106)</x:f>
        <x:v>2.8793333333333333</x:v>
      </x:c>
      <x:c r="J106" s="2" t="str">
        <x:f>IF(AND(ISNUMBER(F106),ISNUMBER(G106),G106&gt;0,ISNUMBER(H106),H106&gt;0),"Base calculada","Pendente")</x:f>
        <x:v>Base calculada</x:v>
      </x:c>
      <x:c r="K106" s="2" t="str">
        <x:v>MUROS!A6:AB6</x:v>
      </x:c>
      <x:c r="L106" s="9" t="str">
        <x:v>Faixa contínua; sem barra de extremidade.</x:v>
      </x:c>
    </x:row>
    <x:row r="107" ht="38" customHeight="1">
      <x:c r="A107" s="2" t="str">
        <x:v>MS.1-SAP</x:v>
      </x:c>
      <x:c r="B107" s="2" t="str">
        <x:v>Inferior longitudinal</x:v>
      </x:c>
      <x:c r="C107" s="11" t="n">
        <x:v>10</x:v>
      </x:c>
      <x:c r="D107" s="11" t="n">
        <x:f>ROUNDUP((Tipos!F35-2*Tipos!I35)/0.15,0)+1</x:f>
        <x:v>6</x:v>
      </x:c>
      <x:c r="E107" s="11"/>
      <x:c r="F107" s="12" t="n">
        <x:f>IF(OR(NOT(ISNUMBER(D107)),D107&lt;=0),"Pendente",IF(E107="",D107,IF(E107&gt;0,D107/E107,"Pendente")))</x:f>
        <x:v>6</x:v>
      </x:c>
      <x:c r="G107" s="11" t="n">
        <x:v>1</x:v>
      </x:c>
      <x:c r="H107" s="12" t="n">
        <x:f>IF(COUNTIF('Como utilizar'!$D$7:$D$14,C107)=0,"Pendente",VLOOKUP(C107,'Como utilizar'!$D$7:$E$14,2,FALSE))</x:f>
        <x:v>0.617</x:v>
      </x:c>
      <x:c r="I107" s="12" t="n">
        <x:f>IF(J107="Pendente","Pendente",F107*G107*H107)</x:f>
        <x:v>3.702</x:v>
      </x:c>
      <x:c r="J107" s="2" t="str">
        <x:f>IF(AND(ISNUMBER(F107),ISNUMBER(G107),G107&gt;0,ISNUMBER(H107),H107&gt;0),"Base calculada","Pendente")</x:f>
        <x:v>Base calculada</x:v>
      </x:c>
      <x:c r="K107" s="2" t="str">
        <x:v>MUROS!A6:AB6</x:v>
      </x:c>
      <x:c r="L107" s="9" t="str">
        <x:v>Sem emendas.</x:v>
      </x:c>
    </x:row>
    <x:row r="108" ht="38" customHeight="1">
      <x:c r="A108" s="2" t="str">
        <x:v>MS.1-SAP</x:v>
      </x:c>
      <x:c r="B108" s="2" t="str">
        <x:v>Superior transversal</x:v>
      </x:c>
      <x:c r="C108" s="11" t="n">
        <x:v>10</x:v>
      </x:c>
      <x:c r="D108" s="11" t="n">
        <x:v>1</x:v>
      </x:c>
      <x:c r="E108" s="11" t="n">
        <x:v>0.15</x:v>
      </x:c>
      <x:c r="F108" s="12" t="n">
        <x:f>IF(OR(NOT(ISNUMBER(D108)),D108&lt;=0),"Pendente",IF(E108="",D108,IF(E108&gt;0,D108/E108,"Pendente")))</x:f>
        <x:v>6.666666666666667</x:v>
      </x:c>
      <x:c r="G108" s="11" t="n">
        <x:f>Tipos!F35-2*Tipos!I35</x:f>
        <x:v>0.7000000000000001</x:v>
      </x:c>
      <x:c r="H108" s="12" t="n">
        <x:f>IF(COUNTIF('Como utilizar'!$D$7:$D$14,C108)=0,"Pendente",VLOOKUP(C108,'Como utilizar'!$D$7:$E$14,2,FALSE))</x:f>
        <x:v>0.617</x:v>
      </x:c>
      <x:c r="I108" s="12" t="n">
        <x:f>IF(J108="Pendente","Pendente",F108*G108*H108)</x:f>
        <x:v>2.8793333333333333</x:v>
      </x:c>
      <x:c r="J108" s="2" t="str">
        <x:f>IF(AND(ISNUMBER(F108),ISNUMBER(G108),G108&gt;0,ISNUMBER(H108),H108&gt;0),"Base calculada","Pendente")</x:f>
        <x:v>Base calculada</x:v>
      </x:c>
      <x:c r="K108" s="2" t="str">
        <x:v>MUROS!A6:AB6</x:v>
      </x:c>
      <x:c r="L108" s="9" t="str">
        <x:v>Faixa contínua; sem barra de extremidade.</x:v>
      </x:c>
    </x:row>
    <x:row r="109" ht="38" customHeight="1">
      <x:c r="A109" s="2" t="str">
        <x:v>MS.1-SAP</x:v>
      </x:c>
      <x:c r="B109" s="2" t="str">
        <x:v>Superior longitudinal</x:v>
      </x:c>
      <x:c r="C109" s="11" t="n">
        <x:v>10</x:v>
      </x:c>
      <x:c r="D109" s="11" t="n">
        <x:f>ROUNDUP((Tipos!F35-2*Tipos!I35)/0.15,0)+1</x:f>
        <x:v>6</x:v>
      </x:c>
      <x:c r="E109" s="11"/>
      <x:c r="F109" s="12" t="n">
        <x:f>IF(OR(NOT(ISNUMBER(D109)),D109&lt;=0),"Pendente",IF(E109="",D109,IF(E109&gt;0,D109/E109,"Pendente")))</x:f>
        <x:v>6</x:v>
      </x:c>
      <x:c r="G109" s="11" t="n">
        <x:v>1</x:v>
      </x:c>
      <x:c r="H109" s="12" t="n">
        <x:f>IF(COUNTIF('Como utilizar'!$D$7:$D$14,C109)=0,"Pendente",VLOOKUP(C109,'Como utilizar'!$D$7:$E$14,2,FALSE))</x:f>
        <x:v>0.617</x:v>
      </x:c>
      <x:c r="I109" s="12" t="n">
        <x:f>IF(J109="Pendente","Pendente",F109*G109*H109)</x:f>
        <x:v>3.702</x:v>
      </x:c>
      <x:c r="J109" s="2" t="str">
        <x:f>IF(AND(ISNUMBER(F109),ISNUMBER(G109),G109&gt;0,ISNUMBER(H109),H109&gt;0),"Base calculada","Pendente")</x:f>
        <x:v>Base calculada</x:v>
      </x:c>
      <x:c r="K109" s="2" t="str">
        <x:v>MUROS!A6:AB6</x:v>
      </x:c>
      <x:c r="L109" s="9" t="str">
        <x:v>Sem emendas.</x:v>
      </x:c>
    </x:row>
    <x:row r="110" ht="38" customHeight="1">
      <x:c r="A110" s="2" t="str">
        <x:v>MS.1-SAP</x:v>
      </x:c>
      <x:c r="B110" s="2" t="str">
        <x:v>Cintas da sapata</x:v>
      </x:c>
      <x:c r="C110" s="11" t="n">
        <x:v>8</x:v>
      </x:c>
      <x:c r="D110" s="11" t="n">
        <x:v>1</x:v>
      </x:c>
      <x:c r="E110" s="11" t="n">
        <x:v>0.15</x:v>
      </x:c>
      <x:c r="F110" s="12" t="n">
        <x:f>IF(OR(NOT(ISNUMBER(D110)),D110&lt;=0),"Pendente",IF(E110="",D110,IF(E110&gt;0,D110/E110,"Pendente")))</x:f>
        <x:v>6.666666666666667</x:v>
      </x:c>
      <x:c r="G110" s="11"/>
      <x:c r="H110" s="12" t="n">
        <x:f>IF(COUNTIF('Como utilizar'!$D$7:$D$14,C110)=0,"Pendente",VLOOKUP(C110,'Como utilizar'!$D$7:$E$14,2,FALSE))</x:f>
        <x:v>0.395</x:v>
      </x:c>
      <x:c r="I110" s="12" t="str">
        <x:f>IF(J110="Pendente","Pendente",F110*G110*H110)</x:f>
        <x:v>Pendente</x:v>
      </x:c>
      <x:c r="J110" s="2" t="str">
        <x:f>IF(AND(ISNUMBER(F110),ISNUMBER(G110),G110&gt;0,ISNUMBER(H110),H110&gt;0),"Base calculada","Pendente")</x:f>
        <x:v>Pendente</x:v>
      </x:c>
      <x:c r="K110" s="2" t="str">
        <x:v>MUROS!A6:AB6</x:v>
      </x:c>
      <x:c r="L110" s="9" t="str">
        <x:v>Falta corte desenvolvido confirmado.</x:v>
      </x:c>
    </x:row>
    <x:row r="111" ht="38" customHeight="1">
      <x:c r="A111" s="2" t="str">
        <x:v>MS.2-MURO</x:v>
      </x:c>
      <x:c r="B111" s="2" t="str">
        <x:v>Vertical — 2 faces</x:v>
      </x:c>
      <x:c r="C111" s="11" t="n">
        <x:v>10</x:v>
      </x:c>
      <x:c r="D111" s="11" t="n">
        <x:v>2</x:v>
      </x:c>
      <x:c r="E111" s="11" t="n">
        <x:v>0.15</x:v>
      </x:c>
      <x:c r="F111" s="12" t="n">
        <x:f>IF(OR(NOT(ISNUMBER(D111)),D111&lt;=0),"Pendente",IF(E111="",D111,IF(E111&gt;0,D111/E111,"Pendente")))</x:f>
        <x:v>13.333333333333334</x:v>
      </x:c>
      <x:c r="G111" s="11" t="n">
        <x:f>Tipos!G36</x:f>
        <x:v>0.7</x:v>
      </x:c>
      <x:c r="H111" s="12" t="n">
        <x:f>IF(COUNTIF('Como utilizar'!$D$7:$D$14,C111)=0,"Pendente",VLOOKUP(C111,'Como utilizar'!$D$7:$E$14,2,FALSE))</x:f>
        <x:v>0.617</x:v>
      </x:c>
      <x:c r="I111" s="12" t="n">
        <x:f>IF(J111="Pendente","Pendente",F111*G111*H111)</x:f>
        <x:v>5.758666666666667</x:v>
      </x:c>
      <x:c r="J111" s="2" t="str">
        <x:f>IF(AND(ISNUMBER(F111),ISNUMBER(G111),G111&gt;0,ISNUMBER(H111),H111&gt;0),"Base calculada","Pendente")</x:f>
        <x:v>Base calculada</x:v>
      </x:c>
      <x:c r="K111" s="2" t="str">
        <x:v>MUROS!A7:AB7</x:v>
      </x:c>
      <x:c r="L111" s="9" t="str">
        <x:v>Arranques e ancoragens medidos em Acertos aço.</x:v>
      </x:c>
    </x:row>
    <x:row r="112" ht="38" customHeight="1">
      <x:c r="A112" s="2" t="str">
        <x:v>MS.2-MURO</x:v>
      </x:c>
      <x:c r="B112" s="2" t="str">
        <x:v>Horizontal — 2 faces</x:v>
      </x:c>
      <x:c r="C112" s="11" t="n">
        <x:v>10</x:v>
      </x:c>
      <x:c r="D112" s="11" t="n">
        <x:f>2*(ROUNDUP((Tipos!G36-2*Tipos!I36)/0.15,0)+1)</x:f>
        <x:v>12</x:v>
      </x:c>
      <x:c r="E112" s="11"/>
      <x:c r="F112" s="12" t="n">
        <x:f>IF(OR(NOT(ISNUMBER(D112)),D112&lt;=0),"Pendente",IF(E112="",D112,IF(E112&gt;0,D112/E112,"Pendente")))</x:f>
        <x:v>12</x:v>
      </x:c>
      <x:c r="G112" s="11" t="n">
        <x:v>1</x:v>
      </x:c>
      <x:c r="H112" s="12" t="n">
        <x:f>IF(COUNTIF('Como utilizar'!$D$7:$D$14,C112)=0,"Pendente",VLOOKUP(C112,'Como utilizar'!$D$7:$E$14,2,FALSE))</x:f>
        <x:v>0.617</x:v>
      </x:c>
      <x:c r="I112" s="12" t="n">
        <x:f>IF(J112="Pendente","Pendente",F112*G112*H112)</x:f>
        <x:v>7.404</x:v>
      </x:c>
      <x:c r="J112" s="2" t="str">
        <x:f>IF(AND(ISNUMBER(F112),ISNUMBER(G112),G112&gt;0,ISNUMBER(H112),H112&gt;0),"Base calculada","Pendente")</x:f>
        <x:v>Base calculada</x:v>
      </x:c>
      <x:c r="K112" s="2" t="str">
        <x:v>MUROS!A7:AB7</x:v>
      </x:c>
      <x:c r="L112" s="9" t="str">
        <x:v>Sem emendas; confirmar posição das barras extremas.</x:v>
      </x:c>
    </x:row>
    <x:row r="113" ht="38" customHeight="1">
      <x:c r="A113" s="2" t="str">
        <x:v>MS.2-SAP</x:v>
      </x:c>
      <x:c r="B113" s="2" t="str">
        <x:v>Inferior transversal</x:v>
      </x:c>
      <x:c r="C113" s="11" t="n">
        <x:v>10</x:v>
      </x:c>
      <x:c r="D113" s="11" t="n">
        <x:v>1</x:v>
      </x:c>
      <x:c r="E113" s="11" t="n">
        <x:v>0.15</x:v>
      </x:c>
      <x:c r="F113" s="12" t="n">
        <x:f>IF(OR(NOT(ISNUMBER(D113)),D113&lt;=0),"Pendente",IF(E113="",D113,IF(E113&gt;0,D113/E113,"Pendente")))</x:f>
        <x:v>6.666666666666667</x:v>
      </x:c>
      <x:c r="G113" s="11" t="n">
        <x:f>Tipos!F37-2*Tipos!I37</x:f>
        <x:v>2.55</x:v>
      </x:c>
      <x:c r="H113" s="12" t="n">
        <x:f>IF(COUNTIF('Como utilizar'!$D$7:$D$14,C113)=0,"Pendente",VLOOKUP(C113,'Como utilizar'!$D$7:$E$14,2,FALSE))</x:f>
        <x:v>0.617</x:v>
      </x:c>
      <x:c r="I113" s="12" t="n">
        <x:f>IF(J113="Pendente","Pendente",F113*G113*H113)</x:f>
        <x:v>10.489</x:v>
      </x:c>
      <x:c r="J113" s="2" t="str">
        <x:f>IF(AND(ISNUMBER(F113),ISNUMBER(G113),G113&gt;0,ISNUMBER(H113),H113&gt;0),"Base calculada","Pendente")</x:f>
        <x:v>Base calculada</x:v>
      </x:c>
      <x:c r="K113" s="2" t="str">
        <x:v>MUROS!A7:AB7</x:v>
      </x:c>
      <x:c r="L113" s="9" t="str">
        <x:v>Faixa contínua; sem barra de extremidade.</x:v>
      </x:c>
    </x:row>
    <x:row r="114" ht="38" customHeight="1">
      <x:c r="A114" s="2" t="str">
        <x:v>MS.2-SAP</x:v>
      </x:c>
      <x:c r="B114" s="2" t="str">
        <x:v>Inferior longitudinal</x:v>
      </x:c>
      <x:c r="C114" s="11" t="n">
        <x:v>10</x:v>
      </x:c>
      <x:c r="D114" s="11" t="n">
        <x:f>ROUNDUP((Tipos!F37-2*Tipos!I37)/0.15,0)+1</x:f>
        <x:v>18</x:v>
      </x:c>
      <x:c r="E114" s="11"/>
      <x:c r="F114" s="12" t="n">
        <x:f>IF(OR(NOT(ISNUMBER(D114)),D114&lt;=0),"Pendente",IF(E114="",D114,IF(E114&gt;0,D114/E114,"Pendente")))</x:f>
        <x:v>18</x:v>
      </x:c>
      <x:c r="G114" s="11" t="n">
        <x:v>1</x:v>
      </x:c>
      <x:c r="H114" s="12" t="n">
        <x:f>IF(COUNTIF('Como utilizar'!$D$7:$D$14,C114)=0,"Pendente",VLOOKUP(C114,'Como utilizar'!$D$7:$E$14,2,FALSE))</x:f>
        <x:v>0.617</x:v>
      </x:c>
      <x:c r="I114" s="12" t="n">
        <x:f>IF(J114="Pendente","Pendente",F114*G114*H114)</x:f>
        <x:v>11.106</x:v>
      </x:c>
      <x:c r="J114" s="2" t="str">
        <x:f>IF(AND(ISNUMBER(F114),ISNUMBER(G114),G114&gt;0,ISNUMBER(H114),H114&gt;0),"Base calculada","Pendente")</x:f>
        <x:v>Base calculada</x:v>
      </x:c>
      <x:c r="K114" s="2" t="str">
        <x:v>MUROS!A7:AB7</x:v>
      </x:c>
      <x:c r="L114" s="9" t="str">
        <x:v>Sem emendas.</x:v>
      </x:c>
    </x:row>
    <x:row r="115" ht="38" customHeight="1">
      <x:c r="A115" s="2" t="str">
        <x:v>MS.2-SAP</x:v>
      </x:c>
      <x:c r="B115" s="2" t="str">
        <x:v>Superior transversal</x:v>
      </x:c>
      <x:c r="C115" s="11" t="n">
        <x:v>10</x:v>
      </x:c>
      <x:c r="D115" s="11" t="n">
        <x:v>1</x:v>
      </x:c>
      <x:c r="E115" s="11" t="n">
        <x:v>0.15</x:v>
      </x:c>
      <x:c r="F115" s="12" t="n">
        <x:f>IF(OR(NOT(ISNUMBER(D115)),D115&lt;=0),"Pendente",IF(E115="",D115,IF(E115&gt;0,D115/E115,"Pendente")))</x:f>
        <x:v>6.666666666666667</x:v>
      </x:c>
      <x:c r="G115" s="11" t="n">
        <x:f>Tipos!F37-2*Tipos!I37</x:f>
        <x:v>2.55</x:v>
      </x:c>
      <x:c r="H115" s="12" t="n">
        <x:f>IF(COUNTIF('Como utilizar'!$D$7:$D$14,C115)=0,"Pendente",VLOOKUP(C115,'Como utilizar'!$D$7:$E$14,2,FALSE))</x:f>
        <x:v>0.617</x:v>
      </x:c>
      <x:c r="I115" s="12" t="n">
        <x:f>IF(J115="Pendente","Pendente",F115*G115*H115)</x:f>
        <x:v>10.489</x:v>
      </x:c>
      <x:c r="J115" s="2" t="str">
        <x:f>IF(AND(ISNUMBER(F115),ISNUMBER(G115),G115&gt;0,ISNUMBER(H115),H115&gt;0),"Base calculada","Pendente")</x:f>
        <x:v>Base calculada</x:v>
      </x:c>
      <x:c r="K115" s="2" t="str">
        <x:v>MUROS!A7:AB7</x:v>
      </x:c>
      <x:c r="L115" s="9" t="str">
        <x:v>Faixa contínua; sem barra de extremidade.</x:v>
      </x:c>
    </x:row>
    <x:row r="116" ht="38" customHeight="1">
      <x:c r="A116" s="2" t="str">
        <x:v>MS.2-SAP</x:v>
      </x:c>
      <x:c r="B116" s="2" t="str">
        <x:v>Superior longitudinal</x:v>
      </x:c>
      <x:c r="C116" s="11" t="n">
        <x:v>10</x:v>
      </x:c>
      <x:c r="D116" s="11" t="n">
        <x:f>ROUNDUP((Tipos!F37-2*Tipos!I37)/0.15,0)+1</x:f>
        <x:v>18</x:v>
      </x:c>
      <x:c r="E116" s="11"/>
      <x:c r="F116" s="12" t="n">
        <x:f>IF(OR(NOT(ISNUMBER(D116)),D116&lt;=0),"Pendente",IF(E116="",D116,IF(E116&gt;0,D116/E116,"Pendente")))</x:f>
        <x:v>18</x:v>
      </x:c>
      <x:c r="G116" s="11" t="n">
        <x:v>1</x:v>
      </x:c>
      <x:c r="H116" s="12" t="n">
        <x:f>IF(COUNTIF('Como utilizar'!$D$7:$D$14,C116)=0,"Pendente",VLOOKUP(C116,'Como utilizar'!$D$7:$E$14,2,FALSE))</x:f>
        <x:v>0.617</x:v>
      </x:c>
      <x:c r="I116" s="12" t="n">
        <x:f>IF(J116="Pendente","Pendente",F116*G116*H116)</x:f>
        <x:v>11.106</x:v>
      </x:c>
      <x:c r="J116" s="2" t="str">
        <x:f>IF(AND(ISNUMBER(F116),ISNUMBER(G116),G116&gt;0,ISNUMBER(H116),H116&gt;0),"Base calculada","Pendente")</x:f>
        <x:v>Base calculada</x:v>
      </x:c>
      <x:c r="K116" s="2" t="str">
        <x:v>MUROS!A7:AB7</x:v>
      </x:c>
      <x:c r="L116" s="9" t="str">
        <x:v>Sem emendas.</x:v>
      </x:c>
    </x:row>
    <x:row r="117" ht="38" customHeight="1">
      <x:c r="A117" s="2" t="str">
        <x:v>MS.3-MURO</x:v>
      </x:c>
      <x:c r="B117" s="2" t="str">
        <x:v>Vertical — 2 faces</x:v>
      </x:c>
      <x:c r="C117" s="11" t="n">
        <x:v>10</x:v>
      </x:c>
      <x:c r="D117" s="11" t="n">
        <x:v>2</x:v>
      </x:c>
      <x:c r="E117" s="11" t="n">
        <x:v>0.15</x:v>
      </x:c>
      <x:c r="F117" s="12" t="n">
        <x:f>IF(OR(NOT(ISNUMBER(D117)),D117&lt;=0),"Pendente",IF(E117="",D117,IF(E117&gt;0,D117/E117,"Pendente")))</x:f>
        <x:v>13.333333333333334</x:v>
      </x:c>
      <x:c r="G117" s="11" t="n">
        <x:f>Tipos!G38</x:f>
        <x:v>0.7</x:v>
      </x:c>
      <x:c r="H117" s="12" t="n">
        <x:f>IF(COUNTIF('Como utilizar'!$D$7:$D$14,C117)=0,"Pendente",VLOOKUP(C117,'Como utilizar'!$D$7:$E$14,2,FALSE))</x:f>
        <x:v>0.617</x:v>
      </x:c>
      <x:c r="I117" s="12" t="n">
        <x:f>IF(J117="Pendente","Pendente",F117*G117*H117)</x:f>
        <x:v>5.758666666666667</x:v>
      </x:c>
      <x:c r="J117" s="2" t="str">
        <x:f>IF(AND(ISNUMBER(F117),ISNUMBER(G117),G117&gt;0,ISNUMBER(H117),H117&gt;0),"Base calculada","Pendente")</x:f>
        <x:v>Base calculada</x:v>
      </x:c>
      <x:c r="K117" s="2" t="str">
        <x:v>MUROS!A8:AB8</x:v>
      </x:c>
      <x:c r="L117" s="9" t="str">
        <x:v>Arranques e ancoragens medidos em Acertos aço.</x:v>
      </x:c>
    </x:row>
    <x:row r="118" ht="38" customHeight="1">
      <x:c r="A118" s="2" t="str">
        <x:v>MS.3-MURO</x:v>
      </x:c>
      <x:c r="B118" s="2" t="str">
        <x:v>Horizontal — 2 faces</x:v>
      </x:c>
      <x:c r="C118" s="11" t="n">
        <x:v>10</x:v>
      </x:c>
      <x:c r="D118" s="11" t="n">
        <x:f>2*(ROUNDUP((Tipos!G38-2*Tipos!I38)/0.15,0)+1)</x:f>
        <x:v>12</x:v>
      </x:c>
      <x:c r="E118" s="11"/>
      <x:c r="F118" s="12" t="n">
        <x:f>IF(OR(NOT(ISNUMBER(D118)),D118&lt;=0),"Pendente",IF(E118="",D118,IF(E118&gt;0,D118/E118,"Pendente")))</x:f>
        <x:v>12</x:v>
      </x:c>
      <x:c r="G118" s="11" t="n">
        <x:v>1</x:v>
      </x:c>
      <x:c r="H118" s="12" t="n">
        <x:f>IF(COUNTIF('Como utilizar'!$D$7:$D$14,C118)=0,"Pendente",VLOOKUP(C118,'Como utilizar'!$D$7:$E$14,2,FALSE))</x:f>
        <x:v>0.617</x:v>
      </x:c>
      <x:c r="I118" s="12" t="n">
        <x:f>IF(J118="Pendente","Pendente",F118*G118*H118)</x:f>
        <x:v>7.404</x:v>
      </x:c>
      <x:c r="J118" s="2" t="str">
        <x:f>IF(AND(ISNUMBER(F118),ISNUMBER(G118),G118&gt;0,ISNUMBER(H118),H118&gt;0),"Base calculada","Pendente")</x:f>
        <x:v>Base calculada</x:v>
      </x:c>
      <x:c r="K118" s="2" t="str">
        <x:v>MUROS!A8:AB8</x:v>
      </x:c>
      <x:c r="L118" s="9" t="str">
        <x:v>Sem emendas; confirmar posição das barras extremas.</x:v>
      </x:c>
    </x:row>
    <x:row r="119" ht="38" customHeight="1">
      <x:c r="A119" s="2" t="str">
        <x:v>MS.3-SAP</x:v>
      </x:c>
      <x:c r="B119" s="2" t="str">
        <x:v>Inferior transversal</x:v>
      </x:c>
      <x:c r="C119" s="11" t="n">
        <x:v>10</x:v>
      </x:c>
      <x:c r="D119" s="11" t="n">
        <x:v>1</x:v>
      </x:c>
      <x:c r="E119" s="11" t="n">
        <x:v>0.15</x:v>
      </x:c>
      <x:c r="F119" s="12" t="n">
        <x:f>IF(OR(NOT(ISNUMBER(D119)),D119&lt;=0),"Pendente",IF(E119="",D119,IF(E119&gt;0,D119/E119,"Pendente")))</x:f>
        <x:v>6.666666666666667</x:v>
      </x:c>
      <x:c r="G119" s="11" t="n">
        <x:f>Tipos!F39-2*Tipos!I39</x:f>
        <x:v>1.75</x:v>
      </x:c>
      <x:c r="H119" s="12" t="n">
        <x:f>IF(COUNTIF('Como utilizar'!$D$7:$D$14,C119)=0,"Pendente",VLOOKUP(C119,'Como utilizar'!$D$7:$E$14,2,FALSE))</x:f>
        <x:v>0.617</x:v>
      </x:c>
      <x:c r="I119" s="12" t="n">
        <x:f>IF(J119="Pendente","Pendente",F119*G119*H119)</x:f>
        <x:v>7.198333333333334</x:v>
      </x:c>
      <x:c r="J119" s="2" t="str">
        <x:f>IF(AND(ISNUMBER(F119),ISNUMBER(G119),G119&gt;0,ISNUMBER(H119),H119&gt;0),"Base calculada","Pendente")</x:f>
        <x:v>Base calculada</x:v>
      </x:c>
      <x:c r="K119" s="2" t="str">
        <x:v>MUROS!A8:AB8</x:v>
      </x:c>
      <x:c r="L119" s="9" t="str">
        <x:v>Faixa contínua; sem barra de extremidade.</x:v>
      </x:c>
    </x:row>
    <x:row r="120" ht="38" customHeight="1">
      <x:c r="A120" s="2" t="str">
        <x:v>MS.3-SAP</x:v>
      </x:c>
      <x:c r="B120" s="2" t="str">
        <x:v>Inferior longitudinal</x:v>
      </x:c>
      <x:c r="C120" s="11" t="n">
        <x:v>10</x:v>
      </x:c>
      <x:c r="D120" s="11" t="n">
        <x:f>ROUNDUP((Tipos!F39-2*Tipos!I39)/0.15,0)+1</x:f>
        <x:v>13</x:v>
      </x:c>
      <x:c r="E120" s="11"/>
      <x:c r="F120" s="12" t="n">
        <x:f>IF(OR(NOT(ISNUMBER(D120)),D120&lt;=0),"Pendente",IF(E120="",D120,IF(E120&gt;0,D120/E120,"Pendente")))</x:f>
        <x:v>13</x:v>
      </x:c>
      <x:c r="G120" s="11" t="n">
        <x:v>1</x:v>
      </x:c>
      <x:c r="H120" s="12" t="n">
        <x:f>IF(COUNTIF('Como utilizar'!$D$7:$D$14,C120)=0,"Pendente",VLOOKUP(C120,'Como utilizar'!$D$7:$E$14,2,FALSE))</x:f>
        <x:v>0.617</x:v>
      </x:c>
      <x:c r="I120" s="12" t="n">
        <x:f>IF(J120="Pendente","Pendente",F120*G120*H120)</x:f>
        <x:v>8.021</x:v>
      </x:c>
      <x:c r="J120" s="2" t="str">
        <x:f>IF(AND(ISNUMBER(F120),ISNUMBER(G120),G120&gt;0,ISNUMBER(H120),H120&gt;0),"Base calculada","Pendente")</x:f>
        <x:v>Base calculada</x:v>
      </x:c>
      <x:c r="K120" s="2" t="str">
        <x:v>MUROS!A8:AB8</x:v>
      </x:c>
      <x:c r="L120" s="9" t="str">
        <x:v>Sem emendas.</x:v>
      </x:c>
    </x:row>
    <x:row r="121" ht="38" customHeight="1">
      <x:c r="A121" s="2" t="str">
        <x:v>MS.3-SAP</x:v>
      </x:c>
      <x:c r="B121" s="2" t="str">
        <x:v>Superior transversal</x:v>
      </x:c>
      <x:c r="C121" s="11" t="n">
        <x:v>10</x:v>
      </x:c>
      <x:c r="D121" s="11" t="n">
        <x:v>1</x:v>
      </x:c>
      <x:c r="E121" s="11" t="n">
        <x:v>0.15</x:v>
      </x:c>
      <x:c r="F121" s="12" t="n">
        <x:f>IF(OR(NOT(ISNUMBER(D121)),D121&lt;=0),"Pendente",IF(E121="",D121,IF(E121&gt;0,D121/E121,"Pendente")))</x:f>
        <x:v>6.666666666666667</x:v>
      </x:c>
      <x:c r="G121" s="11" t="n">
        <x:f>Tipos!F39-2*Tipos!I39</x:f>
        <x:v>1.75</x:v>
      </x:c>
      <x:c r="H121" s="12" t="n">
        <x:f>IF(COUNTIF('Como utilizar'!$D$7:$D$14,C121)=0,"Pendente",VLOOKUP(C121,'Como utilizar'!$D$7:$E$14,2,FALSE))</x:f>
        <x:v>0.617</x:v>
      </x:c>
      <x:c r="I121" s="12" t="n">
        <x:f>IF(J121="Pendente","Pendente",F121*G121*H121)</x:f>
        <x:v>7.198333333333334</x:v>
      </x:c>
      <x:c r="J121" s="2" t="str">
        <x:f>IF(AND(ISNUMBER(F121),ISNUMBER(G121),G121&gt;0,ISNUMBER(H121),H121&gt;0),"Base calculada","Pendente")</x:f>
        <x:v>Base calculada</x:v>
      </x:c>
      <x:c r="K121" s="2" t="str">
        <x:v>MUROS!A8:AB8</x:v>
      </x:c>
      <x:c r="L121" s="9" t="str">
        <x:v>Faixa contínua; sem barra de extremidade.</x:v>
      </x:c>
    </x:row>
    <x:row r="122" ht="38" customHeight="1">
      <x:c r="A122" s="2" t="str">
        <x:v>MS.3-SAP</x:v>
      </x:c>
      <x:c r="B122" s="2" t="str">
        <x:v>Superior longitudinal</x:v>
      </x:c>
      <x:c r="C122" s="11" t="n">
        <x:v>10</x:v>
      </x:c>
      <x:c r="D122" s="11" t="n">
        <x:f>ROUNDUP((Tipos!F39-2*Tipos!I39)/0.15,0)+1</x:f>
        <x:v>13</x:v>
      </x:c>
      <x:c r="E122" s="11"/>
      <x:c r="F122" s="12" t="n">
        <x:f>IF(OR(NOT(ISNUMBER(D122)),D122&lt;=0),"Pendente",IF(E122="",D122,IF(E122&gt;0,D122/E122,"Pendente")))</x:f>
        <x:v>13</x:v>
      </x:c>
      <x:c r="G122" s="11" t="n">
        <x:v>1</x:v>
      </x:c>
      <x:c r="H122" s="12" t="n">
        <x:f>IF(COUNTIF('Como utilizar'!$D$7:$D$14,C122)=0,"Pendente",VLOOKUP(C122,'Como utilizar'!$D$7:$E$14,2,FALSE))</x:f>
        <x:v>0.617</x:v>
      </x:c>
      <x:c r="I122" s="12" t="n">
        <x:f>IF(J122="Pendente","Pendente",F122*G122*H122)</x:f>
        <x:v>8.021</x:v>
      </x:c>
      <x:c r="J122" s="2" t="str">
        <x:f>IF(AND(ISNUMBER(F122),ISNUMBER(G122),G122&gt;0,ISNUMBER(H122),H122&gt;0),"Base calculada","Pendente")</x:f>
        <x:v>Base calculada</x:v>
      </x:c>
      <x:c r="K122" s="2" t="str">
        <x:v>MUROS!A8:AB8</x:v>
      </x:c>
      <x:c r="L122" s="9" t="str">
        <x:v>Sem emendas.</x:v>
      </x:c>
    </x:row>
    <x:row r="123" ht="38" customHeight="1">
      <x:c r="A123" s="2" t="str">
        <x:v>MS.4-MURO</x:v>
      </x:c>
      <x:c r="B123" s="2" t="str">
        <x:v>Vertical — 2 faces</x:v>
      </x:c>
      <x:c r="C123" s="11" t="n">
        <x:v>10</x:v>
      </x:c>
      <x:c r="D123" s="11" t="n">
        <x:v>2</x:v>
      </x:c>
      <x:c r="E123" s="11" t="n">
        <x:v>0.15</x:v>
      </x:c>
      <x:c r="F123" s="12" t="n">
        <x:f>IF(OR(NOT(ISNUMBER(D123)),D123&lt;=0),"Pendente",IF(E123="",D123,IF(E123&gt;0,D123/E123,"Pendente")))</x:f>
        <x:v>13.333333333333334</x:v>
      </x:c>
      <x:c r="G123" s="11" t="n">
        <x:f>Tipos!G40</x:f>
        <x:v>0.9</x:v>
      </x:c>
      <x:c r="H123" s="12" t="n">
        <x:f>IF(COUNTIF('Como utilizar'!$D$7:$D$14,C123)=0,"Pendente",VLOOKUP(C123,'Como utilizar'!$D$7:$E$14,2,FALSE))</x:f>
        <x:v>0.617</x:v>
      </x:c>
      <x:c r="I123" s="12" t="n">
        <x:f>IF(J123="Pendente","Pendente",F123*G123*H123)</x:f>
        <x:v>7.404</x:v>
      </x:c>
      <x:c r="J123" s="2" t="str">
        <x:f>IF(AND(ISNUMBER(F123),ISNUMBER(G123),G123&gt;0,ISNUMBER(H123),H123&gt;0),"Base calculada","Pendente")</x:f>
        <x:v>Base calculada</x:v>
      </x:c>
      <x:c r="K123" s="2" t="str">
        <x:v>MUROS!A9:AB9</x:v>
      </x:c>
      <x:c r="L123" s="9" t="str">
        <x:v>Arranques e ancoragens medidos em Acertos aço.</x:v>
      </x:c>
    </x:row>
    <x:row r="124" ht="38" customHeight="1">
      <x:c r="A124" s="2" t="str">
        <x:v>MS.4-MURO</x:v>
      </x:c>
      <x:c r="B124" s="2" t="str">
        <x:v>Horizontal — 2 faces</x:v>
      </x:c>
      <x:c r="C124" s="11" t="n">
        <x:v>10</x:v>
      </x:c>
      <x:c r="D124" s="11" t="n">
        <x:f>2*(ROUNDUP((Tipos!G40-2*Tipos!I40)/0.15,0)+1)</x:f>
        <x:v>14</x:v>
      </x:c>
      <x:c r="E124" s="11"/>
      <x:c r="F124" s="12" t="n">
        <x:f>IF(OR(NOT(ISNUMBER(D124)),D124&lt;=0),"Pendente",IF(E124="",D124,IF(E124&gt;0,D124/E124,"Pendente")))</x:f>
        <x:v>14</x:v>
      </x:c>
      <x:c r="G124" s="11" t="n">
        <x:v>1</x:v>
      </x:c>
      <x:c r="H124" s="12" t="n">
        <x:f>IF(COUNTIF('Como utilizar'!$D$7:$D$14,C124)=0,"Pendente",VLOOKUP(C124,'Como utilizar'!$D$7:$E$14,2,FALSE))</x:f>
        <x:v>0.617</x:v>
      </x:c>
      <x:c r="I124" s="12" t="n">
        <x:f>IF(J124="Pendente","Pendente",F124*G124*H124)</x:f>
        <x:v>8.638</x:v>
      </x:c>
      <x:c r="J124" s="2" t="str">
        <x:f>IF(AND(ISNUMBER(F124),ISNUMBER(G124),G124&gt;0,ISNUMBER(H124),H124&gt;0),"Base calculada","Pendente")</x:f>
        <x:v>Base calculada</x:v>
      </x:c>
      <x:c r="K124" s="2" t="str">
        <x:v>MUROS!A9:AB9</x:v>
      </x:c>
      <x:c r="L124" s="9" t="str">
        <x:v>Sem emendas; confirmar posição das barras extremas.</x:v>
      </x:c>
    </x:row>
    <x:row r="125" ht="38" customHeight="1">
      <x:c r="A125" s="2" t="str">
        <x:v>MS.4-SAP</x:v>
      </x:c>
      <x:c r="B125" s="2" t="str">
        <x:v>Inferior transversal</x:v>
      </x:c>
      <x:c r="C125" s="11" t="n">
        <x:v>10</x:v>
      </x:c>
      <x:c r="D125" s="11" t="n">
        <x:v>1</x:v>
      </x:c>
      <x:c r="E125" s="11" t="n">
        <x:v>0.15</x:v>
      </x:c>
      <x:c r="F125" s="12" t="n">
        <x:f>IF(OR(NOT(ISNUMBER(D125)),D125&lt;=0),"Pendente",IF(E125="",D125,IF(E125&gt;0,D125/E125,"Pendente")))</x:f>
        <x:v>6.666666666666667</x:v>
      </x:c>
      <x:c r="G125" s="11" t="n">
        <x:f>Tipos!F41-2*Tipos!I41</x:f>
        <x:v>2.25</x:v>
      </x:c>
      <x:c r="H125" s="12" t="n">
        <x:f>IF(COUNTIF('Como utilizar'!$D$7:$D$14,C125)=0,"Pendente",VLOOKUP(C125,'Como utilizar'!$D$7:$E$14,2,FALSE))</x:f>
        <x:v>0.617</x:v>
      </x:c>
      <x:c r="I125" s="12" t="n">
        <x:f>IF(J125="Pendente","Pendente",F125*G125*H125)</x:f>
        <x:v>9.254999999999999</x:v>
      </x:c>
      <x:c r="J125" s="2" t="str">
        <x:f>IF(AND(ISNUMBER(F125),ISNUMBER(G125),G125&gt;0,ISNUMBER(H125),H125&gt;0),"Base calculada","Pendente")</x:f>
        <x:v>Base calculada</x:v>
      </x:c>
      <x:c r="K125" s="2" t="str">
        <x:v>MUROS!A9:AB9</x:v>
      </x:c>
      <x:c r="L125" s="9" t="str">
        <x:v>Faixa contínua; sem barra de extremidade.</x:v>
      </x:c>
    </x:row>
    <x:row r="126" ht="38" customHeight="1">
      <x:c r="A126" s="2" t="str">
        <x:v>MS.4-SAP</x:v>
      </x:c>
      <x:c r="B126" s="2" t="str">
        <x:v>Inferior longitudinal</x:v>
      </x:c>
      <x:c r="C126" s="11" t="n">
        <x:v>10</x:v>
      </x:c>
      <x:c r="D126" s="11" t="n">
        <x:f>ROUNDUP((Tipos!F41-2*Tipos!I41)/0.15,0)+1</x:f>
        <x:v>16</x:v>
      </x:c>
      <x:c r="E126" s="11"/>
      <x:c r="F126" s="12" t="n">
        <x:f>IF(OR(NOT(ISNUMBER(D126)),D126&lt;=0),"Pendente",IF(E126="",D126,IF(E126&gt;0,D126/E126,"Pendente")))</x:f>
        <x:v>16</x:v>
      </x:c>
      <x:c r="G126" s="11" t="n">
        <x:v>1</x:v>
      </x:c>
      <x:c r="H126" s="12" t="n">
        <x:f>IF(COUNTIF('Como utilizar'!$D$7:$D$14,C126)=0,"Pendente",VLOOKUP(C126,'Como utilizar'!$D$7:$E$14,2,FALSE))</x:f>
        <x:v>0.617</x:v>
      </x:c>
      <x:c r="I126" s="12" t="n">
        <x:f>IF(J126="Pendente","Pendente",F126*G126*H126)</x:f>
        <x:v>9.872</x:v>
      </x:c>
      <x:c r="J126" s="2" t="str">
        <x:f>IF(AND(ISNUMBER(F126),ISNUMBER(G126),G126&gt;0,ISNUMBER(H126),H126&gt;0),"Base calculada","Pendente")</x:f>
        <x:v>Base calculada</x:v>
      </x:c>
      <x:c r="K126" s="2" t="str">
        <x:v>MUROS!A9:AB9</x:v>
      </x:c>
      <x:c r="L126" s="9" t="str">
        <x:v>Sem emendas.</x:v>
      </x:c>
    </x:row>
    <x:row r="127" ht="38" customHeight="1">
      <x:c r="A127" s="2" t="str">
        <x:v>MS.4-SAP</x:v>
      </x:c>
      <x:c r="B127" s="2" t="str">
        <x:v>Superior transversal</x:v>
      </x:c>
      <x:c r="C127" s="11" t="n">
        <x:v>10</x:v>
      </x:c>
      <x:c r="D127" s="11" t="n">
        <x:v>1</x:v>
      </x:c>
      <x:c r="E127" s="11" t="n">
        <x:v>0.15</x:v>
      </x:c>
      <x:c r="F127" s="12" t="n">
        <x:f>IF(OR(NOT(ISNUMBER(D127)),D127&lt;=0),"Pendente",IF(E127="",D127,IF(E127&gt;0,D127/E127,"Pendente")))</x:f>
        <x:v>6.666666666666667</x:v>
      </x:c>
      <x:c r="G127" s="11" t="n">
        <x:f>Tipos!F41-2*Tipos!I41</x:f>
        <x:v>2.25</x:v>
      </x:c>
      <x:c r="H127" s="12" t="n">
        <x:f>IF(COUNTIF('Como utilizar'!$D$7:$D$14,C127)=0,"Pendente",VLOOKUP(C127,'Como utilizar'!$D$7:$E$14,2,FALSE))</x:f>
        <x:v>0.617</x:v>
      </x:c>
      <x:c r="I127" s="12" t="n">
        <x:f>IF(J127="Pendente","Pendente",F127*G127*H127)</x:f>
        <x:v>9.254999999999999</x:v>
      </x:c>
      <x:c r="J127" s="2" t="str">
        <x:f>IF(AND(ISNUMBER(F127),ISNUMBER(G127),G127&gt;0,ISNUMBER(H127),H127&gt;0),"Base calculada","Pendente")</x:f>
        <x:v>Base calculada</x:v>
      </x:c>
      <x:c r="K127" s="2" t="str">
        <x:v>MUROS!A9:AB9</x:v>
      </x:c>
      <x:c r="L127" s="9" t="str">
        <x:v>Faixa contínua; sem barra de extremidade.</x:v>
      </x:c>
    </x:row>
    <x:row r="128" ht="38" customHeight="1">
      <x:c r="A128" s="2" t="str">
        <x:v>MS.4-SAP</x:v>
      </x:c>
      <x:c r="B128" s="2" t="str">
        <x:v>Superior longitudinal</x:v>
      </x:c>
      <x:c r="C128" s="11" t="n">
        <x:v>10</x:v>
      </x:c>
      <x:c r="D128" s="11" t="n">
        <x:f>ROUNDUP((Tipos!F41-2*Tipos!I41)/0.15,0)+1</x:f>
        <x:v>16</x:v>
      </x:c>
      <x:c r="E128" s="11"/>
      <x:c r="F128" s="12" t="n">
        <x:f>IF(OR(NOT(ISNUMBER(D128)),D128&lt;=0),"Pendente",IF(E128="",D128,IF(E128&gt;0,D128/E128,"Pendente")))</x:f>
        <x:v>16</x:v>
      </x:c>
      <x:c r="G128" s="11" t="n">
        <x:v>1</x:v>
      </x:c>
      <x:c r="H128" s="12" t="n">
        <x:f>IF(COUNTIF('Como utilizar'!$D$7:$D$14,C128)=0,"Pendente",VLOOKUP(C128,'Como utilizar'!$D$7:$E$14,2,FALSE))</x:f>
        <x:v>0.617</x:v>
      </x:c>
      <x:c r="I128" s="12" t="n">
        <x:f>IF(J128="Pendente","Pendente",F128*G128*H128)</x:f>
        <x:v>9.872</x:v>
      </x:c>
      <x:c r="J128" s="2" t="str">
        <x:f>IF(AND(ISNUMBER(F128),ISNUMBER(G128),G128&gt;0,ISNUMBER(H128),H128&gt;0),"Base calculada","Pendente")</x:f>
        <x:v>Base calculada</x:v>
      </x:c>
      <x:c r="K128" s="2" t="str">
        <x:v>MUROS!A9:AB9</x:v>
      </x:c>
      <x:c r="L128" s="9" t="str">
        <x:v>Sem emendas.</x:v>
      </x:c>
    </x:row>
    <x:row r="129" ht="38" customHeight="1">
      <x:c r="A129" s="2" t="str">
        <x:v>Pb.1-MURO</x:v>
      </x:c>
      <x:c r="B129" s="2" t="str">
        <x:v>Vertical — 2 faces</x:v>
      </x:c>
      <x:c r="C129" s="11" t="n">
        <x:v>10</x:v>
      </x:c>
      <x:c r="D129" s="11" t="n">
        <x:v>2</x:v>
      </x:c>
      <x:c r="E129" s="11" t="n">
        <x:v>0.2</x:v>
      </x:c>
      <x:c r="F129" s="12" t="n">
        <x:f>IF(OR(NOT(ISNUMBER(D129)),D129&lt;=0),"Pendente",IF(E129="",D129,IF(E129&gt;0,D129/E129,"Pendente")))</x:f>
        <x:v>10</x:v>
      </x:c>
      <x:c r="G129" s="11" t="n">
        <x:f>Tipos!G42</x:f>
        <x:v>3.15</x:v>
      </x:c>
      <x:c r="H129" s="12" t="n">
        <x:f>IF(COUNTIF('Como utilizar'!$D$7:$D$14,C129)=0,"Pendente",VLOOKUP(C129,'Como utilizar'!$D$7:$E$14,2,FALSE))</x:f>
        <x:v>0.617</x:v>
      </x:c>
      <x:c r="I129" s="12" t="n">
        <x:f>IF(J129="Pendente","Pendente",F129*G129*H129)</x:f>
        <x:v>19.4355</x:v>
      </x:c>
      <x:c r="J129" s="2" t="str">
        <x:f>IF(AND(ISNUMBER(F129),ISNUMBER(G129),G129&gt;0,ISNUMBER(H129),H129&gt;0),"Base calculada","Pendente")</x:f>
        <x:v>Base calculada</x:v>
      </x:c>
      <x:c r="K129" s="2" t="str">
        <x:v>MUROS!A10:AB10</x:v>
      </x:c>
      <x:c r="L129" s="9" t="str">
        <x:v>Arranques e ancoragens medidos em Acertos aço.</x:v>
      </x:c>
    </x:row>
    <x:row r="130" ht="38" customHeight="1">
      <x:c r="A130" s="2" t="str">
        <x:v>Pb.1-MURO</x:v>
      </x:c>
      <x:c r="B130" s="2" t="str">
        <x:v>Horizontal — 2 faces</x:v>
      </x:c>
      <x:c r="C130" s="11" t="n">
        <x:v>10</x:v>
      </x:c>
      <x:c r="D130" s="11" t="n">
        <x:f>2*(ROUNDUP((Tipos!G42-2*Tipos!I42)/0.15,0)+1)</x:f>
        <x:v>44</x:v>
      </x:c>
      <x:c r="E130" s="11"/>
      <x:c r="F130" s="12" t="n">
        <x:f>IF(OR(NOT(ISNUMBER(D130)),D130&lt;=0),"Pendente",IF(E130="",D130,IF(E130&gt;0,D130/E130,"Pendente")))</x:f>
        <x:v>44</x:v>
      </x:c>
      <x:c r="G130" s="11" t="n">
        <x:v>1</x:v>
      </x:c>
      <x:c r="H130" s="12" t="n">
        <x:f>IF(COUNTIF('Como utilizar'!$D$7:$D$14,C130)=0,"Pendente",VLOOKUP(C130,'Como utilizar'!$D$7:$E$14,2,FALSE))</x:f>
        <x:v>0.617</x:v>
      </x:c>
      <x:c r="I130" s="12" t="n">
        <x:f>IF(J130="Pendente","Pendente",F130*G130*H130)</x:f>
        <x:v>27.148</x:v>
      </x:c>
      <x:c r="J130" s="2" t="str">
        <x:f>IF(AND(ISNUMBER(F130),ISNUMBER(G130),G130&gt;0,ISNUMBER(H130),H130&gt;0),"Base calculada","Pendente")</x:f>
        <x:v>Base calculada</x:v>
      </x:c>
      <x:c r="K130" s="2" t="str">
        <x:v>MUROS!A10:AB10</x:v>
      </x:c>
      <x:c r="L130" s="9" t="str">
        <x:v>Sem emendas; confirmar posição das barras extremas.</x:v>
      </x:c>
    </x:row>
    <x:row r="131" ht="38" customHeight="1">
      <x:c r="A131" s="2" t="str">
        <x:v>Pb.1-SAP</x:v>
      </x:c>
      <x:c r="B131" s="2" t="str">
        <x:v>Inferior transversal</x:v>
      </x:c>
      <x:c r="C131" s="11" t="n">
        <x:v>10</x:v>
      </x:c>
      <x:c r="D131" s="11" t="n">
        <x:v>1</x:v>
      </x:c>
      <x:c r="E131" s="11" t="n">
        <x:v>0.1</x:v>
      </x:c>
      <x:c r="F131" s="12" t="n">
        <x:f>IF(OR(NOT(ISNUMBER(D131)),D131&lt;=0),"Pendente",IF(E131="",D131,IF(E131&gt;0,D131/E131,"Pendente")))</x:f>
        <x:v>10</x:v>
      </x:c>
      <x:c r="G131" s="11" t="n">
        <x:f>Tipos!F43-2*Tipos!I43</x:f>
        <x:v>0.7000000000000001</x:v>
      </x:c>
      <x:c r="H131" s="12" t="n">
        <x:f>IF(COUNTIF('Como utilizar'!$D$7:$D$14,C131)=0,"Pendente",VLOOKUP(C131,'Como utilizar'!$D$7:$E$14,2,FALSE))</x:f>
        <x:v>0.617</x:v>
      </x:c>
      <x:c r="I131" s="12" t="n">
        <x:f>IF(J131="Pendente","Pendente",F131*G131*H131)</x:f>
        <x:v>4.319000000000001</x:v>
      </x:c>
      <x:c r="J131" s="2" t="str">
        <x:f>IF(AND(ISNUMBER(F131),ISNUMBER(G131),G131&gt;0,ISNUMBER(H131),H131&gt;0),"Base calculada","Pendente")</x:f>
        <x:v>Base calculada</x:v>
      </x:c>
      <x:c r="K131" s="2" t="str">
        <x:v>MUROS!A10:AB10</x:v>
      </x:c>
      <x:c r="L131" s="9" t="str">
        <x:v>Faixa contínua; sem barra de extremidade.</x:v>
      </x:c>
    </x:row>
    <x:row r="132" ht="38" customHeight="1">
      <x:c r="A132" s="2" t="str">
        <x:v>Pb.1-SAP</x:v>
      </x:c>
      <x:c r="B132" s="2" t="str">
        <x:v>Inferior longitudinal</x:v>
      </x:c>
      <x:c r="C132" s="11" t="n">
        <x:v>10</x:v>
      </x:c>
      <x:c r="D132" s="11" t="n">
        <x:f>ROUNDUP((Tipos!F43-2*Tipos!I43)/0.1,0)+1</x:f>
        <x:v>8</x:v>
      </x:c>
      <x:c r="E132" s="11"/>
      <x:c r="F132" s="12" t="n">
        <x:f>IF(OR(NOT(ISNUMBER(D132)),D132&lt;=0),"Pendente",IF(E132="",D132,IF(E132&gt;0,D132/E132,"Pendente")))</x:f>
        <x:v>8</x:v>
      </x:c>
      <x:c r="G132" s="11" t="n">
        <x:v>1</x:v>
      </x:c>
      <x:c r="H132" s="12" t="n">
        <x:f>IF(COUNTIF('Como utilizar'!$D$7:$D$14,C132)=0,"Pendente",VLOOKUP(C132,'Como utilizar'!$D$7:$E$14,2,FALSE))</x:f>
        <x:v>0.617</x:v>
      </x:c>
      <x:c r="I132" s="12" t="n">
        <x:f>IF(J132="Pendente","Pendente",F132*G132*H132)</x:f>
        <x:v>4.936</x:v>
      </x:c>
      <x:c r="J132" s="2" t="str">
        <x:f>IF(AND(ISNUMBER(F132),ISNUMBER(G132),G132&gt;0,ISNUMBER(H132),H132&gt;0),"Base calculada","Pendente")</x:f>
        <x:v>Base calculada</x:v>
      </x:c>
      <x:c r="K132" s="2" t="str">
        <x:v>MUROS!A10:AB10</x:v>
      </x:c>
      <x:c r="L132" s="9" t="str">
        <x:v>Sem emendas.</x:v>
      </x:c>
    </x:row>
    <x:row r="133" ht="38" customHeight="1">
      <x:c r="A133" s="2" t="str">
        <x:v>Pb.1-SAP</x:v>
      </x:c>
      <x:c r="B133" s="2" t="str">
        <x:v>Superior transversal</x:v>
      </x:c>
      <x:c r="C133" s="11" t="n">
        <x:v>10</x:v>
      </x:c>
      <x:c r="D133" s="11" t="n">
        <x:v>1</x:v>
      </x:c>
      <x:c r="E133" s="11" t="n">
        <x:v>0.2</x:v>
      </x:c>
      <x:c r="F133" s="12" t="n">
        <x:f>IF(OR(NOT(ISNUMBER(D133)),D133&lt;=0),"Pendente",IF(E133="",D133,IF(E133&gt;0,D133/E133,"Pendente")))</x:f>
        <x:v>5</x:v>
      </x:c>
      <x:c r="G133" s="11" t="n">
        <x:f>Tipos!F43-2*Tipos!I43</x:f>
        <x:v>0.7000000000000001</x:v>
      </x:c>
      <x:c r="H133" s="12" t="n">
        <x:f>IF(COUNTIF('Como utilizar'!$D$7:$D$14,C133)=0,"Pendente",VLOOKUP(C133,'Como utilizar'!$D$7:$E$14,2,FALSE))</x:f>
        <x:v>0.617</x:v>
      </x:c>
      <x:c r="I133" s="12" t="n">
        <x:f>IF(J133="Pendente","Pendente",F133*G133*H133)</x:f>
        <x:v>2.1595000000000004</x:v>
      </x:c>
      <x:c r="J133" s="2" t="str">
        <x:f>IF(AND(ISNUMBER(F133),ISNUMBER(G133),G133&gt;0,ISNUMBER(H133),H133&gt;0),"Base calculada","Pendente")</x:f>
        <x:v>Base calculada</x:v>
      </x:c>
      <x:c r="K133" s="2" t="str">
        <x:v>MUROS!A10:AB10</x:v>
      </x:c>
      <x:c r="L133" s="9" t="str">
        <x:v>Faixa contínua; sem barra de extremidade.</x:v>
      </x:c>
    </x:row>
    <x:row r="134" ht="38" customHeight="1">
      <x:c r="A134" s="2" t="str">
        <x:v>Pb.1-SAP</x:v>
      </x:c>
      <x:c r="B134" s="2" t="str">
        <x:v>Superior longitudinal</x:v>
      </x:c>
      <x:c r="C134" s="11" t="n">
        <x:v>10</x:v>
      </x:c>
      <x:c r="D134" s="11" t="n">
        <x:f>ROUNDUP((Tipos!F43-2*Tipos!I43)/0.2,0)+1</x:f>
        <x:v>5</x:v>
      </x:c>
      <x:c r="E134" s="11"/>
      <x:c r="F134" s="12" t="n">
        <x:f>IF(OR(NOT(ISNUMBER(D134)),D134&lt;=0),"Pendente",IF(E134="",D134,IF(E134&gt;0,D134/E134,"Pendente")))</x:f>
        <x:v>5</x:v>
      </x:c>
      <x:c r="G134" s="11" t="n">
        <x:v>1</x:v>
      </x:c>
      <x:c r="H134" s="12" t="n">
        <x:f>IF(COUNTIF('Como utilizar'!$D$7:$D$14,C134)=0,"Pendente",VLOOKUP(C134,'Como utilizar'!$D$7:$E$14,2,FALSE))</x:f>
        <x:v>0.617</x:v>
      </x:c>
      <x:c r="I134" s="12" t="n">
        <x:f>IF(J134="Pendente","Pendente",F134*G134*H134)</x:f>
        <x:v>3.085</x:v>
      </x:c>
      <x:c r="J134" s="2" t="str">
        <x:f>IF(AND(ISNUMBER(F134),ISNUMBER(G134),G134&gt;0,ISNUMBER(H134),H134&gt;0),"Base calculada","Pendente")</x:f>
        <x:v>Base calculada</x:v>
      </x:c>
      <x:c r="K134" s="2" t="str">
        <x:v>MUROS!A10:AB10</x:v>
      </x:c>
      <x:c r="L134" s="9" t="str">
        <x:v>Sem emendas.</x:v>
      </x:c>
    </x:row>
    <x:row r="135" ht="38" customHeight="1">
      <x:c r="A135" s="2" t="str">
        <x:v>Pb.2-MURO</x:v>
      </x:c>
      <x:c r="B135" s="2" t="str">
        <x:v>Vertical — 2 faces</x:v>
      </x:c>
      <x:c r="C135" s="11" t="n">
        <x:v>10</x:v>
      </x:c>
      <x:c r="D135" s="11" t="n">
        <x:v>2</x:v>
      </x:c>
      <x:c r="E135" s="11" t="n">
        <x:v>0.15</x:v>
      </x:c>
      <x:c r="F135" s="12" t="n">
        <x:f>IF(OR(NOT(ISNUMBER(D135)),D135&lt;=0),"Pendente",IF(E135="",D135,IF(E135&gt;0,D135/E135,"Pendente")))</x:f>
        <x:v>13.333333333333334</x:v>
      </x:c>
      <x:c r="G135" s="11" t="n">
        <x:f>Tipos!G44</x:f>
        <x:v>1.6</x:v>
      </x:c>
      <x:c r="H135" s="12" t="n">
        <x:f>IF(COUNTIF('Como utilizar'!$D$7:$D$14,C135)=0,"Pendente",VLOOKUP(C135,'Como utilizar'!$D$7:$E$14,2,FALSE))</x:f>
        <x:v>0.617</x:v>
      </x:c>
      <x:c r="I135" s="12" t="n">
        <x:f>IF(J135="Pendente","Pendente",F135*G135*H135)</x:f>
        <x:v>13.162666666666668</x:v>
      </x:c>
      <x:c r="J135" s="2" t="str">
        <x:f>IF(AND(ISNUMBER(F135),ISNUMBER(G135),G135&gt;0,ISNUMBER(H135),H135&gt;0),"Base calculada","Pendente")</x:f>
        <x:v>Base calculada</x:v>
      </x:c>
      <x:c r="K135" s="2" t="str">
        <x:v>MUROS!A11:AB11</x:v>
      </x:c>
      <x:c r="L135" s="9" t="str">
        <x:v>Arranques e ancoragens medidos em Acertos aço.</x:v>
      </x:c>
    </x:row>
    <x:row r="136" ht="38" customHeight="1">
      <x:c r="A136" s="2" t="str">
        <x:v>Pb.2-MURO</x:v>
      </x:c>
      <x:c r="B136" s="2" t="str">
        <x:v>Horizontal — 2 faces</x:v>
      </x:c>
      <x:c r="C136" s="11" t="n">
        <x:v>10</x:v>
      </x:c>
      <x:c r="D136" s="11" t="n">
        <x:f>2*(ROUNDUP((Tipos!G44-2*Tipos!I44)/0.15,0)+1)</x:f>
        <x:v>24</x:v>
      </x:c>
      <x:c r="E136" s="11"/>
      <x:c r="F136" s="12" t="n">
        <x:f>IF(OR(NOT(ISNUMBER(D136)),D136&lt;=0),"Pendente",IF(E136="",D136,IF(E136&gt;0,D136/E136,"Pendente")))</x:f>
        <x:v>24</x:v>
      </x:c>
      <x:c r="G136" s="11" t="n">
        <x:v>1</x:v>
      </x:c>
      <x:c r="H136" s="12" t="n">
        <x:f>IF(COUNTIF('Como utilizar'!$D$7:$D$14,C136)=0,"Pendente",VLOOKUP(C136,'Como utilizar'!$D$7:$E$14,2,FALSE))</x:f>
        <x:v>0.617</x:v>
      </x:c>
      <x:c r="I136" s="12" t="n">
        <x:f>IF(J136="Pendente","Pendente",F136*G136*H136)</x:f>
        <x:v>14.808</x:v>
      </x:c>
      <x:c r="J136" s="2" t="str">
        <x:f>IF(AND(ISNUMBER(F136),ISNUMBER(G136),G136&gt;0,ISNUMBER(H136),H136&gt;0),"Base calculada","Pendente")</x:f>
        <x:v>Base calculada</x:v>
      </x:c>
      <x:c r="K136" s="2" t="str">
        <x:v>MUROS!A11:AB11</x:v>
      </x:c>
      <x:c r="L136" s="9" t="str">
        <x:v>Sem emendas; confirmar posição das barras extremas.</x:v>
      </x:c>
    </x:row>
    <x:row r="137" ht="38" customHeight="1">
      <x:c r="A137" s="2" t="str">
        <x:v>Pb.2-SAP</x:v>
      </x:c>
      <x:c r="B137" s="2" t="str">
        <x:v>Inferior transversal</x:v>
      </x:c>
      <x:c r="C137" s="11" t="n">
        <x:v>12</x:v>
      </x:c>
      <x:c r="D137" s="11" t="n">
        <x:v>1</x:v>
      </x:c>
      <x:c r="E137" s="11" t="n">
        <x:v>0.15</x:v>
      </x:c>
      <x:c r="F137" s="12" t="n">
        <x:f>IF(OR(NOT(ISNUMBER(D137)),D137&lt;=0),"Pendente",IF(E137="",D137,IF(E137&gt;0,D137/E137,"Pendente")))</x:f>
        <x:v>6.666666666666667</x:v>
      </x:c>
      <x:c r="G137" s="11" t="n">
        <x:f>Tipos!F45-2*Tipos!I45</x:f>
        <x:v>2.05</x:v>
      </x:c>
      <x:c r="H137" s="12" t="n">
        <x:f>IF(COUNTIF('Como utilizar'!$D$7:$D$14,C137)=0,"Pendente",VLOOKUP(C137,'Como utilizar'!$D$7:$E$14,2,FALSE))</x:f>
        <x:v>0.888</x:v>
      </x:c>
      <x:c r="I137" s="12" t="n">
        <x:f>IF(J137="Pendente","Pendente",F137*G137*H137)</x:f>
        <x:v>12.136</x:v>
      </x:c>
      <x:c r="J137" s="2" t="str">
        <x:f>IF(AND(ISNUMBER(F137),ISNUMBER(G137),G137&gt;0,ISNUMBER(H137),H137&gt;0),"Base calculada","Pendente")</x:f>
        <x:v>Base calculada</x:v>
      </x:c>
      <x:c r="K137" s="2" t="str">
        <x:v>MUROS!A11:AB11</x:v>
      </x:c>
      <x:c r="L137" s="9" t="str">
        <x:v>Faixa contínua; sem barra de extremidade.</x:v>
      </x:c>
    </x:row>
    <x:row r="138" ht="38" customHeight="1">
      <x:c r="A138" s="2" t="str">
        <x:v>Pb.2-SAP</x:v>
      </x:c>
      <x:c r="B138" s="2" t="str">
        <x:v>Inferior longitudinal</x:v>
      </x:c>
      <x:c r="C138" s="11" t="n">
        <x:v>12</x:v>
      </x:c>
      <x:c r="D138" s="11" t="n">
        <x:f>ROUNDUP((Tipos!F45-2*Tipos!I45)/0.15,0)+1</x:f>
        <x:v>15</x:v>
      </x:c>
      <x:c r="E138" s="11"/>
      <x:c r="F138" s="12" t="n">
        <x:f>IF(OR(NOT(ISNUMBER(D138)),D138&lt;=0),"Pendente",IF(E138="",D138,IF(E138&gt;0,D138/E138,"Pendente")))</x:f>
        <x:v>15</x:v>
      </x:c>
      <x:c r="G138" s="11" t="n">
        <x:v>1</x:v>
      </x:c>
      <x:c r="H138" s="12" t="n">
        <x:f>IF(COUNTIF('Como utilizar'!$D$7:$D$14,C138)=0,"Pendente",VLOOKUP(C138,'Como utilizar'!$D$7:$E$14,2,FALSE))</x:f>
        <x:v>0.888</x:v>
      </x:c>
      <x:c r="I138" s="12" t="n">
        <x:f>IF(J138="Pendente","Pendente",F138*G138*H138)</x:f>
        <x:v>13.32</x:v>
      </x:c>
      <x:c r="J138" s="2" t="str">
        <x:f>IF(AND(ISNUMBER(F138),ISNUMBER(G138),G138&gt;0,ISNUMBER(H138),H138&gt;0),"Base calculada","Pendente")</x:f>
        <x:v>Base calculada</x:v>
      </x:c>
      <x:c r="K138" s="2" t="str">
        <x:v>MUROS!A11:AB11</x:v>
      </x:c>
      <x:c r="L138" s="9" t="str">
        <x:v>Sem emendas.</x:v>
      </x:c>
    </x:row>
    <x:row r="139" ht="38" customHeight="1">
      <x:c r="A139" s="2" t="str">
        <x:v>Pb.2-SAP</x:v>
      </x:c>
      <x:c r="B139" s="2" t="str">
        <x:v>Superior transversal</x:v>
      </x:c>
      <x:c r="C139" s="11" t="n">
        <x:v>10</x:v>
      </x:c>
      <x:c r="D139" s="11" t="n">
        <x:v>1</x:v>
      </x:c>
      <x:c r="E139" s="11" t="n">
        <x:v>0.15</x:v>
      </x:c>
      <x:c r="F139" s="12" t="n">
        <x:f>IF(OR(NOT(ISNUMBER(D139)),D139&lt;=0),"Pendente",IF(E139="",D139,IF(E139&gt;0,D139/E139,"Pendente")))</x:f>
        <x:v>6.666666666666667</x:v>
      </x:c>
      <x:c r="G139" s="11" t="n">
        <x:f>Tipos!F45-2*Tipos!I45</x:f>
        <x:v>2.05</x:v>
      </x:c>
      <x:c r="H139" s="12" t="n">
        <x:f>IF(COUNTIF('Como utilizar'!$D$7:$D$14,C139)=0,"Pendente",VLOOKUP(C139,'Como utilizar'!$D$7:$E$14,2,FALSE))</x:f>
        <x:v>0.617</x:v>
      </x:c>
      <x:c r="I139" s="12" t="n">
        <x:f>IF(J139="Pendente","Pendente",F139*G139*H139)</x:f>
        <x:v>8.432333333333332</x:v>
      </x:c>
      <x:c r="J139" s="2" t="str">
        <x:f>IF(AND(ISNUMBER(F139),ISNUMBER(G139),G139&gt;0,ISNUMBER(H139),H139&gt;0),"Base calculada","Pendente")</x:f>
        <x:v>Base calculada</x:v>
      </x:c>
      <x:c r="K139" s="2" t="str">
        <x:v>MUROS!A11:AB11</x:v>
      </x:c>
      <x:c r="L139" s="9" t="str">
        <x:v>Faixa contínua; sem barra de extremidade.</x:v>
      </x:c>
    </x:row>
    <x:row r="140" ht="38" customHeight="1">
      <x:c r="A140" s="2" t="str">
        <x:v>Pb.2-SAP</x:v>
      </x:c>
      <x:c r="B140" s="2" t="str">
        <x:v>Superior longitudinal</x:v>
      </x:c>
      <x:c r="C140" s="11" t="n">
        <x:v>10</x:v>
      </x:c>
      <x:c r="D140" s="11" t="n">
        <x:f>ROUNDUP((Tipos!F45-2*Tipos!I45)/0.15,0)+1</x:f>
        <x:v>15</x:v>
      </x:c>
      <x:c r="E140" s="11"/>
      <x:c r="F140" s="12" t="n">
        <x:f>IF(OR(NOT(ISNUMBER(D140)),D140&lt;=0),"Pendente",IF(E140="",D140,IF(E140&gt;0,D140/E140,"Pendente")))</x:f>
        <x:v>15</x:v>
      </x:c>
      <x:c r="G140" s="11" t="n">
        <x:v>1</x:v>
      </x:c>
      <x:c r="H140" s="12" t="n">
        <x:f>IF(COUNTIF('Como utilizar'!$D$7:$D$14,C140)=0,"Pendente",VLOOKUP(C140,'Como utilizar'!$D$7:$E$14,2,FALSE))</x:f>
        <x:v>0.617</x:v>
      </x:c>
      <x:c r="I140" s="12" t="n">
        <x:f>IF(J140="Pendente","Pendente",F140*G140*H140)</x:f>
        <x:v>9.254999999999999</x:v>
      </x:c>
      <x:c r="J140" s="2" t="str">
        <x:f>IF(AND(ISNUMBER(F140),ISNUMBER(G140),G140&gt;0,ISNUMBER(H140),H140&gt;0),"Base calculada","Pendente")</x:f>
        <x:v>Base calculada</x:v>
      </x:c>
      <x:c r="K140" s="2" t="str">
        <x:v>MUROS!A11:AB11</x:v>
      </x:c>
      <x:c r="L140" s="9" t="str">
        <x:v>Sem emendas.</x:v>
      </x:c>
    </x:row>
    <x:row r="141" ht="38" customHeight="1">
      <x:c r="A141" s="2" t="str">
        <x:v>Pa.2-P0-COB</x:v>
      </x:c>
      <x:c r="B141" s="2" t="str">
        <x:v>Vertical — 2 faces</x:v>
      </x:c>
      <x:c r="C141" s="11" t="n">
        <x:v>16</x:v>
      </x:c>
      <x:c r="D141" s="11" t="n">
        <x:f>2*(ROUNDUP((Tipos!H46-2*Tipos!I46)/0.1,0)+1)</x:f>
        <x:v>18</x:v>
      </x:c>
      <x:c r="E141" s="11"/>
      <x:c r="F141" s="12" t="n">
        <x:f>IF(OR(NOT(ISNUMBER(D141)),D141&lt;=0),"Pendente",IF(E141="",D141,IF(E141&gt;0,D141/E141,"Pendente")))</x:f>
        <x:v>18</x:v>
      </x:c>
      <x:c r="G141" s="11" t="n">
        <x:v>1</x:v>
      </x:c>
      <x:c r="H141" s="12" t="n">
        <x:f>IF(COUNTIF('Como utilizar'!$D$7:$D$14,C141)=0,"Pendente",VLOOKUP(C141,'Como utilizar'!$D$7:$E$14,2,FALSE))</x:f>
        <x:v>1.578</x:v>
      </x:c>
      <x:c r="I141" s="12" t="n">
        <x:f>IF(J141="Pendente","Pendente",F141*G141*H141)</x:f>
        <x:v>28.404</x:v>
      </x:c>
      <x:c r="J141" s="2" t="str">
        <x:f>IF(AND(ISNUMBER(F141),ISNUMBER(G141),G141&gt;0,ISNUMBER(H141),H141&gt;0),"Base calculada","Pendente")</x:f>
        <x:v>Base calculada</x:v>
      </x:c>
      <x:c r="K141" s="2" t="str">
        <x:v>MUROS!A16:T16</x:v>
      </x:c>
      <x:c r="L141" s="9" t="str">
        <x:v>Sem arranques/emendas.</x:v>
      </x:c>
    </x:row>
    <x:row r="142" ht="38" customHeight="1">
      <x:c r="A142" s="2" t="str">
        <x:v>Pa.2-P0-COB</x:v>
      </x:c>
      <x:c r="B142" s="2" t="str">
        <x:v>Horizontal — 2 faces</x:v>
      </x:c>
      <x:c r="C142" s="11" t="n">
        <x:v>10</x:v>
      </x:c>
      <x:c r="D142" s="11" t="n">
        <x:v>2</x:v>
      </x:c>
      <x:c r="E142" s="11" t="n">
        <x:v>0.2</x:v>
      </x:c>
      <x:c r="F142" s="12" t="n">
        <x:f>IF(OR(NOT(ISNUMBER(D142)),D142&lt;=0),"Pendente",IF(E142="",D142,IF(E142&gt;0,D142/E142,"Pendente")))</x:f>
        <x:v>10</x:v>
      </x:c>
      <x:c r="G142" s="11" t="n">
        <x:f>Tipos!H46-2*Tipos!I46</x:f>
        <x:v>0.74</x:v>
      </x:c>
      <x:c r="H142" s="12" t="n">
        <x:f>IF(COUNTIF('Como utilizar'!$D$7:$D$14,C142)=0,"Pendente",VLOOKUP(C142,'Como utilizar'!$D$7:$E$14,2,FALSE))</x:f>
        <x:v>0.617</x:v>
      </x:c>
      <x:c r="I142" s="12" t="n">
        <x:f>IF(J142="Pendente","Pendente",F142*G142*H142)</x:f>
        <x:v>4.5658</x:v>
      </x:c>
      <x:c r="J142" s="2" t="str">
        <x:f>IF(AND(ISNUMBER(F142),ISNUMBER(G142),G142&gt;0,ISNUMBER(H142),H142&gt;0),"Base calculada","Pendente")</x:f>
        <x:v>Base calculada</x:v>
      </x:c>
      <x:c r="K142" s="2" t="str">
        <x:v>MUROS!A16:T16</x:v>
      </x:c>
      <x:c r="L142" s="9" t="str">
        <x:v>Sem extremidades adicionais.</x:v>
      </x:c>
    </x:row>
    <x:row r="143" ht="38" customHeight="1">
      <x:c r="A143" s="2" t="str">
        <x:v>Pa.2-P0-COB</x:v>
      </x:c>
      <x:c r="B143" s="2" t="str">
        <x:v>Cintas</x:v>
      </x:c>
      <x:c r="C143" s="11" t="n">
        <x:v>8</x:v>
      </x:c>
      <x:c r="D143" s="11" t="n">
        <x:v>1</x:v>
      </x:c>
      <x:c r="E143" s="11" t="n">
        <x:v>0.15</x:v>
      </x:c>
      <x:c r="F143" s="12" t="n">
        <x:f>IF(OR(NOT(ISNUMBER(D143)),D143&lt;=0),"Pendente",IF(E143="",D143,IF(E143&gt;0,D143/E143,"Pendente")))</x:f>
        <x:v>6.666666666666667</x:v>
      </x:c>
      <x:c r="G143" s="11"/>
      <x:c r="H143" s="12" t="n">
        <x:f>IF(COUNTIF('Como utilizar'!$D$7:$D$14,C143)=0,"Pendente",VLOOKUP(C143,'Como utilizar'!$D$7:$E$14,2,FALSE))</x:f>
        <x:v>0.395</x:v>
      </x:c>
      <x:c r="I143" s="12" t="str">
        <x:f>IF(J143="Pendente","Pendente",F143*G143*H143)</x:f>
        <x:v>Pendente</x:v>
      </x:c>
      <x:c r="J143" s="2" t="str">
        <x:f>IF(AND(ISNUMBER(F143),ISNUMBER(G143),G143&gt;0,ISNUMBER(H143),H143&gt;0),"Base calculada","Pendente")</x:f>
        <x:v>Pendente</x:v>
      </x:c>
      <x:c r="K143" s="2" t="str">
        <x:v>MUROS!A16:T16</x:v>
      </x:c>
      <x:c r="L143" s="9" t="str">
        <x:v>Confirmar corte e geometria.</x:v>
      </x:c>
    </x:row>
    <x:row r="144" ht="38" customHeight="1">
      <x:c r="A144" s="2" t="str">
        <x:v>Pa.2-P-1-P0</x:v>
      </x:c>
      <x:c r="B144" s="2" t="str">
        <x:v>Vertical — 2 faces</x:v>
      </x:c>
      <x:c r="C144" s="11" t="n">
        <x:v>16</x:v>
      </x:c>
      <x:c r="D144" s="11" t="n">
        <x:f>2*(ROUNDUP((Tipos!H47-2*Tipos!I47)/0.1,0)+1)</x:f>
        <x:v>42</x:v>
      </x:c>
      <x:c r="E144" s="11"/>
      <x:c r="F144" s="12" t="n">
        <x:f>IF(OR(NOT(ISNUMBER(D144)),D144&lt;=0),"Pendente",IF(E144="",D144,IF(E144&gt;0,D144/E144,"Pendente")))</x:f>
        <x:v>42</x:v>
      </x:c>
      <x:c r="G144" s="11" t="n">
        <x:v>1</x:v>
      </x:c>
      <x:c r="H144" s="12" t="n">
        <x:f>IF(COUNTIF('Como utilizar'!$D$7:$D$14,C144)=0,"Pendente",VLOOKUP(C144,'Como utilizar'!$D$7:$E$14,2,FALSE))</x:f>
        <x:v>1.578</x:v>
      </x:c>
      <x:c r="I144" s="12" t="n">
        <x:f>IF(J144="Pendente","Pendente",F144*G144*H144)</x:f>
        <x:v>66.276</x:v>
      </x:c>
      <x:c r="J144" s="2" t="str">
        <x:f>IF(AND(ISNUMBER(F144),ISNUMBER(G144),G144&gt;0,ISNUMBER(H144),H144&gt;0),"Base calculada","Pendente")</x:f>
        <x:v>Base calculada</x:v>
      </x:c>
      <x:c r="K144" s="2" t="str">
        <x:v>MUROS!A17:T17</x:v>
      </x:c>
      <x:c r="L144" s="9" t="str">
        <x:v>Sem arranques/emendas.</x:v>
      </x:c>
    </x:row>
    <x:row r="145" ht="38" customHeight="1">
      <x:c r="A145" s="2" t="str">
        <x:v>Pa.2-P-1-P0</x:v>
      </x:c>
      <x:c r="B145" s="2" t="str">
        <x:v>Horizontal — 2 faces</x:v>
      </x:c>
      <x:c r="C145" s="11" t="n">
        <x:v>10</x:v>
      </x:c>
      <x:c r="D145" s="11" t="n">
        <x:v>2</x:v>
      </x:c>
      <x:c r="E145" s="11" t="n">
        <x:v>0.2</x:v>
      </x:c>
      <x:c r="F145" s="12" t="n">
        <x:f>IF(OR(NOT(ISNUMBER(D145)),D145&lt;=0),"Pendente",IF(E145="",D145,IF(E145&gt;0,D145/E145,"Pendente")))</x:f>
        <x:v>10</x:v>
      </x:c>
      <x:c r="G145" s="11" t="n">
        <x:f>Tipos!H47-2*Tipos!I47</x:f>
        <x:v>1.92</x:v>
      </x:c>
      <x:c r="H145" s="12" t="n">
        <x:f>IF(COUNTIF('Como utilizar'!$D$7:$D$14,C145)=0,"Pendente",VLOOKUP(C145,'Como utilizar'!$D$7:$E$14,2,FALSE))</x:f>
        <x:v>0.617</x:v>
      </x:c>
      <x:c r="I145" s="12" t="n">
        <x:f>IF(J145="Pendente","Pendente",F145*G145*H145)</x:f>
        <x:v>11.8464</x:v>
      </x:c>
      <x:c r="J145" s="2" t="str">
        <x:f>IF(AND(ISNUMBER(F145),ISNUMBER(G145),G145&gt;0,ISNUMBER(H145),H145&gt;0),"Base calculada","Pendente")</x:f>
        <x:v>Base calculada</x:v>
      </x:c>
      <x:c r="K145" s="2" t="str">
        <x:v>MUROS!A17:T17</x:v>
      </x:c>
      <x:c r="L145" s="9" t="str">
        <x:v>Sem extremidades adicionais.</x:v>
      </x:c>
    </x:row>
    <x:row r="146" ht="38" customHeight="1">
      <x:c r="A146" s="2" t="str">
        <x:v>Pa.2-P-1-P0</x:v>
      </x:c>
      <x:c r="B146" s="2" t="str">
        <x:v>Cintas</x:v>
      </x:c>
      <x:c r="C146" s="11" t="n">
        <x:v>8</x:v>
      </x:c>
      <x:c r="D146" s="11" t="n">
        <x:v>1</x:v>
      </x:c>
      <x:c r="E146" s="11" t="n">
        <x:v>0.15</x:v>
      </x:c>
      <x:c r="F146" s="12" t="n">
        <x:f>IF(OR(NOT(ISNUMBER(D146)),D146&lt;=0),"Pendente",IF(E146="",D146,IF(E146&gt;0,D146/E146,"Pendente")))</x:f>
        <x:v>6.666666666666667</x:v>
      </x:c>
      <x:c r="G146" s="11"/>
      <x:c r="H146" s="12" t="n">
        <x:f>IF(COUNTIF('Como utilizar'!$D$7:$D$14,C146)=0,"Pendente",VLOOKUP(C146,'Como utilizar'!$D$7:$E$14,2,FALSE))</x:f>
        <x:v>0.395</x:v>
      </x:c>
      <x:c r="I146" s="12" t="str">
        <x:f>IF(J146="Pendente","Pendente",F146*G146*H146)</x:f>
        <x:v>Pendente</x:v>
      </x:c>
      <x:c r="J146" s="2" t="str">
        <x:f>IF(AND(ISNUMBER(F146),ISNUMBER(G146),G146&gt;0,ISNUMBER(H146),H146&gt;0),"Base calculada","Pendente")</x:f>
        <x:v>Pendente</x:v>
      </x:c>
      <x:c r="K146" s="2" t="str">
        <x:v>MUROS!A17:T17</x:v>
      </x:c>
      <x:c r="L146" s="9" t="str">
        <x:v>Confirmar corte e geometria.</x:v>
      </x:c>
    </x:row>
    <x:row r="147" ht="38" customHeight="1">
      <x:c r="A147" s="2" t="str">
        <x:v>V1</x:v>
      </x:c>
      <x:c r="B147" s="2" t="str">
        <x:v>Longitudinal 1</x:v>
      </x:c>
      <x:c r="C147" s="11" t="n">
        <x:v>16</x:v>
      </x:c>
      <x:c r="D147" s="11" t="n">
        <x:v>3</x:v>
      </x:c>
      <x:c r="E147" s="11"/>
      <x:c r="F147" s="12" t="n">
        <x:f>IF(OR(NOT(ISNUMBER(D147)),D147&lt;=0),"Pendente",IF(E147="",D147,IF(E147&gt;0,D147/E147,"Pendente")))</x:f>
        <x:v>3</x:v>
      </x:c>
      <x:c r="G147" s="11" t="n">
        <x:v>1</x:v>
      </x:c>
      <x:c r="H147" s="12" t="n">
        <x:f>IF(COUNTIF('Como utilizar'!$D$7:$D$14,C147)=0,"Pendente",VLOOKUP(C147,'Como utilizar'!$D$7:$E$14,2,FALSE))</x:f>
        <x:v>1.578</x:v>
      </x:c>
      <x:c r="I147" s="12" t="n">
        <x:f>IF(J147="Pendente","Pendente",F147*G147*H147)</x:f>
        <x:v>4.734</x:v>
      </x:c>
      <x:c r="J147" s="2" t="str">
        <x:f>IF(AND(ISNUMBER(F147),ISNUMBER(G147),G147&gt;0,ISNUMBER(H147),H147&gt;0),"Base calculada","Pendente")</x:f>
        <x:v>Base calculada</x:v>
      </x:c>
      <x:c r="K147" s="2" t="str">
        <x:v>VIGAS!A6:AB6</x:v>
      </x:c>
      <x:c r="L147" s="9" t="str">
        <x:v>Sem arranques ou emendas.</x:v>
      </x:c>
    </x:row>
    <x:row r="148" ht="38" customHeight="1">
      <x:c r="A148" s="2" t="str">
        <x:v>V1</x:v>
      </x:c>
      <x:c r="B148" s="2" t="str">
        <x:v>Longitudinal 2</x:v>
      </x:c>
      <x:c r="C148" s="11" t="n">
        <x:v>12</x:v>
      </x:c>
      <x:c r="D148" s="11" t="n">
        <x:v>2</x:v>
      </x:c>
      <x:c r="E148" s="11"/>
      <x:c r="F148" s="12" t="n">
        <x:f>IF(OR(NOT(ISNUMBER(D148)),D148&lt;=0),"Pendente",IF(E148="",D148,IF(E148&gt;0,D148/E148,"Pendente")))</x:f>
        <x:v>2</x:v>
      </x:c>
      <x:c r="G148" s="11" t="n">
        <x:v>1</x:v>
      </x:c>
      <x:c r="H148" s="12" t="n">
        <x:f>IF(COUNTIF('Como utilizar'!$D$7:$D$14,C148)=0,"Pendente",VLOOKUP(C148,'Como utilizar'!$D$7:$E$14,2,FALSE))</x:f>
        <x:v>0.888</x:v>
      </x:c>
      <x:c r="I148" s="12" t="n">
        <x:f>IF(J148="Pendente","Pendente",F148*G148*H148)</x:f>
        <x:v>1.776</x:v>
      </x:c>
      <x:c r="J148" s="2" t="str">
        <x:f>IF(AND(ISNUMBER(F148),ISNUMBER(G148),G148&gt;0,ISNUMBER(H148),H148&gt;0),"Base calculada","Pendente")</x:f>
        <x:v>Base calculada</x:v>
      </x:c>
      <x:c r="K148" s="2" t="str">
        <x:v>VIGAS!A6:AB6</x:v>
      </x:c>
      <x:c r="L148" s="9" t="str">
        <x:v>Sem arranques ou emendas.</x:v>
      </x:c>
    </x:row>
    <x:row r="149" ht="38" customHeight="1">
      <x:c r="A149" s="2" t="str">
        <x:v>V1</x:v>
      </x:c>
      <x:c r="B149" s="2" t="str">
        <x:v>Estribos</x:v>
      </x:c>
      <x:c r="C149" s="11" t="n">
        <x:v>8</x:v>
      </x:c>
      <x:c r="D149" s="11" t="n">
        <x:v>1</x:v>
      </x:c>
      <x:c r="E149" s="11" t="n">
        <x:v>0.15</x:v>
      </x:c>
      <x:c r="F149" s="12" t="n">
        <x:f>IF(OR(NOT(ISNUMBER(D149)),D149&lt;=0),"Pendente",IF(E149="",D149,IF(E149&gt;0,D149/E149,"Pendente")))</x:f>
        <x:v>6.666666666666667</x:v>
      </x:c>
      <x:c r="G149" s="11"/>
      <x:c r="H149" s="12" t="n">
        <x:f>IF(COUNTIF('Como utilizar'!$D$7:$D$14,C149)=0,"Pendente",VLOOKUP(C149,'Como utilizar'!$D$7:$E$14,2,FALSE))</x:f>
        <x:v>0.395</x:v>
      </x:c>
      <x:c r="I149" s="12" t="str">
        <x:f>IF(J149="Pendente","Pendente",F149*G149*H149)</x:f>
        <x:v>Pendente</x:v>
      </x:c>
      <x:c r="J149" s="2" t="str">
        <x:f>IF(AND(ISNUMBER(F149),ISNUMBER(G149),G149&gt;0,ISNUMBER(H149),H149&gt;0),"Base calculada","Pendente")</x:f>
        <x:v>Pendente</x:v>
      </x:c>
      <x:c r="K149" s="2" t="str">
        <x:v>VIGAS!A6:AB6</x:v>
      </x:c>
      <x:c r="L149" s="9" t="str">
        <x:v>Preencher corte e acrescentar extremidades/zonas densificadas.</x:v>
      </x:c>
    </x:row>
    <x:row r="150" ht="38" customHeight="1">
      <x:c r="A150" s="2" t="str">
        <x:v>V2</x:v>
      </x:c>
      <x:c r="B150" s="2" t="str">
        <x:v>Longitudinal 1</x:v>
      </x:c>
      <x:c r="C150" s="11" t="n">
        <x:v>20</x:v>
      </x:c>
      <x:c r="D150" s="11" t="n">
        <x:v>4</x:v>
      </x:c>
      <x:c r="E150" s="11"/>
      <x:c r="F150" s="12" t="n">
        <x:f>IF(OR(NOT(ISNUMBER(D150)),D150&lt;=0),"Pendente",IF(E150="",D150,IF(E150&gt;0,D150/E150,"Pendente")))</x:f>
        <x:v>4</x:v>
      </x:c>
      <x:c r="G150" s="11" t="n">
        <x:v>1</x:v>
      </x:c>
      <x:c r="H150" s="12" t="n">
        <x:f>IF(COUNTIF('Como utilizar'!$D$7:$D$14,C150)=0,"Pendente",VLOOKUP(C150,'Como utilizar'!$D$7:$E$14,2,FALSE))</x:f>
        <x:v>2.466</x:v>
      </x:c>
      <x:c r="I150" s="12" t="n">
        <x:f>IF(J150="Pendente","Pendente",F150*G150*H150)</x:f>
        <x:v>9.864</x:v>
      </x:c>
      <x:c r="J150" s="2" t="str">
        <x:f>IF(AND(ISNUMBER(F150),ISNUMBER(G150),G150&gt;0,ISNUMBER(H150),H150&gt;0),"Base calculada","Pendente")</x:f>
        <x:v>Base calculada</x:v>
      </x:c>
      <x:c r="K150" s="2" t="str">
        <x:v>VIGAS!A7:AB7</x:v>
      </x:c>
      <x:c r="L150" s="9" t="str">
        <x:v>Sem arranques ou emendas.</x:v>
      </x:c>
    </x:row>
    <x:row r="151" ht="38" customHeight="1">
      <x:c r="A151" s="2" t="str">
        <x:v>V2</x:v>
      </x:c>
      <x:c r="B151" s="2" t="str">
        <x:v>Longitudinal 2</x:v>
      </x:c>
      <x:c r="C151" s="11" t="n">
        <x:v>16</x:v>
      </x:c>
      <x:c r="D151" s="11" t="n">
        <x:v>2</x:v>
      </x:c>
      <x:c r="E151" s="11"/>
      <x:c r="F151" s="12" t="n">
        <x:f>IF(OR(NOT(ISNUMBER(D151)),D151&lt;=0),"Pendente",IF(E151="",D151,IF(E151&gt;0,D151/E151,"Pendente")))</x:f>
        <x:v>2</x:v>
      </x:c>
      <x:c r="G151" s="11" t="n">
        <x:v>1</x:v>
      </x:c>
      <x:c r="H151" s="12" t="n">
        <x:f>IF(COUNTIF('Como utilizar'!$D$7:$D$14,C151)=0,"Pendente",VLOOKUP(C151,'Como utilizar'!$D$7:$E$14,2,FALSE))</x:f>
        <x:v>1.578</x:v>
      </x:c>
      <x:c r="I151" s="12" t="n">
        <x:f>IF(J151="Pendente","Pendente",F151*G151*H151)</x:f>
        <x:v>3.156</x:v>
      </x:c>
      <x:c r="J151" s="2" t="str">
        <x:f>IF(AND(ISNUMBER(F151),ISNUMBER(G151),G151&gt;0,ISNUMBER(H151),H151&gt;0),"Base calculada","Pendente")</x:f>
        <x:v>Base calculada</x:v>
      </x:c>
      <x:c r="K151" s="2" t="str">
        <x:v>VIGAS!A7:AB7</x:v>
      </x:c>
      <x:c r="L151" s="9" t="str">
        <x:v>Sem arranques ou emendas.</x:v>
      </x:c>
    </x:row>
    <x:row r="152" ht="38" customHeight="1">
      <x:c r="A152" s="2" t="str">
        <x:v>V2</x:v>
      </x:c>
      <x:c r="B152" s="2" t="str">
        <x:v>Estribos</x:v>
      </x:c>
      <x:c r="C152" s="11" t="n">
        <x:v>8</x:v>
      </x:c>
      <x:c r="D152" s="11" t="n">
        <x:v>1</x:v>
      </x:c>
      <x:c r="E152" s="11" t="n">
        <x:v>0.15</x:v>
      </x:c>
      <x:c r="F152" s="12" t="n">
        <x:f>IF(OR(NOT(ISNUMBER(D152)),D152&lt;=0),"Pendente",IF(E152="",D152,IF(E152&gt;0,D152/E152,"Pendente")))</x:f>
        <x:v>6.666666666666667</x:v>
      </x:c>
      <x:c r="G152" s="11"/>
      <x:c r="H152" s="12" t="n">
        <x:f>IF(COUNTIF('Como utilizar'!$D$7:$D$14,C152)=0,"Pendente",VLOOKUP(C152,'Como utilizar'!$D$7:$E$14,2,FALSE))</x:f>
        <x:v>0.395</x:v>
      </x:c>
      <x:c r="I152" s="12" t="str">
        <x:f>IF(J152="Pendente","Pendente",F152*G152*H152)</x:f>
        <x:v>Pendente</x:v>
      </x:c>
      <x:c r="J152" s="2" t="str">
        <x:f>IF(AND(ISNUMBER(F152),ISNUMBER(G152),G152&gt;0,ISNUMBER(H152),H152&gt;0),"Base calculada","Pendente")</x:f>
        <x:v>Pendente</x:v>
      </x:c>
      <x:c r="K152" s="2" t="str">
        <x:v>VIGAS!A7:AB7</x:v>
      </x:c>
      <x:c r="L152" s="9" t="str">
        <x:v>Preencher corte e acrescentar extremidades/zonas densificadas.</x:v>
      </x:c>
    </x:row>
    <x:row r="153" ht="38" customHeight="1">
      <x:c r="A153" s="2" t="str">
        <x:v>L1</x:v>
      </x:c>
      <x:c r="B153" s="2" t="str">
        <x:v>Inferior X</x:v>
      </x:c>
      <x:c r="C153" s="11" t="n">
        <x:v>10</x:v>
      </x:c>
      <x:c r="D153" s="11" t="n">
        <x:v>1</x:v>
      </x:c>
      <x:c r="E153" s="11" t="n">
        <x:v>0.2</x:v>
      </x:c>
      <x:c r="F153" s="12" t="n">
        <x:f>IF(OR(NOT(ISNUMBER(D153)),D153&lt;=0),"Pendente",IF(E153="",D153,IF(E153&gt;0,D153/E153,"Pendente")))</x:f>
        <x:v>5</x:v>
      </x:c>
      <x:c r="G153" s="11" t="n">
        <x:v>1</x:v>
      </x:c>
      <x:c r="H153" s="12" t="n">
        <x:f>IF(COUNTIF('Como utilizar'!$D$7:$D$14,C153)=0,"Pendente",VLOOKUP(C153,'Como utilizar'!$D$7:$E$14,2,FALSE))</x:f>
        <x:v>0.617</x:v>
      </x:c>
      <x:c r="I153" s="12" t="n">
        <x:f>IF(J153="Pendente","Pendente",F153*G153*H153)</x:f>
        <x:v>3.085</x:v>
      </x:c>
      <x:c r="J153" s="2" t="str">
        <x:f>IF(AND(ISNUMBER(F153),ISNUMBER(G153),G153&gt;0,ISNUMBER(H153),H153&gt;0),"Base calculada","Pendente")</x:f>
        <x:v>Base calculada</x:v>
      </x:c>
      <x:c r="K153" s="2" t="str">
        <x:v>LAJES!A6:AQ6</x:v>
      </x:c>
      <x:c r="L153" s="9" t="str">
        <x:v>Somente malha repetitiva; emendas/ganchos à parte.</x:v>
      </x:c>
    </x:row>
    <x:row r="154" ht="38" customHeight="1">
      <x:c r="A154" s="2" t="str">
        <x:v>L1</x:v>
      </x:c>
      <x:c r="B154" s="2" t="str">
        <x:v>Inferior Y</x:v>
      </x:c>
      <x:c r="C154" s="11" t="n">
        <x:v>10</x:v>
      </x:c>
      <x:c r="D154" s="11" t="n">
        <x:v>1</x:v>
      </x:c>
      <x:c r="E154" s="11" t="n">
        <x:v>0.2</x:v>
      </x:c>
      <x:c r="F154" s="12" t="n">
        <x:f>IF(OR(NOT(ISNUMBER(D154)),D154&lt;=0),"Pendente",IF(E154="",D154,IF(E154&gt;0,D154/E154,"Pendente")))</x:f>
        <x:v>5</x:v>
      </x:c>
      <x:c r="G154" s="11" t="n">
        <x:v>1</x:v>
      </x:c>
      <x:c r="H154" s="12" t="n">
        <x:f>IF(COUNTIF('Como utilizar'!$D$7:$D$14,C154)=0,"Pendente",VLOOKUP(C154,'Como utilizar'!$D$7:$E$14,2,FALSE))</x:f>
        <x:v>0.617</x:v>
      </x:c>
      <x:c r="I154" s="12" t="n">
        <x:f>IF(J154="Pendente","Pendente",F154*G154*H154)</x:f>
        <x:v>3.085</x:v>
      </x:c>
      <x:c r="J154" s="2" t="str">
        <x:f>IF(AND(ISNUMBER(F154),ISNUMBER(G154),G154&gt;0,ISNUMBER(H154),H154&gt;0),"Base calculada","Pendente")</x:f>
        <x:v>Base calculada</x:v>
      </x:c>
      <x:c r="K154" s="2" t="str">
        <x:v>LAJES!A6:AQ6</x:v>
      </x:c>
      <x:c r="L154" s="9" t="str">
        <x:v>Somente malha repetitiva; reforços superiores e temperatura em Acertos aço.</x:v>
      </x:c>
    </x:row>
    <x:row r="155" ht="38" customHeight="1">
      <x:c r="A155" s="2" t="str">
        <x:v>L2</x:v>
      </x:c>
      <x:c r="B155" s="2" t="str">
        <x:v>Inferior X</x:v>
      </x:c>
      <x:c r="C155" s="11" t="n">
        <x:v>12</x:v>
      </x:c>
      <x:c r="D155" s="11" t="n">
        <x:v>1</x:v>
      </x:c>
      <x:c r="E155" s="11" t="n">
        <x:v>0.4</x:v>
      </x:c>
      <x:c r="F155" s="12" t="n">
        <x:f>IF(OR(NOT(ISNUMBER(D155)),D155&lt;=0),"Pendente",IF(E155="",D155,IF(E155&gt;0,D155/E155,"Pendente")))</x:f>
        <x:v>2.5</x:v>
      </x:c>
      <x:c r="G155" s="11" t="n">
        <x:v>1</x:v>
      </x:c>
      <x:c r="H155" s="12" t="n">
        <x:f>IF(COUNTIF('Como utilizar'!$D$7:$D$14,C155)=0,"Pendente",VLOOKUP(C155,'Como utilizar'!$D$7:$E$14,2,FALSE))</x:f>
        <x:v>0.888</x:v>
      </x:c>
      <x:c r="I155" s="12" t="n">
        <x:f>IF(J155="Pendente","Pendente",F155*G155*H155)</x:f>
        <x:v>2.22</x:v>
      </x:c>
      <x:c r="J155" s="2" t="str">
        <x:f>IF(AND(ISNUMBER(F155),ISNUMBER(G155),G155&gt;0,ISNUMBER(H155),H155&gt;0),"Base calculada","Pendente")</x:f>
        <x:v>Base calculada</x:v>
      </x:c>
      <x:c r="K155" s="2" t="str">
        <x:v>LAJES!A7:AQ7</x:v>
      </x:c>
      <x:c r="L155" s="9" t="str">
        <x:v>Somente malha repetitiva; emendas/ganchos à parte.</x:v>
      </x:c>
    </x:row>
    <x:row r="156" ht="38" customHeight="1">
      <x:c r="A156" s="2" t="str">
        <x:v>L2</x:v>
      </x:c>
      <x:c r="B156" s="2" t="str">
        <x:v>Inferior Y</x:v>
      </x:c>
      <x:c r="C156" s="11" t="n">
        <x:v>12</x:v>
      </x:c>
      <x:c r="D156" s="11" t="n">
        <x:v>1</x:v>
      </x:c>
      <x:c r="E156" s="11" t="n">
        <x:v>0.4</x:v>
      </x:c>
      <x:c r="F156" s="12" t="n">
        <x:f>IF(OR(NOT(ISNUMBER(D156)),D156&lt;=0),"Pendente",IF(E156="",D156,IF(E156&gt;0,D156/E156,"Pendente")))</x:f>
        <x:v>2.5</x:v>
      </x:c>
      <x:c r="G156" s="11" t="n">
        <x:v>1</x:v>
      </x:c>
      <x:c r="H156" s="12" t="n">
        <x:f>IF(COUNTIF('Como utilizar'!$D$7:$D$14,C156)=0,"Pendente",VLOOKUP(C156,'Como utilizar'!$D$7:$E$14,2,FALSE))</x:f>
        <x:v>0.888</x:v>
      </x:c>
      <x:c r="I156" s="12" t="n">
        <x:f>IF(J156="Pendente","Pendente",F156*G156*H156)</x:f>
        <x:v>2.22</x:v>
      </x:c>
      <x:c r="J156" s="2" t="str">
        <x:f>IF(AND(ISNUMBER(F156),ISNUMBER(G156),G156&gt;0,ISNUMBER(H156),H156&gt;0),"Base calculada","Pendente")</x:f>
        <x:v>Base calculada</x:v>
      </x:c>
      <x:c r="K156" s="2" t="str">
        <x:v>LAJES!A7:AQ7</x:v>
      </x:c>
      <x:c r="L156" s="9" t="str">
        <x:v>Somente malha repetitiva; reforços superiores e temperatura em Acertos aço.</x:v>
      </x:c>
    </x:row>
    <x:row r="157" ht="38" customHeight="1">
      <x:c r="A157" s="2" t="str">
        <x:v>L3</x:v>
      </x:c>
      <x:c r="B157" s="2" t="str">
        <x:v>Inferior X</x:v>
      </x:c>
      <x:c r="C157" s="11" t="n">
        <x:v>8</x:v>
      </x:c>
      <x:c r="D157" s="11" t="n">
        <x:v>1</x:v>
      </x:c>
      <x:c r="E157" s="11" t="n">
        <x:v>0.2</x:v>
      </x:c>
      <x:c r="F157" s="12" t="n">
        <x:f>IF(OR(NOT(ISNUMBER(D157)),D157&lt;=0),"Pendente",IF(E157="",D157,IF(E157&gt;0,D157/E157,"Pendente")))</x:f>
        <x:v>5</x:v>
      </x:c>
      <x:c r="G157" s="11" t="n">
        <x:v>1</x:v>
      </x:c>
      <x:c r="H157" s="12" t="n">
        <x:f>IF(COUNTIF('Como utilizar'!$D$7:$D$14,C157)=0,"Pendente",VLOOKUP(C157,'Como utilizar'!$D$7:$E$14,2,FALSE))</x:f>
        <x:v>0.395</x:v>
      </x:c>
      <x:c r="I157" s="12" t="n">
        <x:f>IF(J157="Pendente","Pendente",F157*G157*H157)</x:f>
        <x:v>1.975</x:v>
      </x:c>
      <x:c r="J157" s="2" t="str">
        <x:f>IF(AND(ISNUMBER(F157),ISNUMBER(G157),G157&gt;0,ISNUMBER(H157),H157&gt;0),"Base calculada","Pendente")</x:f>
        <x:v>Base calculada</x:v>
      </x:c>
      <x:c r="K157" s="2" t="str">
        <x:v>LAJES!A8:AQ8</x:v>
      </x:c>
      <x:c r="L157" s="9" t="str">
        <x:v>Somente malha repetitiva; emendas/ganchos à parte.</x:v>
      </x:c>
    </x:row>
    <x:row r="158" ht="38" customHeight="1">
      <x:c r="A158" s="2" t="str">
        <x:v>L3</x:v>
      </x:c>
      <x:c r="B158" s="2" t="str">
        <x:v>Inferior Y</x:v>
      </x:c>
      <x:c r="C158" s="11" t="n">
        <x:v>8</x:v>
      </x:c>
      <x:c r="D158" s="11" t="n">
        <x:v>1</x:v>
      </x:c>
      <x:c r="E158" s="11" t="n">
        <x:v>0.2</x:v>
      </x:c>
      <x:c r="F158" s="12" t="n">
        <x:f>IF(OR(NOT(ISNUMBER(D158)),D158&lt;=0),"Pendente",IF(E158="",D158,IF(E158&gt;0,D158/E158,"Pendente")))</x:f>
        <x:v>5</x:v>
      </x:c>
      <x:c r="G158" s="11" t="n">
        <x:v>1</x:v>
      </x:c>
      <x:c r="H158" s="12" t="n">
        <x:f>IF(COUNTIF('Como utilizar'!$D$7:$D$14,C158)=0,"Pendente",VLOOKUP(C158,'Como utilizar'!$D$7:$E$14,2,FALSE))</x:f>
        <x:v>0.395</x:v>
      </x:c>
      <x:c r="I158" s="12" t="n">
        <x:f>IF(J158="Pendente","Pendente",F158*G158*H158)</x:f>
        <x:v>1.975</x:v>
      </x:c>
      <x:c r="J158" s="2" t="str">
        <x:f>IF(AND(ISNUMBER(F158),ISNUMBER(G158),G158&gt;0,ISNUMBER(H158),H158&gt;0),"Base calculada","Pendente")</x:f>
        <x:v>Base calculada</x:v>
      </x:c>
      <x:c r="K158" s="2" t="str">
        <x:v>LAJES!A8:AQ8</x:v>
      </x:c>
      <x:c r="L158" s="9" t="str">
        <x:v>Somente malha repetitiva; reforços superiores e temperatura em Acertos aço.</x:v>
      </x:c>
    </x:row>
    <x:row r="159" ht="25" customHeight="1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</x:row>
    <x:row r="160" ht="25" customHeight="1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</x:row>
    <x:row r="161" ht="25" customHeight="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</x:row>
    <x:row r="162" ht="25" customHeight="1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</x:row>
    <x:row r="163" ht="25" customHeight="1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</x:row>
    <x:row r="164" ht="25" customHeight="1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</x:row>
  </x:sheetData>
  <x:conditionalFormatting sqref="A1:L164">
    <x:cfRule type="containsText" dxfId="1" priority="1" operator="containsText" text="Pendente"/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3" hidden="0" customWidth="1"/>
    <x:col min="2" max="2" width="32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35" hidden="0" customWidth="1"/>
    <x:col min="10" max="10" width="35" hidden="0" customWidth="1"/>
    <x:col min="11" max="11" width="26" hidden="0" customWidth="1"/>
    <x:col min="12" max="12" width="22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1"/>
      <x:c r="L1" s="1"/>
    </x:row>
    <x:row r="2" ht="25" customHeight="1">
      <x:c r="A2" s="3" t="str">
        <x:v>Acertos de aço do mês — memória de cálculo</x:v>
      </x:c>
      <x:c r="B2" s="2"/>
      <x:c r="C2" s="2"/>
      <x:c r="D2" s="2"/>
      <x:c r="E2" s="2"/>
      <x:c r="F2" s="2"/>
      <x:c r="G2" s="2"/>
      <x:c r="H2" s="2"/>
      <x:c r="I2" s="2"/>
      <x:c r="J2" s="2"/>
      <x:c r="K2" s="1"/>
      <x:c r="L2" s="1"/>
    </x:row>
    <x:row r="3" ht="25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1"/>
      <x:c r="L3" s="1"/>
    </x:row>
    <x:row r="4" ht="25" customHeight="1">
      <x:c r="A4" s="2" t="str">
        <x:v>Emendas/segmentos: selecionar o critério em K. Compor curvas/embebimentos à parte. Cintas: indicar diferença face à base já medida.</x:v>
      </x:c>
      <x:c r="B4" s="2"/>
      <x:c r="C4" s="2"/>
      <x:c r="D4" s="2"/>
      <x:c r="E4" s="2"/>
      <x:c r="F4" s="2"/>
      <x:c r="G4" s="2"/>
      <x:c r="H4" s="2"/>
      <x:c r="I4" s="2"/>
      <x:c r="J4" s="2"/>
      <x:c r="K4" s="1"/>
      <x:c r="L4" s="1"/>
    </x:row>
    <x:row r="5" ht="25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1"/>
      <x:c r="L5" s="1"/>
    </x:row>
    <x:row r="6" ht="45" customHeight="1">
      <x:c r="A6" s="19" t="str">
        <x:v>Tipo</x:v>
      </x:c>
      <x:c r="B6" s="19" t="str">
        <x:v>Parcela / localização</x:v>
      </x:c>
      <x:c r="C6" s="19" t="str">
        <x:v>N.º varões (+/−)</x:v>
      </x:c>
      <x:c r="D6" s="19" t="str">
        <x:v>Ø mm</x:v>
      </x:c>
      <x:c r="E6" s="19" t="str">
        <x:v>Comp. adicional m</x:v>
      </x:c>
      <x:c r="F6" s="19" t="str">
        <x:v>Peso linear kg/m</x:v>
      </x:c>
      <x:c r="G6" s="19" t="str">
        <x:v>Acerto kg</x:v>
      </x:c>
      <x:c r="H6" s="19" t="str">
        <x:v>Estado</x:v>
      </x:c>
      <x:c r="I6" s="19" t="str">
        <x:v>Desenho / registo</x:v>
      </x:c>
      <x:c r="J6" s="19" t="str">
        <x:v>Justificação</x:v>
      </x:c>
      <x:c r="K6" s="24" t="str">
        <x:v>Critério do comprimento</x:v>
      </x:c>
      <x:c r="L6" s="24" t="str">
        <x:v>Comprimento livre m</x:v>
      </x:c>
    </x:row>
    <x:row r="7" ht="25" customHeight="1">
      <x:c r="A7" s="10"/>
      <x:c r="B7" s="10"/>
      <x:c r="C7" s="11"/>
      <x:c r="D7" s="11"/>
      <x:c r="E7" s="26" t="str">
        <x:f>IF(K7="","",IF(K7="Livre",IF(AND(ISNUMBER(L7),L7&gt;0),L7,"Pendente"),IF(K7="Emenda 50Ø",IF(AND(ISNUMBER(D7),D7&gt;0),'Pormenores PDF'!$B$13*D7/1000,"Pendente"),IF(K7="Segmento 0,30 m",'Pormenores PDF'!$B$14,IF(K7="Segmento 0,50 m",'Pormenores PDF'!$B$16,"Pendente")))))</x:f>
      </x:c>
      <x:c r="F7" s="12" t="str">
        <x:f>IF(D7="","",IF(COUNTIF('Como utilizar'!$D$7:$D$14,D7)=0,"Pendente",VLOOKUP(D7,'Como utilizar'!$D$7:$E$14,2,FALSE)))</x:f>
      </x:c>
      <x:c r="G7" s="12" t="str">
        <x:f>IF(H7="","",IF(H7="OK",C7*E7*F7,"Pendente"))</x:f>
      </x:c>
      <x:c r="H7" s="2" t="str">
        <x:f>IF(COUNTA(A7:D7,I7:L7)=0,"",IF(AND(COUNTIF(Tipos!$A$7:$A$52,A7)=1,B7&lt;&gt;"",ISNUMBER(C7),C7&lt;&gt;0,C7=INT(C7),ISNUMBER(F7),ISNUMBER(E7),E7&gt;0,I7&lt;&gt;"",J7&lt;&gt;""),"OK","Pendente"))</x:f>
      </x:c>
      <x:c r="I7" s="10"/>
      <x:c r="J7" s="10"/>
      <x:c r="K7" s="25"/>
      <x:c r="L7" s="27"/>
    </x:row>
    <x:row r="8" ht="25" customHeight="1">
      <x:c r="A8" s="10"/>
      <x:c r="B8" s="10"/>
      <x:c r="C8" s="11"/>
      <x:c r="D8" s="11"/>
      <x:c r="E8" s="26" t="str">
        <x:f>IF(K8="","",IF(K8="Livre",IF(AND(ISNUMBER(L8),L8&gt;0),L8,"Pendente"),IF(K8="Emenda 50Ø",IF(AND(ISNUMBER(D8),D8&gt;0),'Pormenores PDF'!$B$13*D8/1000,"Pendente"),IF(K8="Segmento 0,30 m",'Pormenores PDF'!$B$14,IF(K8="Segmento 0,50 m",'Pormenores PDF'!$B$16,"Pendente")))))</x:f>
      </x:c>
      <x:c r="F8" s="12" t="str">
        <x:f>IF(D8="","",IF(COUNTIF('Como utilizar'!$D$7:$D$14,D8)=0,"Pendente",VLOOKUP(D8,'Como utilizar'!$D$7:$E$14,2,FALSE)))</x:f>
      </x:c>
      <x:c r="G8" s="12" t="str">
        <x:f>IF(H8="","",IF(H8="OK",C8*E8*F8,"Pendente"))</x:f>
      </x:c>
      <x:c r="H8" s="2" t="str">
        <x:f>IF(COUNTA(A8:D8,I8:L8)=0,"",IF(AND(COUNTIF(Tipos!$A$7:$A$52,A8)=1,B8&lt;&gt;"",ISNUMBER(C8),C8&lt;&gt;0,C8=INT(C8),ISNUMBER(F8),ISNUMBER(E8),E8&gt;0,I8&lt;&gt;"",J8&lt;&gt;""),"OK","Pendente"))</x:f>
      </x:c>
      <x:c r="I8" s="10"/>
      <x:c r="J8" s="10"/>
      <x:c r="K8" s="25"/>
      <x:c r="L8" s="27"/>
    </x:row>
    <x:row r="9" ht="25" customHeight="1">
      <x:c r="A9" s="10"/>
      <x:c r="B9" s="10"/>
      <x:c r="C9" s="11"/>
      <x:c r="D9" s="11"/>
      <x:c r="E9" s="26" t="str">
        <x:f>IF(K9="","",IF(K9="Livre",IF(AND(ISNUMBER(L9),L9&gt;0),L9,"Pendente"),IF(K9="Emenda 50Ø",IF(AND(ISNUMBER(D9),D9&gt;0),'Pormenores PDF'!$B$13*D9/1000,"Pendente"),IF(K9="Segmento 0,30 m",'Pormenores PDF'!$B$14,IF(K9="Segmento 0,50 m",'Pormenores PDF'!$B$16,"Pendente")))))</x:f>
      </x:c>
      <x:c r="F9" s="12" t="str">
        <x:f>IF(D9="","",IF(COUNTIF('Como utilizar'!$D$7:$D$14,D9)=0,"Pendente",VLOOKUP(D9,'Como utilizar'!$D$7:$E$14,2,FALSE)))</x:f>
      </x:c>
      <x:c r="G9" s="12" t="str">
        <x:f>IF(H9="","",IF(H9="OK",C9*E9*F9,"Pendente"))</x:f>
      </x:c>
      <x:c r="H9" s="2" t="str">
        <x:f>IF(COUNTA(A9:D9,I9:L9)=0,"",IF(AND(COUNTIF(Tipos!$A$7:$A$52,A9)=1,B9&lt;&gt;"",ISNUMBER(C9),C9&lt;&gt;0,C9=INT(C9),ISNUMBER(F9),ISNUMBER(E9),E9&gt;0,I9&lt;&gt;"",J9&lt;&gt;""),"OK","Pendente"))</x:f>
      </x:c>
      <x:c r="I9" s="10"/>
      <x:c r="J9" s="10"/>
      <x:c r="K9" s="25"/>
      <x:c r="L9" s="27"/>
    </x:row>
    <x:row r="10" ht="25" customHeight="1">
      <x:c r="A10" s="10"/>
      <x:c r="B10" s="10"/>
      <x:c r="C10" s="11"/>
      <x:c r="D10" s="11"/>
      <x:c r="E10" s="26" t="str">
        <x:f>IF(K10="","",IF(K10="Livre",IF(AND(ISNUMBER(L10),L10&gt;0),L10,"Pendente"),IF(K10="Emenda 50Ø",IF(AND(ISNUMBER(D10),D10&gt;0),'Pormenores PDF'!$B$13*D10/1000,"Pendente"),IF(K10="Segmento 0,30 m",'Pormenores PDF'!$B$14,IF(K10="Segmento 0,50 m",'Pormenores PDF'!$B$16,"Pendente")))))</x:f>
      </x:c>
      <x:c r="F10" s="12" t="str">
        <x:f>IF(D10="","",IF(COUNTIF('Como utilizar'!$D$7:$D$14,D10)=0,"Pendente",VLOOKUP(D10,'Como utilizar'!$D$7:$E$14,2,FALSE)))</x:f>
      </x:c>
      <x:c r="G10" s="12" t="str">
        <x:f>IF(H10="","",IF(H10="OK",C10*E10*F10,"Pendente"))</x:f>
      </x:c>
      <x:c r="H10" s="2" t="str">
        <x:f>IF(COUNTA(A10:D10,I10:L10)=0,"",IF(AND(COUNTIF(Tipos!$A$7:$A$52,A10)=1,B10&lt;&gt;"",ISNUMBER(C10),C10&lt;&gt;0,C10=INT(C10),ISNUMBER(F10),ISNUMBER(E10),E10&gt;0,I10&lt;&gt;"",J10&lt;&gt;""),"OK","Pendente"))</x:f>
      </x:c>
      <x:c r="I10" s="10"/>
      <x:c r="J10" s="10"/>
      <x:c r="K10" s="25"/>
      <x:c r="L10" s="27"/>
    </x:row>
    <x:row r="11" ht="25" customHeight="1">
      <x:c r="A11" s="10"/>
      <x:c r="B11" s="10"/>
      <x:c r="C11" s="11"/>
      <x:c r="D11" s="11"/>
      <x:c r="E11" s="26" t="str">
        <x:f>IF(K11="","",IF(K11="Livre",IF(AND(ISNUMBER(L11),L11&gt;0),L11,"Pendente"),IF(K11="Emenda 50Ø",IF(AND(ISNUMBER(D11),D11&gt;0),'Pormenores PDF'!$B$13*D11/1000,"Pendente"),IF(K11="Segmento 0,30 m",'Pormenores PDF'!$B$14,IF(K11="Segmento 0,50 m",'Pormenores PDF'!$B$16,"Pendente")))))</x:f>
      </x:c>
      <x:c r="F11" s="12" t="str">
        <x:f>IF(D11="","",IF(COUNTIF('Como utilizar'!$D$7:$D$14,D11)=0,"Pendente",VLOOKUP(D11,'Como utilizar'!$D$7:$E$14,2,FALSE)))</x:f>
      </x:c>
      <x:c r="G11" s="12" t="str">
        <x:f>IF(H11="","",IF(H11="OK",C11*E11*F11,"Pendente"))</x:f>
      </x:c>
      <x:c r="H11" s="2" t="str">
        <x:f>IF(COUNTA(A11:D11,I11:L11)=0,"",IF(AND(COUNTIF(Tipos!$A$7:$A$52,A11)=1,B11&lt;&gt;"",ISNUMBER(C11),C11&lt;&gt;0,C11=INT(C11),ISNUMBER(F11),ISNUMBER(E11),E11&gt;0,I11&lt;&gt;"",J11&lt;&gt;""),"OK","Pendente"))</x:f>
      </x:c>
      <x:c r="I11" s="10"/>
      <x:c r="J11" s="10"/>
      <x:c r="K11" s="25"/>
      <x:c r="L11" s="27"/>
    </x:row>
    <x:row r="12" ht="25" customHeight="1">
      <x:c r="A12" s="10"/>
      <x:c r="B12" s="10"/>
      <x:c r="C12" s="11"/>
      <x:c r="D12" s="11"/>
      <x:c r="E12" s="26" t="str">
        <x:f>IF(K12="","",IF(K12="Livre",IF(AND(ISNUMBER(L12),L12&gt;0),L12,"Pendente"),IF(K12="Emenda 50Ø",IF(AND(ISNUMBER(D12),D12&gt;0),'Pormenores PDF'!$B$13*D12/1000,"Pendente"),IF(K12="Segmento 0,30 m",'Pormenores PDF'!$B$14,IF(K12="Segmento 0,50 m",'Pormenores PDF'!$B$16,"Pendente")))))</x:f>
      </x:c>
      <x:c r="F12" s="12" t="str">
        <x:f>IF(D12="","",IF(COUNTIF('Como utilizar'!$D$7:$D$14,D12)=0,"Pendente",VLOOKUP(D12,'Como utilizar'!$D$7:$E$14,2,FALSE)))</x:f>
      </x:c>
      <x:c r="G12" s="12" t="str">
        <x:f>IF(H12="","",IF(H12="OK",C12*E12*F12,"Pendente"))</x:f>
      </x:c>
      <x:c r="H12" s="2" t="str">
        <x:f>IF(COUNTA(A12:D12,I12:L12)=0,"",IF(AND(COUNTIF(Tipos!$A$7:$A$52,A12)=1,B12&lt;&gt;"",ISNUMBER(C12),C12&lt;&gt;0,C12=INT(C12),ISNUMBER(F12),ISNUMBER(E12),E12&gt;0,I12&lt;&gt;"",J12&lt;&gt;""),"OK","Pendente"))</x:f>
      </x:c>
      <x:c r="I12" s="10"/>
      <x:c r="J12" s="10"/>
      <x:c r="K12" s="25"/>
      <x:c r="L12" s="27"/>
    </x:row>
    <x:row r="13" ht="25" customHeight="1">
      <x:c r="A13" s="10"/>
      <x:c r="B13" s="10"/>
      <x:c r="C13" s="11"/>
      <x:c r="D13" s="11"/>
      <x:c r="E13" s="26" t="str">
        <x:f>IF(K13="","",IF(K13="Livre",IF(AND(ISNUMBER(L13),L13&gt;0),L13,"Pendente"),IF(K13="Emenda 50Ø",IF(AND(ISNUMBER(D13),D13&gt;0),'Pormenores PDF'!$B$13*D13/1000,"Pendente"),IF(K13="Segmento 0,30 m",'Pormenores PDF'!$B$14,IF(K13="Segmento 0,50 m",'Pormenores PDF'!$B$16,"Pendente")))))</x:f>
      </x:c>
      <x:c r="F13" s="12" t="str">
        <x:f>IF(D13="","",IF(COUNTIF('Como utilizar'!$D$7:$D$14,D13)=0,"Pendente",VLOOKUP(D13,'Como utilizar'!$D$7:$E$14,2,FALSE)))</x:f>
      </x:c>
      <x:c r="G13" s="12" t="str">
        <x:f>IF(H13="","",IF(H13="OK",C13*E13*F13,"Pendente"))</x:f>
      </x:c>
      <x:c r="H13" s="2" t="str">
        <x:f>IF(COUNTA(A13:D13,I13:L13)=0,"",IF(AND(COUNTIF(Tipos!$A$7:$A$52,A13)=1,B13&lt;&gt;"",ISNUMBER(C13),C13&lt;&gt;0,C13=INT(C13),ISNUMBER(F13),ISNUMBER(E13),E13&gt;0,I13&lt;&gt;"",J13&lt;&gt;""),"OK","Pendente"))</x:f>
      </x:c>
      <x:c r="I13" s="10"/>
      <x:c r="J13" s="10"/>
      <x:c r="K13" s="25"/>
      <x:c r="L13" s="27"/>
    </x:row>
    <x:row r="14" ht="25" customHeight="1">
      <x:c r="A14" s="10"/>
      <x:c r="B14" s="10"/>
      <x:c r="C14" s="11"/>
      <x:c r="D14" s="11"/>
      <x:c r="E14" s="26" t="str">
        <x:f>IF(K14="","",IF(K14="Livre",IF(AND(ISNUMBER(L14),L14&gt;0),L14,"Pendente"),IF(K14="Emenda 50Ø",IF(AND(ISNUMBER(D14),D14&gt;0),'Pormenores PDF'!$B$13*D14/1000,"Pendente"),IF(K14="Segmento 0,30 m",'Pormenores PDF'!$B$14,IF(K14="Segmento 0,50 m",'Pormenores PDF'!$B$16,"Pendente")))))</x:f>
      </x:c>
      <x:c r="F14" s="12" t="str">
        <x:f>IF(D14="","",IF(COUNTIF('Como utilizar'!$D$7:$D$14,D14)=0,"Pendente",VLOOKUP(D14,'Como utilizar'!$D$7:$E$14,2,FALSE)))</x:f>
      </x:c>
      <x:c r="G14" s="12" t="str">
        <x:f>IF(H14="","",IF(H14="OK",C14*E14*F14,"Pendente"))</x:f>
      </x:c>
      <x:c r="H14" s="2" t="str">
        <x:f>IF(COUNTA(A14:D14,I14:L14)=0,"",IF(AND(COUNTIF(Tipos!$A$7:$A$52,A14)=1,B14&lt;&gt;"",ISNUMBER(C14),C14&lt;&gt;0,C14=INT(C14),ISNUMBER(F14),ISNUMBER(E14),E14&gt;0,I14&lt;&gt;"",J14&lt;&gt;""),"OK","Pendente"))</x:f>
      </x:c>
      <x:c r="I14" s="10"/>
      <x:c r="J14" s="10"/>
      <x:c r="K14" s="25"/>
      <x:c r="L14" s="27"/>
    </x:row>
    <x:row r="15" ht="25" customHeight="1">
      <x:c r="A15" s="10"/>
      <x:c r="B15" s="10"/>
      <x:c r="C15" s="11"/>
      <x:c r="D15" s="11"/>
      <x:c r="E15" s="26" t="str">
        <x:f>IF(K15="","",IF(K15="Livre",IF(AND(ISNUMBER(L15),L15&gt;0),L15,"Pendente"),IF(K15="Emenda 50Ø",IF(AND(ISNUMBER(D15),D15&gt;0),'Pormenores PDF'!$B$13*D15/1000,"Pendente"),IF(K15="Segmento 0,30 m",'Pormenores PDF'!$B$14,IF(K15="Segmento 0,50 m",'Pormenores PDF'!$B$16,"Pendente")))))</x:f>
      </x:c>
      <x:c r="F15" s="12" t="str">
        <x:f>IF(D15="","",IF(COUNTIF('Como utilizar'!$D$7:$D$14,D15)=0,"Pendente",VLOOKUP(D15,'Como utilizar'!$D$7:$E$14,2,FALSE)))</x:f>
      </x:c>
      <x:c r="G15" s="12" t="str">
        <x:f>IF(H15="","",IF(H15="OK",C15*E15*F15,"Pendente"))</x:f>
      </x:c>
      <x:c r="H15" s="2" t="str">
        <x:f>IF(COUNTA(A15:D15,I15:L15)=0,"",IF(AND(COUNTIF(Tipos!$A$7:$A$52,A15)=1,B15&lt;&gt;"",ISNUMBER(C15),C15&lt;&gt;0,C15=INT(C15),ISNUMBER(F15),ISNUMBER(E15),E15&gt;0,I15&lt;&gt;"",J15&lt;&gt;""),"OK","Pendente"))</x:f>
      </x:c>
      <x:c r="I15" s="10"/>
      <x:c r="J15" s="10"/>
      <x:c r="K15" s="25"/>
      <x:c r="L15" s="27"/>
    </x:row>
    <x:row r="16" ht="25" customHeight="1">
      <x:c r="A16" s="10"/>
      <x:c r="B16" s="10"/>
      <x:c r="C16" s="11"/>
      <x:c r="D16" s="11"/>
      <x:c r="E16" s="26" t="str">
        <x:f>IF(K16="","",IF(K16="Livre",IF(AND(ISNUMBER(L16),L16&gt;0),L16,"Pendente"),IF(K16="Emenda 50Ø",IF(AND(ISNUMBER(D16),D16&gt;0),'Pormenores PDF'!$B$13*D16/1000,"Pendente"),IF(K16="Segmento 0,30 m",'Pormenores PDF'!$B$14,IF(K16="Segmento 0,50 m",'Pormenores PDF'!$B$16,"Pendente")))))</x:f>
      </x:c>
      <x:c r="F16" s="12" t="str">
        <x:f>IF(D16="","",IF(COUNTIF('Como utilizar'!$D$7:$D$14,D16)=0,"Pendente",VLOOKUP(D16,'Como utilizar'!$D$7:$E$14,2,FALSE)))</x:f>
      </x:c>
      <x:c r="G16" s="12" t="str">
        <x:f>IF(H16="","",IF(H16="OK",C16*E16*F16,"Pendente"))</x:f>
      </x:c>
      <x:c r="H16" s="2" t="str">
        <x:f>IF(COUNTA(A16:D16,I16:L16)=0,"",IF(AND(COUNTIF(Tipos!$A$7:$A$52,A16)=1,B16&lt;&gt;"",ISNUMBER(C16),C16&lt;&gt;0,C16=INT(C16),ISNUMBER(F16),ISNUMBER(E16),E16&gt;0,I16&lt;&gt;"",J16&lt;&gt;""),"OK","Pendente"))</x:f>
      </x:c>
      <x:c r="I16" s="10"/>
      <x:c r="J16" s="10"/>
      <x:c r="K16" s="25"/>
      <x:c r="L16" s="27"/>
    </x:row>
    <x:row r="17" ht="25" customHeight="1">
      <x:c r="A17" s="10"/>
      <x:c r="B17" s="10"/>
      <x:c r="C17" s="11"/>
      <x:c r="D17" s="11"/>
      <x:c r="E17" s="26" t="str">
        <x:f>IF(K17="","",IF(K17="Livre",IF(AND(ISNUMBER(L17),L17&gt;0),L17,"Pendente"),IF(K17="Emenda 50Ø",IF(AND(ISNUMBER(D17),D17&gt;0),'Pormenores PDF'!$B$13*D17/1000,"Pendente"),IF(K17="Segmento 0,30 m",'Pormenores PDF'!$B$14,IF(K17="Segmento 0,50 m",'Pormenores PDF'!$B$16,"Pendente")))))</x:f>
      </x:c>
      <x:c r="F17" s="12" t="str">
        <x:f>IF(D17="","",IF(COUNTIF('Como utilizar'!$D$7:$D$14,D17)=0,"Pendente",VLOOKUP(D17,'Como utilizar'!$D$7:$E$14,2,FALSE)))</x:f>
      </x:c>
      <x:c r="G17" s="12" t="str">
        <x:f>IF(H17="","",IF(H17="OK",C17*E17*F17,"Pendente"))</x:f>
      </x:c>
      <x:c r="H17" s="2" t="str">
        <x:f>IF(COUNTA(A17:D17,I17:L17)=0,"",IF(AND(COUNTIF(Tipos!$A$7:$A$52,A17)=1,B17&lt;&gt;"",ISNUMBER(C17),C17&lt;&gt;0,C17=INT(C17),ISNUMBER(F17),ISNUMBER(E17),E17&gt;0,I17&lt;&gt;"",J17&lt;&gt;""),"OK","Pendente"))</x:f>
      </x:c>
      <x:c r="I17" s="10"/>
      <x:c r="J17" s="10"/>
      <x:c r="K17" s="25"/>
      <x:c r="L17" s="27"/>
    </x:row>
    <x:row r="18" ht="25" customHeight="1">
      <x:c r="A18" s="10"/>
      <x:c r="B18" s="10"/>
      <x:c r="C18" s="11"/>
      <x:c r="D18" s="11"/>
      <x:c r="E18" s="26" t="str">
        <x:f>IF(K18="","",IF(K18="Livre",IF(AND(ISNUMBER(L18),L18&gt;0),L18,"Pendente"),IF(K18="Emenda 50Ø",IF(AND(ISNUMBER(D18),D18&gt;0),'Pormenores PDF'!$B$13*D18/1000,"Pendente"),IF(K18="Segmento 0,30 m",'Pormenores PDF'!$B$14,IF(K18="Segmento 0,50 m",'Pormenores PDF'!$B$16,"Pendente")))))</x:f>
      </x:c>
      <x:c r="F18" s="12" t="str">
        <x:f>IF(D18="","",IF(COUNTIF('Como utilizar'!$D$7:$D$14,D18)=0,"Pendente",VLOOKUP(D18,'Como utilizar'!$D$7:$E$14,2,FALSE)))</x:f>
      </x:c>
      <x:c r="G18" s="12" t="str">
        <x:f>IF(H18="","",IF(H18="OK",C18*E18*F18,"Pendente"))</x:f>
      </x:c>
      <x:c r="H18" s="2" t="str">
        <x:f>IF(COUNTA(A18:D18,I18:L18)=0,"",IF(AND(COUNTIF(Tipos!$A$7:$A$52,A18)=1,B18&lt;&gt;"",ISNUMBER(C18),C18&lt;&gt;0,C18=INT(C18),ISNUMBER(F18),ISNUMBER(E18),E18&gt;0,I18&lt;&gt;"",J18&lt;&gt;""),"OK","Pendente"))</x:f>
      </x:c>
      <x:c r="I18" s="10"/>
      <x:c r="J18" s="10"/>
      <x:c r="K18" s="25"/>
      <x:c r="L18" s="27"/>
    </x:row>
    <x:row r="19" ht="25" customHeight="1">
      <x:c r="A19" s="10"/>
      <x:c r="B19" s="10"/>
      <x:c r="C19" s="11"/>
      <x:c r="D19" s="11"/>
      <x:c r="E19" s="26" t="str">
        <x:f>IF(K19="","",IF(K19="Livre",IF(AND(ISNUMBER(L19),L19&gt;0),L19,"Pendente"),IF(K19="Emenda 50Ø",IF(AND(ISNUMBER(D19),D19&gt;0),'Pormenores PDF'!$B$13*D19/1000,"Pendente"),IF(K19="Segmento 0,30 m",'Pormenores PDF'!$B$14,IF(K19="Segmento 0,50 m",'Pormenores PDF'!$B$16,"Pendente")))))</x:f>
      </x:c>
      <x:c r="F19" s="12" t="str">
        <x:f>IF(D19="","",IF(COUNTIF('Como utilizar'!$D$7:$D$14,D19)=0,"Pendente",VLOOKUP(D19,'Como utilizar'!$D$7:$E$14,2,FALSE)))</x:f>
      </x:c>
      <x:c r="G19" s="12" t="str">
        <x:f>IF(H19="","",IF(H19="OK",C19*E19*F19,"Pendente"))</x:f>
      </x:c>
      <x:c r="H19" s="2" t="str">
        <x:f>IF(COUNTA(A19:D19,I19:L19)=0,"",IF(AND(COUNTIF(Tipos!$A$7:$A$52,A19)=1,B19&lt;&gt;"",ISNUMBER(C19),C19&lt;&gt;0,C19=INT(C19),ISNUMBER(F19),ISNUMBER(E19),E19&gt;0,I19&lt;&gt;"",J19&lt;&gt;""),"OK","Pendente"))</x:f>
      </x:c>
      <x:c r="I19" s="10"/>
      <x:c r="J19" s="10"/>
      <x:c r="K19" s="25"/>
      <x:c r="L19" s="27"/>
    </x:row>
    <x:row r="20" ht="25" customHeight="1">
      <x:c r="A20" s="10"/>
      <x:c r="B20" s="10"/>
      <x:c r="C20" s="11"/>
      <x:c r="D20" s="11"/>
      <x:c r="E20" s="26" t="str">
        <x:f>IF(K20="","",IF(K20="Livre",IF(AND(ISNUMBER(L20),L20&gt;0),L20,"Pendente"),IF(K20="Emenda 50Ø",IF(AND(ISNUMBER(D20),D20&gt;0),'Pormenores PDF'!$B$13*D20/1000,"Pendente"),IF(K20="Segmento 0,30 m",'Pormenores PDF'!$B$14,IF(K20="Segmento 0,50 m",'Pormenores PDF'!$B$16,"Pendente")))))</x:f>
      </x:c>
      <x:c r="F20" s="12" t="str">
        <x:f>IF(D20="","",IF(COUNTIF('Como utilizar'!$D$7:$D$14,D20)=0,"Pendente",VLOOKUP(D20,'Como utilizar'!$D$7:$E$14,2,FALSE)))</x:f>
      </x:c>
      <x:c r="G20" s="12" t="str">
        <x:f>IF(H20="","",IF(H20="OK",C20*E20*F20,"Pendente"))</x:f>
      </x:c>
      <x:c r="H20" s="2" t="str">
        <x:f>IF(COUNTA(A20:D20,I20:L20)=0,"",IF(AND(COUNTIF(Tipos!$A$7:$A$52,A20)=1,B20&lt;&gt;"",ISNUMBER(C20),C20&lt;&gt;0,C20=INT(C20),ISNUMBER(F20),ISNUMBER(E20),E20&gt;0,I20&lt;&gt;"",J20&lt;&gt;""),"OK","Pendente"))</x:f>
      </x:c>
      <x:c r="I20" s="10"/>
      <x:c r="J20" s="10"/>
      <x:c r="K20" s="25"/>
      <x:c r="L20" s="27"/>
    </x:row>
    <x:row r="21" ht="25" customHeight="1">
      <x:c r="A21" s="10"/>
      <x:c r="B21" s="10"/>
      <x:c r="C21" s="11"/>
      <x:c r="D21" s="11"/>
      <x:c r="E21" s="26" t="str">
        <x:f>IF(K21="","",IF(K21="Livre",IF(AND(ISNUMBER(L21),L21&gt;0),L21,"Pendente"),IF(K21="Emenda 50Ø",IF(AND(ISNUMBER(D21),D21&gt;0),'Pormenores PDF'!$B$13*D21/1000,"Pendente"),IF(K21="Segmento 0,30 m",'Pormenores PDF'!$B$14,IF(K21="Segmento 0,50 m",'Pormenores PDF'!$B$16,"Pendente")))))</x:f>
      </x:c>
      <x:c r="F21" s="12" t="str">
        <x:f>IF(D21="","",IF(COUNTIF('Como utilizar'!$D$7:$D$14,D21)=0,"Pendente",VLOOKUP(D21,'Como utilizar'!$D$7:$E$14,2,FALSE)))</x:f>
      </x:c>
      <x:c r="G21" s="12" t="str">
        <x:f>IF(H21="","",IF(H21="OK",C21*E21*F21,"Pendente"))</x:f>
      </x:c>
      <x:c r="H21" s="2" t="str">
        <x:f>IF(COUNTA(A21:D21,I21:L21)=0,"",IF(AND(COUNTIF(Tipos!$A$7:$A$52,A21)=1,B21&lt;&gt;"",ISNUMBER(C21),C21&lt;&gt;0,C21=INT(C21),ISNUMBER(F21),ISNUMBER(E21),E21&gt;0,I21&lt;&gt;"",J21&lt;&gt;""),"OK","Pendente"))</x:f>
      </x:c>
      <x:c r="I21" s="10"/>
      <x:c r="J21" s="10"/>
      <x:c r="K21" s="25"/>
      <x:c r="L21" s="27"/>
    </x:row>
    <x:row r="22" ht="25" customHeight="1">
      <x:c r="A22" s="10"/>
      <x:c r="B22" s="10"/>
      <x:c r="C22" s="11"/>
      <x:c r="D22" s="11"/>
      <x:c r="E22" s="26" t="str">
        <x:f>IF(K22="","",IF(K22="Livre",IF(AND(ISNUMBER(L22),L22&gt;0),L22,"Pendente"),IF(K22="Emenda 50Ø",IF(AND(ISNUMBER(D22),D22&gt;0),'Pormenores PDF'!$B$13*D22/1000,"Pendente"),IF(K22="Segmento 0,30 m",'Pormenores PDF'!$B$14,IF(K22="Segmento 0,50 m",'Pormenores PDF'!$B$16,"Pendente")))))</x:f>
      </x:c>
      <x:c r="F22" s="12" t="str">
        <x:f>IF(D22="","",IF(COUNTIF('Como utilizar'!$D$7:$D$14,D22)=0,"Pendente",VLOOKUP(D22,'Como utilizar'!$D$7:$E$14,2,FALSE)))</x:f>
      </x:c>
      <x:c r="G22" s="12" t="str">
        <x:f>IF(H22="","",IF(H22="OK",C22*E22*F22,"Pendente"))</x:f>
      </x:c>
      <x:c r="H22" s="2" t="str">
        <x:f>IF(COUNTA(A22:D22,I22:L22)=0,"",IF(AND(COUNTIF(Tipos!$A$7:$A$52,A22)=1,B22&lt;&gt;"",ISNUMBER(C22),C22&lt;&gt;0,C22=INT(C22),ISNUMBER(F22),ISNUMBER(E22),E22&gt;0,I22&lt;&gt;"",J22&lt;&gt;""),"OK","Pendente"))</x:f>
      </x:c>
      <x:c r="I22" s="10"/>
      <x:c r="J22" s="10"/>
      <x:c r="K22" s="25"/>
      <x:c r="L22" s="27"/>
    </x:row>
    <x:row r="23" ht="25" customHeight="1">
      <x:c r="A23" s="10"/>
      <x:c r="B23" s="10"/>
      <x:c r="C23" s="11"/>
      <x:c r="D23" s="11"/>
      <x:c r="E23" s="26" t="str">
        <x:f>IF(K23="","",IF(K23="Livre",IF(AND(ISNUMBER(L23),L23&gt;0),L23,"Pendente"),IF(K23="Emenda 50Ø",IF(AND(ISNUMBER(D23),D23&gt;0),'Pormenores PDF'!$B$13*D23/1000,"Pendente"),IF(K23="Segmento 0,30 m",'Pormenores PDF'!$B$14,IF(K23="Segmento 0,50 m",'Pormenores PDF'!$B$16,"Pendente")))))</x:f>
      </x:c>
      <x:c r="F23" s="12" t="str">
        <x:f>IF(D23="","",IF(COUNTIF('Como utilizar'!$D$7:$D$14,D23)=0,"Pendente",VLOOKUP(D23,'Como utilizar'!$D$7:$E$14,2,FALSE)))</x:f>
      </x:c>
      <x:c r="G23" s="12" t="str">
        <x:f>IF(H23="","",IF(H23="OK",C23*E23*F23,"Pendente"))</x:f>
      </x:c>
      <x:c r="H23" s="2" t="str">
        <x:f>IF(COUNTA(A23:D23,I23:L23)=0,"",IF(AND(COUNTIF(Tipos!$A$7:$A$52,A23)=1,B23&lt;&gt;"",ISNUMBER(C23),C23&lt;&gt;0,C23=INT(C23),ISNUMBER(F23),ISNUMBER(E23),E23&gt;0,I23&lt;&gt;"",J23&lt;&gt;""),"OK","Pendente"))</x:f>
      </x:c>
      <x:c r="I23" s="10"/>
      <x:c r="J23" s="10"/>
      <x:c r="K23" s="25"/>
      <x:c r="L23" s="27"/>
    </x:row>
    <x:row r="24" ht="25" customHeight="1">
      <x:c r="A24" s="10"/>
      <x:c r="B24" s="10"/>
      <x:c r="C24" s="11"/>
      <x:c r="D24" s="11"/>
      <x:c r="E24" s="26" t="str">
        <x:f>IF(K24="","",IF(K24="Livre",IF(AND(ISNUMBER(L24),L24&gt;0),L24,"Pendente"),IF(K24="Emenda 50Ø",IF(AND(ISNUMBER(D24),D24&gt;0),'Pormenores PDF'!$B$13*D24/1000,"Pendente"),IF(K24="Segmento 0,30 m",'Pormenores PDF'!$B$14,IF(K24="Segmento 0,50 m",'Pormenores PDF'!$B$16,"Pendente")))))</x:f>
      </x:c>
      <x:c r="F24" s="12" t="str">
        <x:f>IF(D24="","",IF(COUNTIF('Como utilizar'!$D$7:$D$14,D24)=0,"Pendente",VLOOKUP(D24,'Como utilizar'!$D$7:$E$14,2,FALSE)))</x:f>
      </x:c>
      <x:c r="G24" s="12" t="str">
        <x:f>IF(H24="","",IF(H24="OK",C24*E24*F24,"Pendente"))</x:f>
      </x:c>
      <x:c r="H24" s="2" t="str">
        <x:f>IF(COUNTA(A24:D24,I24:L24)=0,"",IF(AND(COUNTIF(Tipos!$A$7:$A$52,A24)=1,B24&lt;&gt;"",ISNUMBER(C24),C24&lt;&gt;0,C24=INT(C24),ISNUMBER(F24),ISNUMBER(E24),E24&gt;0,I24&lt;&gt;"",J24&lt;&gt;""),"OK","Pendente"))</x:f>
      </x:c>
      <x:c r="I24" s="10"/>
      <x:c r="J24" s="10"/>
      <x:c r="K24" s="25"/>
      <x:c r="L24" s="27"/>
    </x:row>
    <x:row r="25" ht="25" customHeight="1">
      <x:c r="A25" s="10"/>
      <x:c r="B25" s="10"/>
      <x:c r="C25" s="11"/>
      <x:c r="D25" s="11"/>
      <x:c r="E25" s="26" t="str">
        <x:f>IF(K25="","",IF(K25="Livre",IF(AND(ISNUMBER(L25),L25&gt;0),L25,"Pendente"),IF(K25="Emenda 50Ø",IF(AND(ISNUMBER(D25),D25&gt;0),'Pormenores PDF'!$B$13*D25/1000,"Pendente"),IF(K25="Segmento 0,30 m",'Pormenores PDF'!$B$14,IF(K25="Segmento 0,50 m",'Pormenores PDF'!$B$16,"Pendente")))))</x:f>
      </x:c>
      <x:c r="F25" s="12" t="str">
        <x:f>IF(D25="","",IF(COUNTIF('Como utilizar'!$D$7:$D$14,D25)=0,"Pendente",VLOOKUP(D25,'Como utilizar'!$D$7:$E$14,2,FALSE)))</x:f>
      </x:c>
      <x:c r="G25" s="12" t="str">
        <x:f>IF(H25="","",IF(H25="OK",C25*E25*F25,"Pendente"))</x:f>
      </x:c>
      <x:c r="H25" s="2" t="str">
        <x:f>IF(COUNTA(A25:D25,I25:L25)=0,"",IF(AND(COUNTIF(Tipos!$A$7:$A$52,A25)=1,B25&lt;&gt;"",ISNUMBER(C25),C25&lt;&gt;0,C25=INT(C25),ISNUMBER(F25),ISNUMBER(E25),E25&gt;0,I25&lt;&gt;"",J25&lt;&gt;""),"OK","Pendente"))</x:f>
      </x:c>
      <x:c r="I25" s="10"/>
      <x:c r="J25" s="10"/>
      <x:c r="K25" s="25"/>
      <x:c r="L25" s="27"/>
    </x:row>
    <x:row r="26" ht="25" customHeight="1">
      <x:c r="A26" s="10"/>
      <x:c r="B26" s="10"/>
      <x:c r="C26" s="11"/>
      <x:c r="D26" s="11"/>
      <x:c r="E26" s="26" t="str">
        <x:f>IF(K26="","",IF(K26="Livre",IF(AND(ISNUMBER(L26),L26&gt;0),L26,"Pendente"),IF(K26="Emenda 50Ø",IF(AND(ISNUMBER(D26),D26&gt;0),'Pormenores PDF'!$B$13*D26/1000,"Pendente"),IF(K26="Segmento 0,30 m",'Pormenores PDF'!$B$14,IF(K26="Segmento 0,50 m",'Pormenores PDF'!$B$16,"Pendente")))))</x:f>
      </x:c>
      <x:c r="F26" s="12" t="str">
        <x:f>IF(D26="","",IF(COUNTIF('Como utilizar'!$D$7:$D$14,D26)=0,"Pendente",VLOOKUP(D26,'Como utilizar'!$D$7:$E$14,2,FALSE)))</x:f>
      </x:c>
      <x:c r="G26" s="12" t="str">
        <x:f>IF(H26="","",IF(H26="OK",C26*E26*F26,"Pendente"))</x:f>
      </x:c>
      <x:c r="H26" s="2" t="str">
        <x:f>IF(COUNTA(A26:D26,I26:L26)=0,"",IF(AND(COUNTIF(Tipos!$A$7:$A$52,A26)=1,B26&lt;&gt;"",ISNUMBER(C26),C26&lt;&gt;0,C26=INT(C26),ISNUMBER(F26),ISNUMBER(E26),E26&gt;0,I26&lt;&gt;"",J26&lt;&gt;""),"OK","Pendente"))</x:f>
      </x:c>
      <x:c r="I26" s="10"/>
      <x:c r="J26" s="10"/>
      <x:c r="K26" s="25"/>
      <x:c r="L26" s="27"/>
    </x:row>
    <x:row r="27" ht="25" customHeight="1">
      <x:c r="A27" s="10"/>
      <x:c r="B27" s="10"/>
      <x:c r="C27" s="11"/>
      <x:c r="D27" s="11"/>
      <x:c r="E27" s="26" t="str">
        <x:f>IF(K27="","",IF(K27="Livre",IF(AND(ISNUMBER(L27),L27&gt;0),L27,"Pendente"),IF(K27="Emenda 50Ø",IF(AND(ISNUMBER(D27),D27&gt;0),'Pormenores PDF'!$B$13*D27/1000,"Pendente"),IF(K27="Segmento 0,30 m",'Pormenores PDF'!$B$14,IF(K27="Segmento 0,50 m",'Pormenores PDF'!$B$16,"Pendente")))))</x:f>
      </x:c>
      <x:c r="F27" s="12" t="str">
        <x:f>IF(D27="","",IF(COUNTIF('Como utilizar'!$D$7:$D$14,D27)=0,"Pendente",VLOOKUP(D27,'Como utilizar'!$D$7:$E$14,2,FALSE)))</x:f>
      </x:c>
      <x:c r="G27" s="12" t="str">
        <x:f>IF(H27="","",IF(H27="OK",C27*E27*F27,"Pendente"))</x:f>
      </x:c>
      <x:c r="H27" s="2" t="str">
        <x:f>IF(COUNTA(A27:D27,I27:L27)=0,"",IF(AND(COUNTIF(Tipos!$A$7:$A$52,A27)=1,B27&lt;&gt;"",ISNUMBER(C27),C27&lt;&gt;0,C27=INT(C27),ISNUMBER(F27),ISNUMBER(E27),E27&gt;0,I27&lt;&gt;"",J27&lt;&gt;""),"OK","Pendente"))</x:f>
      </x:c>
      <x:c r="I27" s="10"/>
      <x:c r="J27" s="10"/>
      <x:c r="K27" s="25"/>
      <x:c r="L27" s="27"/>
    </x:row>
    <x:row r="28" ht="25" customHeight="1">
      <x:c r="A28" s="10"/>
      <x:c r="B28" s="10"/>
      <x:c r="C28" s="11"/>
      <x:c r="D28" s="11"/>
      <x:c r="E28" s="26" t="str">
        <x:f>IF(K28="","",IF(K28="Livre",IF(AND(ISNUMBER(L28),L28&gt;0),L28,"Pendente"),IF(K28="Emenda 50Ø",IF(AND(ISNUMBER(D28),D28&gt;0),'Pormenores PDF'!$B$13*D28/1000,"Pendente"),IF(K28="Segmento 0,30 m",'Pormenores PDF'!$B$14,IF(K28="Segmento 0,50 m",'Pormenores PDF'!$B$16,"Pendente")))))</x:f>
      </x:c>
      <x:c r="F28" s="12" t="str">
        <x:f>IF(D28="","",IF(COUNTIF('Como utilizar'!$D$7:$D$14,D28)=0,"Pendente",VLOOKUP(D28,'Como utilizar'!$D$7:$E$14,2,FALSE)))</x:f>
      </x:c>
      <x:c r="G28" s="12" t="str">
        <x:f>IF(H28="","",IF(H28="OK",C28*E28*F28,"Pendente"))</x:f>
      </x:c>
      <x:c r="H28" s="2" t="str">
        <x:f>IF(COUNTA(A28:D28,I28:L28)=0,"",IF(AND(COUNTIF(Tipos!$A$7:$A$52,A28)=1,B28&lt;&gt;"",ISNUMBER(C28),C28&lt;&gt;0,C28=INT(C28),ISNUMBER(F28),ISNUMBER(E28),E28&gt;0,I28&lt;&gt;"",J28&lt;&gt;""),"OK","Pendente"))</x:f>
      </x:c>
      <x:c r="I28" s="10"/>
      <x:c r="J28" s="10"/>
      <x:c r="K28" s="25"/>
      <x:c r="L28" s="27"/>
    </x:row>
    <x:row r="29" ht="25" customHeight="1">
      <x:c r="A29" s="10"/>
      <x:c r="B29" s="10"/>
      <x:c r="C29" s="11"/>
      <x:c r="D29" s="11"/>
      <x:c r="E29" s="26" t="str">
        <x:f>IF(K29="","",IF(K29="Livre",IF(AND(ISNUMBER(L29),L29&gt;0),L29,"Pendente"),IF(K29="Emenda 50Ø",IF(AND(ISNUMBER(D29),D29&gt;0),'Pormenores PDF'!$B$13*D29/1000,"Pendente"),IF(K29="Segmento 0,30 m",'Pormenores PDF'!$B$14,IF(K29="Segmento 0,50 m",'Pormenores PDF'!$B$16,"Pendente")))))</x:f>
      </x:c>
      <x:c r="F29" s="12" t="str">
        <x:f>IF(D29="","",IF(COUNTIF('Como utilizar'!$D$7:$D$14,D29)=0,"Pendente",VLOOKUP(D29,'Como utilizar'!$D$7:$E$14,2,FALSE)))</x:f>
      </x:c>
      <x:c r="G29" s="12" t="str">
        <x:f>IF(H29="","",IF(H29="OK",C29*E29*F29,"Pendente"))</x:f>
      </x:c>
      <x:c r="H29" s="2" t="str">
        <x:f>IF(COUNTA(A29:D29,I29:L29)=0,"",IF(AND(COUNTIF(Tipos!$A$7:$A$52,A29)=1,B29&lt;&gt;"",ISNUMBER(C29),C29&lt;&gt;0,C29=INT(C29),ISNUMBER(F29),ISNUMBER(E29),E29&gt;0,I29&lt;&gt;"",J29&lt;&gt;""),"OK","Pendente"))</x:f>
      </x:c>
      <x:c r="I29" s="10"/>
      <x:c r="J29" s="10"/>
      <x:c r="K29" s="25"/>
      <x:c r="L29" s="27"/>
    </x:row>
    <x:row r="30" ht="25" customHeight="1">
      <x:c r="A30" s="10"/>
      <x:c r="B30" s="10"/>
      <x:c r="C30" s="11"/>
      <x:c r="D30" s="11"/>
      <x:c r="E30" s="26" t="str">
        <x:f>IF(K30="","",IF(K30="Livre",IF(AND(ISNUMBER(L30),L30&gt;0),L30,"Pendente"),IF(K30="Emenda 50Ø",IF(AND(ISNUMBER(D30),D30&gt;0),'Pormenores PDF'!$B$13*D30/1000,"Pendente"),IF(K30="Segmento 0,30 m",'Pormenores PDF'!$B$14,IF(K30="Segmento 0,50 m",'Pormenores PDF'!$B$16,"Pendente")))))</x:f>
      </x:c>
      <x:c r="F30" s="12" t="str">
        <x:f>IF(D30="","",IF(COUNTIF('Como utilizar'!$D$7:$D$14,D30)=0,"Pendente",VLOOKUP(D30,'Como utilizar'!$D$7:$E$14,2,FALSE)))</x:f>
      </x:c>
      <x:c r="G30" s="12" t="str">
        <x:f>IF(H30="","",IF(H30="OK",C30*E30*F30,"Pendente"))</x:f>
      </x:c>
      <x:c r="H30" s="2" t="str">
        <x:f>IF(COUNTA(A30:D30,I30:L30)=0,"",IF(AND(COUNTIF(Tipos!$A$7:$A$52,A30)=1,B30&lt;&gt;"",ISNUMBER(C30),C30&lt;&gt;0,C30=INT(C30),ISNUMBER(F30),ISNUMBER(E30),E30&gt;0,I30&lt;&gt;"",J30&lt;&gt;""),"OK","Pendente"))</x:f>
      </x:c>
      <x:c r="I30" s="10"/>
      <x:c r="J30" s="10"/>
      <x:c r="K30" s="25"/>
      <x:c r="L30" s="27"/>
    </x:row>
    <x:row r="31" ht="25" customHeight="1">
      <x:c r="A31" s="10"/>
      <x:c r="B31" s="10"/>
      <x:c r="C31" s="11"/>
      <x:c r="D31" s="11"/>
      <x:c r="E31" s="26" t="str">
        <x:f>IF(K31="","",IF(K31="Livre",IF(AND(ISNUMBER(L31),L31&gt;0),L31,"Pendente"),IF(K31="Emenda 50Ø",IF(AND(ISNUMBER(D31),D31&gt;0),'Pormenores PDF'!$B$13*D31/1000,"Pendente"),IF(K31="Segmento 0,30 m",'Pormenores PDF'!$B$14,IF(K31="Segmento 0,50 m",'Pormenores PDF'!$B$16,"Pendente")))))</x:f>
      </x:c>
      <x:c r="F31" s="12" t="str">
        <x:f>IF(D31="","",IF(COUNTIF('Como utilizar'!$D$7:$D$14,D31)=0,"Pendente",VLOOKUP(D31,'Como utilizar'!$D$7:$E$14,2,FALSE)))</x:f>
      </x:c>
      <x:c r="G31" s="12" t="str">
        <x:f>IF(H31="","",IF(H31="OK",C31*E31*F31,"Pendente"))</x:f>
      </x:c>
      <x:c r="H31" s="2" t="str">
        <x:f>IF(COUNTA(A31:D31,I31:L31)=0,"",IF(AND(COUNTIF(Tipos!$A$7:$A$52,A31)=1,B31&lt;&gt;"",ISNUMBER(C31),C31&lt;&gt;0,C31=INT(C31),ISNUMBER(F31),ISNUMBER(E31),E31&gt;0,I31&lt;&gt;"",J31&lt;&gt;""),"OK","Pendente"))</x:f>
      </x:c>
      <x:c r="I31" s="10"/>
      <x:c r="J31" s="10"/>
      <x:c r="K31" s="25"/>
      <x:c r="L31" s="27"/>
    </x:row>
    <x:row r="32" ht="25" customHeight="1">
      <x:c r="A32" s="10"/>
      <x:c r="B32" s="10"/>
      <x:c r="C32" s="11"/>
      <x:c r="D32" s="11"/>
      <x:c r="E32" s="26" t="str">
        <x:f>IF(K32="","",IF(K32="Livre",IF(AND(ISNUMBER(L32),L32&gt;0),L32,"Pendente"),IF(K32="Emenda 50Ø",IF(AND(ISNUMBER(D32),D32&gt;0),'Pormenores PDF'!$B$13*D32/1000,"Pendente"),IF(K32="Segmento 0,30 m",'Pormenores PDF'!$B$14,IF(K32="Segmento 0,50 m",'Pormenores PDF'!$B$16,"Pendente")))))</x:f>
      </x:c>
      <x:c r="F32" s="12" t="str">
        <x:f>IF(D32="","",IF(COUNTIF('Como utilizar'!$D$7:$D$14,D32)=0,"Pendente",VLOOKUP(D32,'Como utilizar'!$D$7:$E$14,2,FALSE)))</x:f>
      </x:c>
      <x:c r="G32" s="12" t="str">
        <x:f>IF(H32="","",IF(H32="OK",C32*E32*F32,"Pendente"))</x:f>
      </x:c>
      <x:c r="H32" s="2" t="str">
        <x:f>IF(COUNTA(A32:D32,I32:L32)=0,"",IF(AND(COUNTIF(Tipos!$A$7:$A$52,A32)=1,B32&lt;&gt;"",ISNUMBER(C32),C32&lt;&gt;0,C32=INT(C32),ISNUMBER(F32),ISNUMBER(E32),E32&gt;0,I32&lt;&gt;"",J32&lt;&gt;""),"OK","Pendente"))</x:f>
      </x:c>
      <x:c r="I32" s="10"/>
      <x:c r="J32" s="10"/>
      <x:c r="K32" s="25"/>
      <x:c r="L32" s="27"/>
    </x:row>
    <x:row r="33" ht="25" customHeight="1">
      <x:c r="A33" s="10"/>
      <x:c r="B33" s="10"/>
      <x:c r="C33" s="11"/>
      <x:c r="D33" s="11"/>
      <x:c r="E33" s="26" t="str">
        <x:f>IF(K33="","",IF(K33="Livre",IF(AND(ISNUMBER(L33),L33&gt;0),L33,"Pendente"),IF(K33="Emenda 50Ø",IF(AND(ISNUMBER(D33),D33&gt;0),'Pormenores PDF'!$B$13*D33/1000,"Pendente"),IF(K33="Segmento 0,30 m",'Pormenores PDF'!$B$14,IF(K33="Segmento 0,50 m",'Pormenores PDF'!$B$16,"Pendente")))))</x:f>
      </x:c>
      <x:c r="F33" s="12" t="str">
        <x:f>IF(D33="","",IF(COUNTIF('Como utilizar'!$D$7:$D$14,D33)=0,"Pendente",VLOOKUP(D33,'Como utilizar'!$D$7:$E$14,2,FALSE)))</x:f>
      </x:c>
      <x:c r="G33" s="12" t="str">
        <x:f>IF(H33="","",IF(H33="OK",C33*E33*F33,"Pendente"))</x:f>
      </x:c>
      <x:c r="H33" s="2" t="str">
        <x:f>IF(COUNTA(A33:D33,I33:L33)=0,"",IF(AND(COUNTIF(Tipos!$A$7:$A$52,A33)=1,B33&lt;&gt;"",ISNUMBER(C33),C33&lt;&gt;0,C33=INT(C33),ISNUMBER(F33),ISNUMBER(E33),E33&gt;0,I33&lt;&gt;"",J33&lt;&gt;""),"OK","Pendente"))</x:f>
      </x:c>
      <x:c r="I33" s="10"/>
      <x:c r="J33" s="10"/>
      <x:c r="K33" s="25"/>
      <x:c r="L33" s="27"/>
    </x:row>
    <x:row r="34" ht="25" customHeight="1">
      <x:c r="A34" s="10"/>
      <x:c r="B34" s="10"/>
      <x:c r="C34" s="11"/>
      <x:c r="D34" s="11"/>
      <x:c r="E34" s="26" t="str">
        <x:f>IF(K34="","",IF(K34="Livre",IF(AND(ISNUMBER(L34),L34&gt;0),L34,"Pendente"),IF(K34="Emenda 50Ø",IF(AND(ISNUMBER(D34),D34&gt;0),'Pormenores PDF'!$B$13*D34/1000,"Pendente"),IF(K34="Segmento 0,30 m",'Pormenores PDF'!$B$14,IF(K34="Segmento 0,50 m",'Pormenores PDF'!$B$16,"Pendente")))))</x:f>
      </x:c>
      <x:c r="F34" s="12" t="str">
        <x:f>IF(D34="","",IF(COUNTIF('Como utilizar'!$D$7:$D$14,D34)=0,"Pendente",VLOOKUP(D34,'Como utilizar'!$D$7:$E$14,2,FALSE)))</x:f>
      </x:c>
      <x:c r="G34" s="12" t="str">
        <x:f>IF(H34="","",IF(H34="OK",C34*E34*F34,"Pendente"))</x:f>
      </x:c>
      <x:c r="H34" s="2" t="str">
        <x:f>IF(COUNTA(A34:D34,I34:L34)=0,"",IF(AND(COUNTIF(Tipos!$A$7:$A$52,A34)=1,B34&lt;&gt;"",ISNUMBER(C34),C34&lt;&gt;0,C34=INT(C34),ISNUMBER(F34),ISNUMBER(E34),E34&gt;0,I34&lt;&gt;"",J34&lt;&gt;""),"OK","Pendente"))</x:f>
      </x:c>
      <x:c r="I34" s="10"/>
      <x:c r="J34" s="10"/>
      <x:c r="K34" s="25"/>
      <x:c r="L34" s="27"/>
    </x:row>
    <x:row r="35" ht="25" customHeight="1">
      <x:c r="A35" s="10"/>
      <x:c r="B35" s="10"/>
      <x:c r="C35" s="11"/>
      <x:c r="D35" s="11"/>
      <x:c r="E35" s="26" t="str">
        <x:f>IF(K35="","",IF(K35="Livre",IF(AND(ISNUMBER(L35),L35&gt;0),L35,"Pendente"),IF(K35="Emenda 50Ø",IF(AND(ISNUMBER(D35),D35&gt;0),'Pormenores PDF'!$B$13*D35/1000,"Pendente"),IF(K35="Segmento 0,30 m",'Pormenores PDF'!$B$14,IF(K35="Segmento 0,50 m",'Pormenores PDF'!$B$16,"Pendente")))))</x:f>
      </x:c>
      <x:c r="F35" s="12" t="str">
        <x:f>IF(D35="","",IF(COUNTIF('Como utilizar'!$D$7:$D$14,D35)=0,"Pendente",VLOOKUP(D35,'Como utilizar'!$D$7:$E$14,2,FALSE)))</x:f>
      </x:c>
      <x:c r="G35" s="12" t="str">
        <x:f>IF(H35="","",IF(H35="OK",C35*E35*F35,"Pendente"))</x:f>
      </x:c>
      <x:c r="H35" s="2" t="str">
        <x:f>IF(COUNTA(A35:D35,I35:L35)=0,"",IF(AND(COUNTIF(Tipos!$A$7:$A$52,A35)=1,B35&lt;&gt;"",ISNUMBER(C35),C35&lt;&gt;0,C35=INT(C35),ISNUMBER(F35),ISNUMBER(E35),E35&gt;0,I35&lt;&gt;"",J35&lt;&gt;""),"OK","Pendente"))</x:f>
      </x:c>
      <x:c r="I35" s="10"/>
      <x:c r="J35" s="10"/>
      <x:c r="K35" s="25"/>
      <x:c r="L35" s="27"/>
    </x:row>
    <x:row r="36" ht="25" customHeight="1">
      <x:c r="A36" s="10"/>
      <x:c r="B36" s="10"/>
      <x:c r="C36" s="11"/>
      <x:c r="D36" s="11"/>
      <x:c r="E36" s="26" t="str">
        <x:f>IF(K36="","",IF(K36="Livre",IF(AND(ISNUMBER(L36),L36&gt;0),L36,"Pendente"),IF(K36="Emenda 50Ø",IF(AND(ISNUMBER(D36),D36&gt;0),'Pormenores PDF'!$B$13*D36/1000,"Pendente"),IF(K36="Segmento 0,30 m",'Pormenores PDF'!$B$14,IF(K36="Segmento 0,50 m",'Pormenores PDF'!$B$16,"Pendente")))))</x:f>
      </x:c>
      <x:c r="F36" s="12" t="str">
        <x:f>IF(D36="","",IF(COUNTIF('Como utilizar'!$D$7:$D$14,D36)=0,"Pendente",VLOOKUP(D36,'Como utilizar'!$D$7:$E$14,2,FALSE)))</x:f>
      </x:c>
      <x:c r="G36" s="12" t="str">
        <x:f>IF(H36="","",IF(H36="OK",C36*E36*F36,"Pendente"))</x:f>
      </x:c>
      <x:c r="H36" s="2" t="str">
        <x:f>IF(COUNTA(A36:D36,I36:L36)=0,"",IF(AND(COUNTIF(Tipos!$A$7:$A$52,A36)=1,B36&lt;&gt;"",ISNUMBER(C36),C36&lt;&gt;0,C36=INT(C36),ISNUMBER(F36),ISNUMBER(E36),E36&gt;0,I36&lt;&gt;"",J36&lt;&gt;""),"OK","Pendente"))</x:f>
      </x:c>
      <x:c r="I36" s="10"/>
      <x:c r="J36" s="10"/>
      <x:c r="K36" s="25"/>
      <x:c r="L36" s="27"/>
    </x:row>
    <x:row r="37" ht="25" customHeight="1">
      <x:c r="A37" s="10"/>
      <x:c r="B37" s="10"/>
      <x:c r="C37" s="11"/>
      <x:c r="D37" s="11"/>
      <x:c r="E37" s="26" t="str">
        <x:f>IF(K37="","",IF(K37="Livre",IF(AND(ISNUMBER(L37),L37&gt;0),L37,"Pendente"),IF(K37="Emenda 50Ø",IF(AND(ISNUMBER(D37),D37&gt;0),'Pormenores PDF'!$B$13*D37/1000,"Pendente"),IF(K37="Segmento 0,30 m",'Pormenores PDF'!$B$14,IF(K37="Segmento 0,50 m",'Pormenores PDF'!$B$16,"Pendente")))))</x:f>
      </x:c>
      <x:c r="F37" s="12" t="str">
        <x:f>IF(D37="","",IF(COUNTIF('Como utilizar'!$D$7:$D$14,D37)=0,"Pendente",VLOOKUP(D37,'Como utilizar'!$D$7:$E$14,2,FALSE)))</x:f>
      </x:c>
      <x:c r="G37" s="12" t="str">
        <x:f>IF(H37="","",IF(H37="OK",C37*E37*F37,"Pendente"))</x:f>
      </x:c>
      <x:c r="H37" s="2" t="str">
        <x:f>IF(COUNTA(A37:D37,I37:L37)=0,"",IF(AND(COUNTIF(Tipos!$A$7:$A$52,A37)=1,B37&lt;&gt;"",ISNUMBER(C37),C37&lt;&gt;0,C37=INT(C37),ISNUMBER(F37),ISNUMBER(E37),E37&gt;0,I37&lt;&gt;"",J37&lt;&gt;""),"OK","Pendente"))</x:f>
      </x:c>
      <x:c r="I37" s="10"/>
      <x:c r="J37" s="10"/>
      <x:c r="K37" s="25"/>
      <x:c r="L37" s="27"/>
    </x:row>
    <x:row r="38" ht="25" customHeight="1">
      <x:c r="A38" s="10"/>
      <x:c r="B38" s="10"/>
      <x:c r="C38" s="11"/>
      <x:c r="D38" s="11"/>
      <x:c r="E38" s="26" t="str">
        <x:f>IF(K38="","",IF(K38="Livre",IF(AND(ISNUMBER(L38),L38&gt;0),L38,"Pendente"),IF(K38="Emenda 50Ø",IF(AND(ISNUMBER(D38),D38&gt;0),'Pormenores PDF'!$B$13*D38/1000,"Pendente"),IF(K38="Segmento 0,30 m",'Pormenores PDF'!$B$14,IF(K38="Segmento 0,50 m",'Pormenores PDF'!$B$16,"Pendente")))))</x:f>
      </x:c>
      <x:c r="F38" s="12" t="str">
        <x:f>IF(D38="","",IF(COUNTIF('Como utilizar'!$D$7:$D$14,D38)=0,"Pendente",VLOOKUP(D38,'Como utilizar'!$D$7:$E$14,2,FALSE)))</x:f>
      </x:c>
      <x:c r="G38" s="12" t="str">
        <x:f>IF(H38="","",IF(H38="OK",C38*E38*F38,"Pendente"))</x:f>
      </x:c>
      <x:c r="H38" s="2" t="str">
        <x:f>IF(COUNTA(A38:D38,I38:L38)=0,"",IF(AND(COUNTIF(Tipos!$A$7:$A$52,A38)=1,B38&lt;&gt;"",ISNUMBER(C38),C38&lt;&gt;0,C38=INT(C38),ISNUMBER(F38),ISNUMBER(E38),E38&gt;0,I38&lt;&gt;"",J38&lt;&gt;""),"OK","Pendente"))</x:f>
      </x:c>
      <x:c r="I38" s="10"/>
      <x:c r="J38" s="10"/>
      <x:c r="K38" s="25"/>
      <x:c r="L38" s="27"/>
    </x:row>
    <x:row r="39" ht="25" customHeight="1">
      <x:c r="A39" s="10"/>
      <x:c r="B39" s="10"/>
      <x:c r="C39" s="11"/>
      <x:c r="D39" s="11"/>
      <x:c r="E39" s="26" t="str">
        <x:f>IF(K39="","",IF(K39="Livre",IF(AND(ISNUMBER(L39),L39&gt;0),L39,"Pendente"),IF(K39="Emenda 50Ø",IF(AND(ISNUMBER(D39),D39&gt;0),'Pormenores PDF'!$B$13*D39/1000,"Pendente"),IF(K39="Segmento 0,30 m",'Pormenores PDF'!$B$14,IF(K39="Segmento 0,50 m",'Pormenores PDF'!$B$16,"Pendente")))))</x:f>
      </x:c>
      <x:c r="F39" s="12" t="str">
        <x:f>IF(D39="","",IF(COUNTIF('Como utilizar'!$D$7:$D$14,D39)=0,"Pendente",VLOOKUP(D39,'Como utilizar'!$D$7:$E$14,2,FALSE)))</x:f>
      </x:c>
      <x:c r="G39" s="12" t="str">
        <x:f>IF(H39="","",IF(H39="OK",C39*E39*F39,"Pendente"))</x:f>
      </x:c>
      <x:c r="H39" s="2" t="str">
        <x:f>IF(COUNTA(A39:D39,I39:L39)=0,"",IF(AND(COUNTIF(Tipos!$A$7:$A$52,A39)=1,B39&lt;&gt;"",ISNUMBER(C39),C39&lt;&gt;0,C39=INT(C39),ISNUMBER(F39),ISNUMBER(E39),E39&gt;0,I39&lt;&gt;"",J39&lt;&gt;""),"OK","Pendente"))</x:f>
      </x:c>
      <x:c r="I39" s="10"/>
      <x:c r="J39" s="10"/>
      <x:c r="K39" s="25"/>
      <x:c r="L39" s="27"/>
    </x:row>
    <x:row r="40" ht="25" customHeight="1">
      <x:c r="A40" s="10"/>
      <x:c r="B40" s="10"/>
      <x:c r="C40" s="11"/>
      <x:c r="D40" s="11"/>
      <x:c r="E40" s="26" t="str">
        <x:f>IF(K40="","",IF(K40="Livre",IF(AND(ISNUMBER(L40),L40&gt;0),L40,"Pendente"),IF(K40="Emenda 50Ø",IF(AND(ISNUMBER(D40),D40&gt;0),'Pormenores PDF'!$B$13*D40/1000,"Pendente"),IF(K40="Segmento 0,30 m",'Pormenores PDF'!$B$14,IF(K40="Segmento 0,50 m",'Pormenores PDF'!$B$16,"Pendente")))))</x:f>
      </x:c>
      <x:c r="F40" s="12" t="str">
        <x:f>IF(D40="","",IF(COUNTIF('Como utilizar'!$D$7:$D$14,D40)=0,"Pendente",VLOOKUP(D40,'Como utilizar'!$D$7:$E$14,2,FALSE)))</x:f>
      </x:c>
      <x:c r="G40" s="12" t="str">
        <x:f>IF(H40="","",IF(H40="OK",C40*E40*F40,"Pendente"))</x:f>
      </x:c>
      <x:c r="H40" s="2" t="str">
        <x:f>IF(COUNTA(A40:D40,I40:L40)=0,"",IF(AND(COUNTIF(Tipos!$A$7:$A$52,A40)=1,B40&lt;&gt;"",ISNUMBER(C40),C40&lt;&gt;0,C40=INT(C40),ISNUMBER(F40),ISNUMBER(E40),E40&gt;0,I40&lt;&gt;"",J40&lt;&gt;""),"OK","Pendente"))</x:f>
      </x:c>
      <x:c r="I40" s="10"/>
      <x:c r="J40" s="10"/>
      <x:c r="K40" s="25"/>
      <x:c r="L40" s="27"/>
    </x:row>
    <x:row r="41" ht="25" customHeight="1">
      <x:c r="A41" s="10"/>
      <x:c r="B41" s="10"/>
      <x:c r="C41" s="11"/>
      <x:c r="D41" s="11"/>
      <x:c r="E41" s="26" t="str">
        <x:f>IF(K41="","",IF(K41="Livre",IF(AND(ISNUMBER(L41),L41&gt;0),L41,"Pendente"),IF(K41="Emenda 50Ø",IF(AND(ISNUMBER(D41),D41&gt;0),'Pormenores PDF'!$B$13*D41/1000,"Pendente"),IF(K41="Segmento 0,30 m",'Pormenores PDF'!$B$14,IF(K41="Segmento 0,50 m",'Pormenores PDF'!$B$16,"Pendente")))))</x:f>
      </x:c>
      <x:c r="F41" s="12" t="str">
        <x:f>IF(D41="","",IF(COUNTIF('Como utilizar'!$D$7:$D$14,D41)=0,"Pendente",VLOOKUP(D41,'Como utilizar'!$D$7:$E$14,2,FALSE)))</x:f>
      </x:c>
      <x:c r="G41" s="12" t="str">
        <x:f>IF(H41="","",IF(H41="OK",C41*E41*F41,"Pendente"))</x:f>
      </x:c>
      <x:c r="H41" s="2" t="str">
        <x:f>IF(COUNTA(A41:D41,I41:L41)=0,"",IF(AND(COUNTIF(Tipos!$A$7:$A$52,A41)=1,B41&lt;&gt;"",ISNUMBER(C41),C41&lt;&gt;0,C41=INT(C41),ISNUMBER(F41),ISNUMBER(E41),E41&gt;0,I41&lt;&gt;"",J41&lt;&gt;""),"OK","Pendente"))</x:f>
      </x:c>
      <x:c r="I41" s="10"/>
      <x:c r="J41" s="10"/>
      <x:c r="K41" s="25"/>
      <x:c r="L41" s="27"/>
    </x:row>
    <x:row r="42" ht="25" customHeight="1">
      <x:c r="A42" s="10"/>
      <x:c r="B42" s="10"/>
      <x:c r="C42" s="11"/>
      <x:c r="D42" s="11"/>
      <x:c r="E42" s="26" t="str">
        <x:f>IF(K42="","",IF(K42="Livre",IF(AND(ISNUMBER(L42),L42&gt;0),L42,"Pendente"),IF(K42="Emenda 50Ø",IF(AND(ISNUMBER(D42),D42&gt;0),'Pormenores PDF'!$B$13*D42/1000,"Pendente"),IF(K42="Segmento 0,30 m",'Pormenores PDF'!$B$14,IF(K42="Segmento 0,50 m",'Pormenores PDF'!$B$16,"Pendente")))))</x:f>
      </x:c>
      <x:c r="F42" s="12" t="str">
        <x:f>IF(D42="","",IF(COUNTIF('Como utilizar'!$D$7:$D$14,D42)=0,"Pendente",VLOOKUP(D42,'Como utilizar'!$D$7:$E$14,2,FALSE)))</x:f>
      </x:c>
      <x:c r="G42" s="12" t="str">
        <x:f>IF(H42="","",IF(H42="OK",C42*E42*F42,"Pendente"))</x:f>
      </x:c>
      <x:c r="H42" s="2" t="str">
        <x:f>IF(COUNTA(A42:D42,I42:L42)=0,"",IF(AND(COUNTIF(Tipos!$A$7:$A$52,A42)=1,B42&lt;&gt;"",ISNUMBER(C42),C42&lt;&gt;0,C42=INT(C42),ISNUMBER(F42),ISNUMBER(E42),E42&gt;0,I42&lt;&gt;"",J42&lt;&gt;""),"OK","Pendente"))</x:f>
      </x:c>
      <x:c r="I42" s="10"/>
      <x:c r="J42" s="10"/>
      <x:c r="K42" s="25"/>
      <x:c r="L42" s="27"/>
    </x:row>
    <x:row r="43" ht="25" customHeight="1">
      <x:c r="A43" s="10"/>
      <x:c r="B43" s="10"/>
      <x:c r="C43" s="11"/>
      <x:c r="D43" s="11"/>
      <x:c r="E43" s="26" t="str">
        <x:f>IF(K43="","",IF(K43="Livre",IF(AND(ISNUMBER(L43),L43&gt;0),L43,"Pendente"),IF(K43="Emenda 50Ø",IF(AND(ISNUMBER(D43),D43&gt;0),'Pormenores PDF'!$B$13*D43/1000,"Pendente"),IF(K43="Segmento 0,30 m",'Pormenores PDF'!$B$14,IF(K43="Segmento 0,50 m",'Pormenores PDF'!$B$16,"Pendente")))))</x:f>
      </x:c>
      <x:c r="F43" s="12" t="str">
        <x:f>IF(D43="","",IF(COUNTIF('Como utilizar'!$D$7:$D$14,D43)=0,"Pendente",VLOOKUP(D43,'Como utilizar'!$D$7:$E$14,2,FALSE)))</x:f>
      </x:c>
      <x:c r="G43" s="12" t="str">
        <x:f>IF(H43="","",IF(H43="OK",C43*E43*F43,"Pendente"))</x:f>
      </x:c>
      <x:c r="H43" s="2" t="str">
        <x:f>IF(COUNTA(A43:D43,I43:L43)=0,"",IF(AND(COUNTIF(Tipos!$A$7:$A$52,A43)=1,B43&lt;&gt;"",ISNUMBER(C43),C43&lt;&gt;0,C43=INT(C43),ISNUMBER(F43),ISNUMBER(E43),E43&gt;0,I43&lt;&gt;"",J43&lt;&gt;""),"OK","Pendente"))</x:f>
      </x:c>
      <x:c r="I43" s="10"/>
      <x:c r="J43" s="10"/>
      <x:c r="K43" s="25"/>
      <x:c r="L43" s="27"/>
    </x:row>
    <x:row r="44" ht="25" customHeight="1">
      <x:c r="A44" s="10"/>
      <x:c r="B44" s="10"/>
      <x:c r="C44" s="11"/>
      <x:c r="D44" s="11"/>
      <x:c r="E44" s="26" t="str">
        <x:f>IF(K44="","",IF(K44="Livre",IF(AND(ISNUMBER(L44),L44&gt;0),L44,"Pendente"),IF(K44="Emenda 50Ø",IF(AND(ISNUMBER(D44),D44&gt;0),'Pormenores PDF'!$B$13*D44/1000,"Pendente"),IF(K44="Segmento 0,30 m",'Pormenores PDF'!$B$14,IF(K44="Segmento 0,50 m",'Pormenores PDF'!$B$16,"Pendente")))))</x:f>
      </x:c>
      <x:c r="F44" s="12" t="str">
        <x:f>IF(D44="","",IF(COUNTIF('Como utilizar'!$D$7:$D$14,D44)=0,"Pendente",VLOOKUP(D44,'Como utilizar'!$D$7:$E$14,2,FALSE)))</x:f>
      </x:c>
      <x:c r="G44" s="12" t="str">
        <x:f>IF(H44="","",IF(H44="OK",C44*E44*F44,"Pendente"))</x:f>
      </x:c>
      <x:c r="H44" s="2" t="str">
        <x:f>IF(COUNTA(A44:D44,I44:L44)=0,"",IF(AND(COUNTIF(Tipos!$A$7:$A$52,A44)=1,B44&lt;&gt;"",ISNUMBER(C44),C44&lt;&gt;0,C44=INT(C44),ISNUMBER(F44),ISNUMBER(E44),E44&gt;0,I44&lt;&gt;"",J44&lt;&gt;""),"OK","Pendente"))</x:f>
      </x:c>
      <x:c r="I44" s="10"/>
      <x:c r="J44" s="10"/>
      <x:c r="K44" s="25"/>
      <x:c r="L44" s="27"/>
    </x:row>
    <x:row r="45" ht="25" customHeight="1">
      <x:c r="A45" s="10"/>
      <x:c r="B45" s="10"/>
      <x:c r="C45" s="11"/>
      <x:c r="D45" s="11"/>
      <x:c r="E45" s="26" t="str">
        <x:f>IF(K45="","",IF(K45="Livre",IF(AND(ISNUMBER(L45),L45&gt;0),L45,"Pendente"),IF(K45="Emenda 50Ø",IF(AND(ISNUMBER(D45),D45&gt;0),'Pormenores PDF'!$B$13*D45/1000,"Pendente"),IF(K45="Segmento 0,30 m",'Pormenores PDF'!$B$14,IF(K45="Segmento 0,50 m",'Pormenores PDF'!$B$16,"Pendente")))))</x:f>
      </x:c>
      <x:c r="F45" s="12" t="str">
        <x:f>IF(D45="","",IF(COUNTIF('Como utilizar'!$D$7:$D$14,D45)=0,"Pendente",VLOOKUP(D45,'Como utilizar'!$D$7:$E$14,2,FALSE)))</x:f>
      </x:c>
      <x:c r="G45" s="12" t="str">
        <x:f>IF(H45="","",IF(H45="OK",C45*E45*F45,"Pendente"))</x:f>
      </x:c>
      <x:c r="H45" s="2" t="str">
        <x:f>IF(COUNTA(A45:D45,I45:L45)=0,"",IF(AND(COUNTIF(Tipos!$A$7:$A$52,A45)=1,B45&lt;&gt;"",ISNUMBER(C45),C45&lt;&gt;0,C45=INT(C45),ISNUMBER(F45),ISNUMBER(E45),E45&gt;0,I45&lt;&gt;"",J45&lt;&gt;""),"OK","Pendente"))</x:f>
      </x:c>
      <x:c r="I45" s="10"/>
      <x:c r="J45" s="10"/>
      <x:c r="K45" s="25"/>
      <x:c r="L45" s="27"/>
    </x:row>
    <x:row r="46" ht="25" customHeight="1">
      <x:c r="A46" s="10"/>
      <x:c r="B46" s="10"/>
      <x:c r="C46" s="11"/>
      <x:c r="D46" s="11"/>
      <x:c r="E46" s="26" t="str">
        <x:f>IF(K46="","",IF(K46="Livre",IF(AND(ISNUMBER(L46),L46&gt;0),L46,"Pendente"),IF(K46="Emenda 50Ø",IF(AND(ISNUMBER(D46),D46&gt;0),'Pormenores PDF'!$B$13*D46/1000,"Pendente"),IF(K46="Segmento 0,30 m",'Pormenores PDF'!$B$14,IF(K46="Segmento 0,50 m",'Pormenores PDF'!$B$16,"Pendente")))))</x:f>
      </x:c>
      <x:c r="F46" s="12" t="str">
        <x:f>IF(D46="","",IF(COUNTIF('Como utilizar'!$D$7:$D$14,D46)=0,"Pendente",VLOOKUP(D46,'Como utilizar'!$D$7:$E$14,2,FALSE)))</x:f>
      </x:c>
      <x:c r="G46" s="12" t="str">
        <x:f>IF(H46="","",IF(H46="OK",C46*E46*F46,"Pendente"))</x:f>
      </x:c>
      <x:c r="H46" s="2" t="str">
        <x:f>IF(COUNTA(A46:D46,I46:L46)=0,"",IF(AND(COUNTIF(Tipos!$A$7:$A$52,A46)=1,B46&lt;&gt;"",ISNUMBER(C46),C46&lt;&gt;0,C46=INT(C46),ISNUMBER(F46),ISNUMBER(E46),E46&gt;0,I46&lt;&gt;"",J46&lt;&gt;""),"OK","Pendente"))</x:f>
      </x:c>
      <x:c r="I46" s="10"/>
      <x:c r="J46" s="10"/>
      <x:c r="K46" s="25"/>
      <x:c r="L46" s="27"/>
    </x:row>
    <x:row r="47" ht="25" customHeight="1">
      <x:c r="A47" s="10"/>
      <x:c r="B47" s="10"/>
      <x:c r="C47" s="11"/>
      <x:c r="D47" s="11"/>
      <x:c r="E47" s="26" t="str">
        <x:f>IF(K47="","",IF(K47="Livre",IF(AND(ISNUMBER(L47),L47&gt;0),L47,"Pendente"),IF(K47="Emenda 50Ø",IF(AND(ISNUMBER(D47),D47&gt;0),'Pormenores PDF'!$B$13*D47/1000,"Pendente"),IF(K47="Segmento 0,30 m",'Pormenores PDF'!$B$14,IF(K47="Segmento 0,50 m",'Pormenores PDF'!$B$16,"Pendente")))))</x:f>
      </x:c>
      <x:c r="F47" s="12" t="str">
        <x:f>IF(D47="","",IF(COUNTIF('Como utilizar'!$D$7:$D$14,D47)=0,"Pendente",VLOOKUP(D47,'Como utilizar'!$D$7:$E$14,2,FALSE)))</x:f>
      </x:c>
      <x:c r="G47" s="12" t="str">
        <x:f>IF(H47="","",IF(H47="OK",C47*E47*F47,"Pendente"))</x:f>
      </x:c>
      <x:c r="H47" s="2" t="str">
        <x:f>IF(COUNTA(A47:D47,I47:L47)=0,"",IF(AND(COUNTIF(Tipos!$A$7:$A$52,A47)=1,B47&lt;&gt;"",ISNUMBER(C47),C47&lt;&gt;0,C47=INT(C47),ISNUMBER(F47),ISNUMBER(E47),E47&gt;0,I47&lt;&gt;"",J47&lt;&gt;""),"OK","Pendente"))</x:f>
      </x:c>
      <x:c r="I47" s="10"/>
      <x:c r="J47" s="10"/>
      <x:c r="K47" s="25"/>
      <x:c r="L47" s="27"/>
    </x:row>
    <x:row r="48" ht="25" customHeight="1">
      <x:c r="A48" s="10"/>
      <x:c r="B48" s="10"/>
      <x:c r="C48" s="11"/>
      <x:c r="D48" s="11"/>
      <x:c r="E48" s="26" t="str">
        <x:f>IF(K48="","",IF(K48="Livre",IF(AND(ISNUMBER(L48),L48&gt;0),L48,"Pendente"),IF(K48="Emenda 50Ø",IF(AND(ISNUMBER(D48),D48&gt;0),'Pormenores PDF'!$B$13*D48/1000,"Pendente"),IF(K48="Segmento 0,30 m",'Pormenores PDF'!$B$14,IF(K48="Segmento 0,50 m",'Pormenores PDF'!$B$16,"Pendente")))))</x:f>
      </x:c>
      <x:c r="F48" s="12" t="str">
        <x:f>IF(D48="","",IF(COUNTIF('Como utilizar'!$D$7:$D$14,D48)=0,"Pendente",VLOOKUP(D48,'Como utilizar'!$D$7:$E$14,2,FALSE)))</x:f>
      </x:c>
      <x:c r="G48" s="12" t="str">
        <x:f>IF(H48="","",IF(H48="OK",C48*E48*F48,"Pendente"))</x:f>
      </x:c>
      <x:c r="H48" s="2" t="str">
        <x:f>IF(COUNTA(A48:D48,I48:L48)=0,"",IF(AND(COUNTIF(Tipos!$A$7:$A$52,A48)=1,B48&lt;&gt;"",ISNUMBER(C48),C48&lt;&gt;0,C48=INT(C48),ISNUMBER(F48),ISNUMBER(E48),E48&gt;0,I48&lt;&gt;"",J48&lt;&gt;""),"OK","Pendente"))</x:f>
      </x:c>
      <x:c r="I48" s="10"/>
      <x:c r="J48" s="10"/>
      <x:c r="K48" s="25"/>
      <x:c r="L48" s="27"/>
    </x:row>
    <x:row r="49" ht="25" customHeight="1">
      <x:c r="A49" s="10"/>
      <x:c r="B49" s="10"/>
      <x:c r="C49" s="11"/>
      <x:c r="D49" s="11"/>
      <x:c r="E49" s="26" t="str">
        <x:f>IF(K49="","",IF(K49="Livre",IF(AND(ISNUMBER(L49),L49&gt;0),L49,"Pendente"),IF(K49="Emenda 50Ø",IF(AND(ISNUMBER(D49),D49&gt;0),'Pormenores PDF'!$B$13*D49/1000,"Pendente"),IF(K49="Segmento 0,30 m",'Pormenores PDF'!$B$14,IF(K49="Segmento 0,50 m",'Pormenores PDF'!$B$16,"Pendente")))))</x:f>
      </x:c>
      <x:c r="F49" s="12" t="str">
        <x:f>IF(D49="","",IF(COUNTIF('Como utilizar'!$D$7:$D$14,D49)=0,"Pendente",VLOOKUP(D49,'Como utilizar'!$D$7:$E$14,2,FALSE)))</x:f>
      </x:c>
      <x:c r="G49" s="12" t="str">
        <x:f>IF(H49="","",IF(H49="OK",C49*E49*F49,"Pendente"))</x:f>
      </x:c>
      <x:c r="H49" s="2" t="str">
        <x:f>IF(COUNTA(A49:D49,I49:L49)=0,"",IF(AND(COUNTIF(Tipos!$A$7:$A$52,A49)=1,B49&lt;&gt;"",ISNUMBER(C49),C49&lt;&gt;0,C49=INT(C49),ISNUMBER(F49),ISNUMBER(E49),E49&gt;0,I49&lt;&gt;"",J49&lt;&gt;""),"OK","Pendente"))</x:f>
      </x:c>
      <x:c r="I49" s="10"/>
      <x:c r="J49" s="10"/>
      <x:c r="K49" s="25"/>
      <x:c r="L49" s="27"/>
    </x:row>
    <x:row r="50" ht="25" customHeight="1">
      <x:c r="A50" s="10"/>
      <x:c r="B50" s="10"/>
      <x:c r="C50" s="11"/>
      <x:c r="D50" s="11"/>
      <x:c r="E50" s="26" t="str">
        <x:f>IF(K50="","",IF(K50="Livre",IF(AND(ISNUMBER(L50),L50&gt;0),L50,"Pendente"),IF(K50="Emenda 50Ø",IF(AND(ISNUMBER(D50),D50&gt;0),'Pormenores PDF'!$B$13*D50/1000,"Pendente"),IF(K50="Segmento 0,30 m",'Pormenores PDF'!$B$14,IF(K50="Segmento 0,50 m",'Pormenores PDF'!$B$16,"Pendente")))))</x:f>
      </x:c>
      <x:c r="F50" s="12" t="str">
        <x:f>IF(D50="","",IF(COUNTIF('Como utilizar'!$D$7:$D$14,D50)=0,"Pendente",VLOOKUP(D50,'Como utilizar'!$D$7:$E$14,2,FALSE)))</x:f>
      </x:c>
      <x:c r="G50" s="12" t="str">
        <x:f>IF(H50="","",IF(H50="OK",C50*E50*F50,"Pendente"))</x:f>
      </x:c>
      <x:c r="H50" s="2" t="str">
        <x:f>IF(COUNTA(A50:D50,I50:L50)=0,"",IF(AND(COUNTIF(Tipos!$A$7:$A$52,A50)=1,B50&lt;&gt;"",ISNUMBER(C50),C50&lt;&gt;0,C50=INT(C50),ISNUMBER(F50),ISNUMBER(E50),E50&gt;0,I50&lt;&gt;"",J50&lt;&gt;""),"OK","Pendente"))</x:f>
      </x:c>
      <x:c r="I50" s="10"/>
      <x:c r="J50" s="10"/>
      <x:c r="K50" s="25"/>
      <x:c r="L50" s="27"/>
    </x:row>
    <x:row r="51" ht="25" customHeight="1">
      <x:c r="A51" s="10"/>
      <x:c r="B51" s="10"/>
      <x:c r="C51" s="11"/>
      <x:c r="D51" s="11"/>
      <x:c r="E51" s="26" t="str">
        <x:f>IF(K51="","",IF(K51="Livre",IF(AND(ISNUMBER(L51),L51&gt;0),L51,"Pendente"),IF(K51="Emenda 50Ø",IF(AND(ISNUMBER(D51),D51&gt;0),'Pormenores PDF'!$B$13*D51/1000,"Pendente"),IF(K51="Segmento 0,30 m",'Pormenores PDF'!$B$14,IF(K51="Segmento 0,50 m",'Pormenores PDF'!$B$16,"Pendente")))))</x:f>
      </x:c>
      <x:c r="F51" s="12" t="str">
        <x:f>IF(D51="","",IF(COUNTIF('Como utilizar'!$D$7:$D$14,D51)=0,"Pendente",VLOOKUP(D51,'Como utilizar'!$D$7:$E$14,2,FALSE)))</x:f>
      </x:c>
      <x:c r="G51" s="12" t="str">
        <x:f>IF(H51="","",IF(H51="OK",C51*E51*F51,"Pendente"))</x:f>
      </x:c>
      <x:c r="H51" s="2" t="str">
        <x:f>IF(COUNTA(A51:D51,I51:L51)=0,"",IF(AND(COUNTIF(Tipos!$A$7:$A$52,A51)=1,B51&lt;&gt;"",ISNUMBER(C51),C51&lt;&gt;0,C51=INT(C51),ISNUMBER(F51),ISNUMBER(E51),E51&gt;0,I51&lt;&gt;"",J51&lt;&gt;""),"OK","Pendente"))</x:f>
      </x:c>
      <x:c r="I51" s="10"/>
      <x:c r="J51" s="10"/>
      <x:c r="K51" s="25"/>
      <x:c r="L51" s="27"/>
    </x:row>
    <x:row r="52" ht="25" customHeight="1">
      <x:c r="A52" s="10"/>
      <x:c r="B52" s="10"/>
      <x:c r="C52" s="11"/>
      <x:c r="D52" s="11"/>
      <x:c r="E52" s="26" t="str">
        <x:f>IF(K52="","",IF(K52="Livre",IF(AND(ISNUMBER(L52),L52&gt;0),L52,"Pendente"),IF(K52="Emenda 50Ø",IF(AND(ISNUMBER(D52),D52&gt;0),'Pormenores PDF'!$B$13*D52/1000,"Pendente"),IF(K52="Segmento 0,30 m",'Pormenores PDF'!$B$14,IF(K52="Segmento 0,50 m",'Pormenores PDF'!$B$16,"Pendente")))))</x:f>
      </x:c>
      <x:c r="F52" s="12" t="str">
        <x:f>IF(D52="","",IF(COUNTIF('Como utilizar'!$D$7:$D$14,D52)=0,"Pendente",VLOOKUP(D52,'Como utilizar'!$D$7:$E$14,2,FALSE)))</x:f>
      </x:c>
      <x:c r="G52" s="12" t="str">
        <x:f>IF(H52="","",IF(H52="OK",C52*E52*F52,"Pendente"))</x:f>
      </x:c>
      <x:c r="H52" s="2" t="str">
        <x:f>IF(COUNTA(A52:D52,I52:L52)=0,"",IF(AND(COUNTIF(Tipos!$A$7:$A$52,A52)=1,B52&lt;&gt;"",ISNUMBER(C52),C52&lt;&gt;0,C52=INT(C52),ISNUMBER(F52),ISNUMBER(E52),E52&gt;0,I52&lt;&gt;"",J52&lt;&gt;""),"OK","Pendente"))</x:f>
      </x:c>
      <x:c r="I52" s="10"/>
      <x:c r="J52" s="10"/>
      <x:c r="K52" s="25"/>
      <x:c r="L52" s="27"/>
    </x:row>
    <x:row r="53" ht="25" customHeight="1">
      <x:c r="A53" s="10"/>
      <x:c r="B53" s="10"/>
      <x:c r="C53" s="11"/>
      <x:c r="D53" s="11"/>
      <x:c r="E53" s="26" t="str">
        <x:f>IF(K53="","",IF(K53="Livre",IF(AND(ISNUMBER(L53),L53&gt;0),L53,"Pendente"),IF(K53="Emenda 50Ø",IF(AND(ISNUMBER(D53),D53&gt;0),'Pormenores PDF'!$B$13*D53/1000,"Pendente"),IF(K53="Segmento 0,30 m",'Pormenores PDF'!$B$14,IF(K53="Segmento 0,50 m",'Pormenores PDF'!$B$16,"Pendente")))))</x:f>
      </x:c>
      <x:c r="F53" s="12" t="str">
        <x:f>IF(D53="","",IF(COUNTIF('Como utilizar'!$D$7:$D$14,D53)=0,"Pendente",VLOOKUP(D53,'Como utilizar'!$D$7:$E$14,2,FALSE)))</x:f>
      </x:c>
      <x:c r="G53" s="12" t="str">
        <x:f>IF(H53="","",IF(H53="OK",C53*E53*F53,"Pendente"))</x:f>
      </x:c>
      <x:c r="H53" s="2" t="str">
        <x:f>IF(COUNTA(A53:D53,I53:L53)=0,"",IF(AND(COUNTIF(Tipos!$A$7:$A$52,A53)=1,B53&lt;&gt;"",ISNUMBER(C53),C53&lt;&gt;0,C53=INT(C53),ISNUMBER(F53),ISNUMBER(E53),E53&gt;0,I53&lt;&gt;"",J53&lt;&gt;""),"OK","Pendente"))</x:f>
      </x:c>
      <x:c r="I53" s="10"/>
      <x:c r="J53" s="10"/>
      <x:c r="K53" s="25"/>
      <x:c r="L53" s="27"/>
    </x:row>
    <x:row r="54" ht="25" customHeight="1">
      <x:c r="A54" s="10"/>
      <x:c r="B54" s="10"/>
      <x:c r="C54" s="11"/>
      <x:c r="D54" s="11"/>
      <x:c r="E54" s="26" t="str">
        <x:f>IF(K54="","",IF(K54="Livre",IF(AND(ISNUMBER(L54),L54&gt;0),L54,"Pendente"),IF(K54="Emenda 50Ø",IF(AND(ISNUMBER(D54),D54&gt;0),'Pormenores PDF'!$B$13*D54/1000,"Pendente"),IF(K54="Segmento 0,30 m",'Pormenores PDF'!$B$14,IF(K54="Segmento 0,50 m",'Pormenores PDF'!$B$16,"Pendente")))))</x:f>
      </x:c>
      <x:c r="F54" s="12" t="str">
        <x:f>IF(D54="","",IF(COUNTIF('Como utilizar'!$D$7:$D$14,D54)=0,"Pendente",VLOOKUP(D54,'Como utilizar'!$D$7:$E$14,2,FALSE)))</x:f>
      </x:c>
      <x:c r="G54" s="12" t="str">
        <x:f>IF(H54="","",IF(H54="OK",C54*E54*F54,"Pendente"))</x:f>
      </x:c>
      <x:c r="H54" s="2" t="str">
        <x:f>IF(COUNTA(A54:D54,I54:L54)=0,"",IF(AND(COUNTIF(Tipos!$A$7:$A$52,A54)=1,B54&lt;&gt;"",ISNUMBER(C54),C54&lt;&gt;0,C54=INT(C54),ISNUMBER(F54),ISNUMBER(E54),E54&gt;0,I54&lt;&gt;"",J54&lt;&gt;""),"OK","Pendente"))</x:f>
      </x:c>
      <x:c r="I54" s="10"/>
      <x:c r="J54" s="10"/>
      <x:c r="K54" s="25"/>
      <x:c r="L54" s="27"/>
    </x:row>
    <x:row r="55" ht="25" customHeight="1">
      <x:c r="A55" s="10"/>
      <x:c r="B55" s="10"/>
      <x:c r="C55" s="11"/>
      <x:c r="D55" s="11"/>
      <x:c r="E55" s="26" t="str">
        <x:f>IF(K55="","",IF(K55="Livre",IF(AND(ISNUMBER(L55),L55&gt;0),L55,"Pendente"),IF(K55="Emenda 50Ø",IF(AND(ISNUMBER(D55),D55&gt;0),'Pormenores PDF'!$B$13*D55/1000,"Pendente"),IF(K55="Segmento 0,30 m",'Pormenores PDF'!$B$14,IF(K55="Segmento 0,50 m",'Pormenores PDF'!$B$16,"Pendente")))))</x:f>
      </x:c>
      <x:c r="F55" s="12" t="str">
        <x:f>IF(D55="","",IF(COUNTIF('Como utilizar'!$D$7:$D$14,D55)=0,"Pendente",VLOOKUP(D55,'Como utilizar'!$D$7:$E$14,2,FALSE)))</x:f>
      </x:c>
      <x:c r="G55" s="12" t="str">
        <x:f>IF(H55="","",IF(H55="OK",C55*E55*F55,"Pendente"))</x:f>
      </x:c>
      <x:c r="H55" s="2" t="str">
        <x:f>IF(COUNTA(A55:D55,I55:L55)=0,"",IF(AND(COUNTIF(Tipos!$A$7:$A$52,A55)=1,B55&lt;&gt;"",ISNUMBER(C55),C55&lt;&gt;0,C55=INT(C55),ISNUMBER(F55),ISNUMBER(E55),E55&gt;0,I55&lt;&gt;"",J55&lt;&gt;""),"OK","Pendente"))</x:f>
      </x:c>
      <x:c r="I55" s="10"/>
      <x:c r="J55" s="10"/>
      <x:c r="K55" s="25"/>
      <x:c r="L55" s="27"/>
    </x:row>
    <x:row r="56" ht="25" customHeight="1">
      <x:c r="A56" s="10"/>
      <x:c r="B56" s="10"/>
      <x:c r="C56" s="11"/>
      <x:c r="D56" s="11"/>
      <x:c r="E56" s="26" t="str">
        <x:f>IF(K56="","",IF(K56="Livre",IF(AND(ISNUMBER(L56),L56&gt;0),L56,"Pendente"),IF(K56="Emenda 50Ø",IF(AND(ISNUMBER(D56),D56&gt;0),'Pormenores PDF'!$B$13*D56/1000,"Pendente"),IF(K56="Segmento 0,30 m",'Pormenores PDF'!$B$14,IF(K56="Segmento 0,50 m",'Pormenores PDF'!$B$16,"Pendente")))))</x:f>
      </x:c>
      <x:c r="F56" s="12" t="str">
        <x:f>IF(D56="","",IF(COUNTIF('Como utilizar'!$D$7:$D$14,D56)=0,"Pendente",VLOOKUP(D56,'Como utilizar'!$D$7:$E$14,2,FALSE)))</x:f>
      </x:c>
      <x:c r="G56" s="12" t="str">
        <x:f>IF(H56="","",IF(H56="OK",C56*E56*F56,"Pendente"))</x:f>
      </x:c>
      <x:c r="H56" s="2" t="str">
        <x:f>IF(COUNTA(A56:D56,I56:L56)=0,"",IF(AND(COUNTIF(Tipos!$A$7:$A$52,A56)=1,B56&lt;&gt;"",ISNUMBER(C56),C56&lt;&gt;0,C56=INT(C56),ISNUMBER(F56),ISNUMBER(E56),E56&gt;0,I56&lt;&gt;"",J56&lt;&gt;""),"OK","Pendente"))</x:f>
      </x:c>
      <x:c r="I56" s="10"/>
      <x:c r="J56" s="10"/>
      <x:c r="K56" s="25"/>
      <x:c r="L56" s="27"/>
    </x:row>
    <x:row r="57" ht="25" customHeight="1">
      <x:c r="A57" s="10"/>
      <x:c r="B57" s="10"/>
      <x:c r="C57" s="11"/>
      <x:c r="D57" s="11"/>
      <x:c r="E57" s="26" t="str">
        <x:f>IF(K57="","",IF(K57="Livre",IF(AND(ISNUMBER(L57),L57&gt;0),L57,"Pendente"),IF(K57="Emenda 50Ø",IF(AND(ISNUMBER(D57),D57&gt;0),'Pormenores PDF'!$B$13*D57/1000,"Pendente"),IF(K57="Segmento 0,30 m",'Pormenores PDF'!$B$14,IF(K57="Segmento 0,50 m",'Pormenores PDF'!$B$16,"Pendente")))))</x:f>
      </x:c>
      <x:c r="F57" s="12" t="str">
        <x:f>IF(D57="","",IF(COUNTIF('Como utilizar'!$D$7:$D$14,D57)=0,"Pendente",VLOOKUP(D57,'Como utilizar'!$D$7:$E$14,2,FALSE)))</x:f>
      </x:c>
      <x:c r="G57" s="12" t="str">
        <x:f>IF(H57="","",IF(H57="OK",C57*E57*F57,"Pendente"))</x:f>
      </x:c>
      <x:c r="H57" s="2" t="str">
        <x:f>IF(COUNTA(A57:D57,I57:L57)=0,"",IF(AND(COUNTIF(Tipos!$A$7:$A$52,A57)=1,B57&lt;&gt;"",ISNUMBER(C57),C57&lt;&gt;0,C57=INT(C57),ISNUMBER(F57),ISNUMBER(E57),E57&gt;0,I57&lt;&gt;"",J57&lt;&gt;""),"OK","Pendente"))</x:f>
      </x:c>
      <x:c r="I57" s="10"/>
      <x:c r="J57" s="10"/>
      <x:c r="K57" s="25"/>
      <x:c r="L57" s="27"/>
    </x:row>
    <x:row r="58" ht="25" customHeight="1">
      <x:c r="A58" s="10"/>
      <x:c r="B58" s="10"/>
      <x:c r="C58" s="11"/>
      <x:c r="D58" s="11"/>
      <x:c r="E58" s="26" t="str">
        <x:f>IF(K58="","",IF(K58="Livre",IF(AND(ISNUMBER(L58),L58&gt;0),L58,"Pendente"),IF(K58="Emenda 50Ø",IF(AND(ISNUMBER(D58),D58&gt;0),'Pormenores PDF'!$B$13*D58/1000,"Pendente"),IF(K58="Segmento 0,30 m",'Pormenores PDF'!$B$14,IF(K58="Segmento 0,50 m",'Pormenores PDF'!$B$16,"Pendente")))))</x:f>
      </x:c>
      <x:c r="F58" s="12" t="str">
        <x:f>IF(D58="","",IF(COUNTIF('Como utilizar'!$D$7:$D$14,D58)=0,"Pendente",VLOOKUP(D58,'Como utilizar'!$D$7:$E$14,2,FALSE)))</x:f>
      </x:c>
      <x:c r="G58" s="12" t="str">
        <x:f>IF(H58="","",IF(H58="OK",C58*E58*F58,"Pendente"))</x:f>
      </x:c>
      <x:c r="H58" s="2" t="str">
        <x:f>IF(COUNTA(A58:D58,I58:L58)=0,"",IF(AND(COUNTIF(Tipos!$A$7:$A$52,A58)=1,B58&lt;&gt;"",ISNUMBER(C58),C58&lt;&gt;0,C58=INT(C58),ISNUMBER(F58),ISNUMBER(E58),E58&gt;0,I58&lt;&gt;"",J58&lt;&gt;""),"OK","Pendente"))</x:f>
      </x:c>
      <x:c r="I58" s="10"/>
      <x:c r="J58" s="10"/>
      <x:c r="K58" s="25"/>
      <x:c r="L58" s="27"/>
    </x:row>
    <x:row r="59" ht="25" customHeight="1">
      <x:c r="A59" s="10"/>
      <x:c r="B59" s="10"/>
      <x:c r="C59" s="11"/>
      <x:c r="D59" s="11"/>
      <x:c r="E59" s="26" t="str">
        <x:f>IF(K59="","",IF(K59="Livre",IF(AND(ISNUMBER(L59),L59&gt;0),L59,"Pendente"),IF(K59="Emenda 50Ø",IF(AND(ISNUMBER(D59),D59&gt;0),'Pormenores PDF'!$B$13*D59/1000,"Pendente"),IF(K59="Segmento 0,30 m",'Pormenores PDF'!$B$14,IF(K59="Segmento 0,50 m",'Pormenores PDF'!$B$16,"Pendente")))))</x:f>
      </x:c>
      <x:c r="F59" s="12" t="str">
        <x:f>IF(D59="","",IF(COUNTIF('Como utilizar'!$D$7:$D$14,D59)=0,"Pendente",VLOOKUP(D59,'Como utilizar'!$D$7:$E$14,2,FALSE)))</x:f>
      </x:c>
      <x:c r="G59" s="12" t="str">
        <x:f>IF(H59="","",IF(H59="OK",C59*E59*F59,"Pendente"))</x:f>
      </x:c>
      <x:c r="H59" s="2" t="str">
        <x:f>IF(COUNTA(A59:D59,I59:L59)=0,"",IF(AND(COUNTIF(Tipos!$A$7:$A$52,A59)=1,B59&lt;&gt;"",ISNUMBER(C59),C59&lt;&gt;0,C59=INT(C59),ISNUMBER(F59),ISNUMBER(E59),E59&gt;0,I59&lt;&gt;"",J59&lt;&gt;""),"OK","Pendente"))</x:f>
      </x:c>
      <x:c r="I59" s="10"/>
      <x:c r="J59" s="10"/>
      <x:c r="K59" s="25"/>
      <x:c r="L59" s="27"/>
    </x:row>
    <x:row r="60" ht="25" customHeight="1">
      <x:c r="A60" s="10"/>
      <x:c r="B60" s="10"/>
      <x:c r="C60" s="11"/>
      <x:c r="D60" s="11"/>
      <x:c r="E60" s="26" t="str">
        <x:f>IF(K60="","",IF(K60="Livre",IF(AND(ISNUMBER(L60),L60&gt;0),L60,"Pendente"),IF(K60="Emenda 50Ø",IF(AND(ISNUMBER(D60),D60&gt;0),'Pormenores PDF'!$B$13*D60/1000,"Pendente"),IF(K60="Segmento 0,30 m",'Pormenores PDF'!$B$14,IF(K60="Segmento 0,50 m",'Pormenores PDF'!$B$16,"Pendente")))))</x:f>
      </x:c>
      <x:c r="F60" s="12" t="str">
        <x:f>IF(D60="","",IF(COUNTIF('Como utilizar'!$D$7:$D$14,D60)=0,"Pendente",VLOOKUP(D60,'Como utilizar'!$D$7:$E$14,2,FALSE)))</x:f>
      </x:c>
      <x:c r="G60" s="12" t="str">
        <x:f>IF(H60="","",IF(H60="OK",C60*E60*F60,"Pendente"))</x:f>
      </x:c>
      <x:c r="H60" s="2" t="str">
        <x:f>IF(COUNTA(A60:D60,I60:L60)=0,"",IF(AND(COUNTIF(Tipos!$A$7:$A$52,A60)=1,B60&lt;&gt;"",ISNUMBER(C60),C60&lt;&gt;0,C60=INT(C60),ISNUMBER(F60),ISNUMBER(E60),E60&gt;0,I60&lt;&gt;"",J60&lt;&gt;""),"OK","Pendente"))</x:f>
      </x:c>
      <x:c r="I60" s="10"/>
      <x:c r="J60" s="10"/>
      <x:c r="K60" s="25"/>
      <x:c r="L60" s="27"/>
    </x:row>
    <x:row r="61" ht="25" customHeight="1">
      <x:c r="A61" s="10"/>
      <x:c r="B61" s="10"/>
      <x:c r="C61" s="11"/>
      <x:c r="D61" s="11"/>
      <x:c r="E61" s="26" t="str">
        <x:f>IF(K61="","",IF(K61="Livre",IF(AND(ISNUMBER(L61),L61&gt;0),L61,"Pendente"),IF(K61="Emenda 50Ø",IF(AND(ISNUMBER(D61),D61&gt;0),'Pormenores PDF'!$B$13*D61/1000,"Pendente"),IF(K61="Segmento 0,30 m",'Pormenores PDF'!$B$14,IF(K61="Segmento 0,50 m",'Pormenores PDF'!$B$16,"Pendente")))))</x:f>
      </x:c>
      <x:c r="F61" s="12" t="str">
        <x:f>IF(D61="","",IF(COUNTIF('Como utilizar'!$D$7:$D$14,D61)=0,"Pendente",VLOOKUP(D61,'Como utilizar'!$D$7:$E$14,2,FALSE)))</x:f>
      </x:c>
      <x:c r="G61" s="12" t="str">
        <x:f>IF(H61="","",IF(H61="OK",C61*E61*F61,"Pendente"))</x:f>
      </x:c>
      <x:c r="H61" s="2" t="str">
        <x:f>IF(COUNTA(A61:D61,I61:L61)=0,"",IF(AND(COUNTIF(Tipos!$A$7:$A$52,A61)=1,B61&lt;&gt;"",ISNUMBER(C61),C61&lt;&gt;0,C61=INT(C61),ISNUMBER(F61),ISNUMBER(E61),E61&gt;0,I61&lt;&gt;"",J61&lt;&gt;""),"OK","Pendente"))</x:f>
      </x:c>
      <x:c r="I61" s="10"/>
      <x:c r="J61" s="10"/>
      <x:c r="K61" s="25"/>
      <x:c r="L61" s="27"/>
    </x:row>
    <x:row r="62" ht="25" customHeight="1">
      <x:c r="A62" s="10"/>
      <x:c r="B62" s="10"/>
      <x:c r="C62" s="11"/>
      <x:c r="D62" s="11"/>
      <x:c r="E62" s="26" t="str">
        <x:f>IF(K62="","",IF(K62="Livre",IF(AND(ISNUMBER(L62),L62&gt;0),L62,"Pendente"),IF(K62="Emenda 50Ø",IF(AND(ISNUMBER(D62),D62&gt;0),'Pormenores PDF'!$B$13*D62/1000,"Pendente"),IF(K62="Segmento 0,30 m",'Pormenores PDF'!$B$14,IF(K62="Segmento 0,50 m",'Pormenores PDF'!$B$16,"Pendente")))))</x:f>
      </x:c>
      <x:c r="F62" s="12" t="str">
        <x:f>IF(D62="","",IF(COUNTIF('Como utilizar'!$D$7:$D$14,D62)=0,"Pendente",VLOOKUP(D62,'Como utilizar'!$D$7:$E$14,2,FALSE)))</x:f>
      </x:c>
      <x:c r="G62" s="12" t="str">
        <x:f>IF(H62="","",IF(H62="OK",C62*E62*F62,"Pendente"))</x:f>
      </x:c>
      <x:c r="H62" s="2" t="str">
        <x:f>IF(COUNTA(A62:D62,I62:L62)=0,"",IF(AND(COUNTIF(Tipos!$A$7:$A$52,A62)=1,B62&lt;&gt;"",ISNUMBER(C62),C62&lt;&gt;0,C62=INT(C62),ISNUMBER(F62),ISNUMBER(E62),E62&gt;0,I62&lt;&gt;"",J62&lt;&gt;""),"OK","Pendente"))</x:f>
      </x:c>
      <x:c r="I62" s="10"/>
      <x:c r="J62" s="10"/>
      <x:c r="K62" s="25"/>
      <x:c r="L62" s="27"/>
    </x:row>
    <x:row r="63" ht="25" customHeight="1">
      <x:c r="A63" s="10"/>
      <x:c r="B63" s="10"/>
      <x:c r="C63" s="11"/>
      <x:c r="D63" s="11"/>
      <x:c r="E63" s="26" t="str">
        <x:f>IF(K63="","",IF(K63="Livre",IF(AND(ISNUMBER(L63),L63&gt;0),L63,"Pendente"),IF(K63="Emenda 50Ø",IF(AND(ISNUMBER(D63),D63&gt;0),'Pormenores PDF'!$B$13*D63/1000,"Pendente"),IF(K63="Segmento 0,30 m",'Pormenores PDF'!$B$14,IF(K63="Segmento 0,50 m",'Pormenores PDF'!$B$16,"Pendente")))))</x:f>
      </x:c>
      <x:c r="F63" s="12" t="str">
        <x:f>IF(D63="","",IF(COUNTIF('Como utilizar'!$D$7:$D$14,D63)=0,"Pendente",VLOOKUP(D63,'Como utilizar'!$D$7:$E$14,2,FALSE)))</x:f>
      </x:c>
      <x:c r="G63" s="12" t="str">
        <x:f>IF(H63="","",IF(H63="OK",C63*E63*F63,"Pendente"))</x:f>
      </x:c>
      <x:c r="H63" s="2" t="str">
        <x:f>IF(COUNTA(A63:D63,I63:L63)=0,"",IF(AND(COUNTIF(Tipos!$A$7:$A$52,A63)=1,B63&lt;&gt;"",ISNUMBER(C63),C63&lt;&gt;0,C63=INT(C63),ISNUMBER(F63),ISNUMBER(E63),E63&gt;0,I63&lt;&gt;"",J63&lt;&gt;""),"OK","Pendente"))</x:f>
      </x:c>
      <x:c r="I63" s="10"/>
      <x:c r="J63" s="10"/>
      <x:c r="K63" s="25"/>
      <x:c r="L63" s="27"/>
    </x:row>
    <x:row r="64" ht="25" customHeight="1">
      <x:c r="A64" s="10"/>
      <x:c r="B64" s="10"/>
      <x:c r="C64" s="11"/>
      <x:c r="D64" s="11"/>
      <x:c r="E64" s="26" t="str">
        <x:f>IF(K64="","",IF(K64="Livre",IF(AND(ISNUMBER(L64),L64&gt;0),L64,"Pendente"),IF(K64="Emenda 50Ø",IF(AND(ISNUMBER(D64),D64&gt;0),'Pormenores PDF'!$B$13*D64/1000,"Pendente"),IF(K64="Segmento 0,30 m",'Pormenores PDF'!$B$14,IF(K64="Segmento 0,50 m",'Pormenores PDF'!$B$16,"Pendente")))))</x:f>
      </x:c>
      <x:c r="F64" s="12" t="str">
        <x:f>IF(D64="","",IF(COUNTIF('Como utilizar'!$D$7:$D$14,D64)=0,"Pendente",VLOOKUP(D64,'Como utilizar'!$D$7:$E$14,2,FALSE)))</x:f>
      </x:c>
      <x:c r="G64" s="12" t="str">
        <x:f>IF(H64="","",IF(H64="OK",C64*E64*F64,"Pendente"))</x:f>
      </x:c>
      <x:c r="H64" s="2" t="str">
        <x:f>IF(COUNTA(A64:D64,I64:L64)=0,"",IF(AND(COUNTIF(Tipos!$A$7:$A$52,A64)=1,B64&lt;&gt;"",ISNUMBER(C64),C64&lt;&gt;0,C64=INT(C64),ISNUMBER(F64),ISNUMBER(E64),E64&gt;0,I64&lt;&gt;"",J64&lt;&gt;""),"OK","Pendente"))</x:f>
      </x:c>
      <x:c r="I64" s="10"/>
      <x:c r="J64" s="10"/>
      <x:c r="K64" s="25"/>
      <x:c r="L64" s="27"/>
    </x:row>
    <x:row r="65" ht="25" customHeight="1">
      <x:c r="A65" s="10"/>
      <x:c r="B65" s="10"/>
      <x:c r="C65" s="11"/>
      <x:c r="D65" s="11"/>
      <x:c r="E65" s="26" t="str">
        <x:f>IF(K65="","",IF(K65="Livre",IF(AND(ISNUMBER(L65),L65&gt;0),L65,"Pendente"),IF(K65="Emenda 50Ø",IF(AND(ISNUMBER(D65),D65&gt;0),'Pormenores PDF'!$B$13*D65/1000,"Pendente"),IF(K65="Segmento 0,30 m",'Pormenores PDF'!$B$14,IF(K65="Segmento 0,50 m",'Pormenores PDF'!$B$16,"Pendente")))))</x:f>
      </x:c>
      <x:c r="F65" s="12" t="str">
        <x:f>IF(D65="","",IF(COUNTIF('Como utilizar'!$D$7:$D$14,D65)=0,"Pendente",VLOOKUP(D65,'Como utilizar'!$D$7:$E$14,2,FALSE)))</x:f>
      </x:c>
      <x:c r="G65" s="12" t="str">
        <x:f>IF(H65="","",IF(H65="OK",C65*E65*F65,"Pendente"))</x:f>
      </x:c>
      <x:c r="H65" s="2" t="str">
        <x:f>IF(COUNTA(A65:D65,I65:L65)=0,"",IF(AND(COUNTIF(Tipos!$A$7:$A$52,A65)=1,B65&lt;&gt;"",ISNUMBER(C65),C65&lt;&gt;0,C65=INT(C65),ISNUMBER(F65),ISNUMBER(E65),E65&gt;0,I65&lt;&gt;"",J65&lt;&gt;""),"OK","Pendente"))</x:f>
      </x:c>
      <x:c r="I65" s="10"/>
      <x:c r="J65" s="10"/>
      <x:c r="K65" s="25"/>
      <x:c r="L65" s="27"/>
    </x:row>
    <x:row r="66" ht="25" customHeight="1">
      <x:c r="A66" s="10"/>
      <x:c r="B66" s="10"/>
      <x:c r="C66" s="11"/>
      <x:c r="D66" s="11"/>
      <x:c r="E66" s="26" t="str">
        <x:f>IF(K66="","",IF(K66="Livre",IF(AND(ISNUMBER(L66),L66&gt;0),L66,"Pendente"),IF(K66="Emenda 50Ø",IF(AND(ISNUMBER(D66),D66&gt;0),'Pormenores PDF'!$B$13*D66/1000,"Pendente"),IF(K66="Segmento 0,30 m",'Pormenores PDF'!$B$14,IF(K66="Segmento 0,50 m",'Pormenores PDF'!$B$16,"Pendente")))))</x:f>
      </x:c>
      <x:c r="F66" s="12" t="str">
        <x:f>IF(D66="","",IF(COUNTIF('Como utilizar'!$D$7:$D$14,D66)=0,"Pendente",VLOOKUP(D66,'Como utilizar'!$D$7:$E$14,2,FALSE)))</x:f>
      </x:c>
      <x:c r="G66" s="12" t="str">
        <x:f>IF(H66="","",IF(H66="OK",C66*E66*F66,"Pendente"))</x:f>
      </x:c>
      <x:c r="H66" s="2" t="str">
        <x:f>IF(COUNTA(A66:D66,I66:L66)=0,"",IF(AND(COUNTIF(Tipos!$A$7:$A$52,A66)=1,B66&lt;&gt;"",ISNUMBER(C66),C66&lt;&gt;0,C66=INT(C66),ISNUMBER(F66),ISNUMBER(E66),E66&gt;0,I66&lt;&gt;"",J66&lt;&gt;""),"OK","Pendente"))</x:f>
      </x:c>
      <x:c r="I66" s="10"/>
      <x:c r="J66" s="10"/>
      <x:c r="K66" s="25"/>
      <x:c r="L66" s="27"/>
    </x:row>
    <x:row r="67" ht="25" customHeight="1">
      <x:c r="A67" s="10"/>
      <x:c r="B67" s="10"/>
      <x:c r="C67" s="11"/>
      <x:c r="D67" s="11"/>
      <x:c r="E67" s="26" t="str">
        <x:f>IF(K67="","",IF(K67="Livre",IF(AND(ISNUMBER(L67),L67&gt;0),L67,"Pendente"),IF(K67="Emenda 50Ø",IF(AND(ISNUMBER(D67),D67&gt;0),'Pormenores PDF'!$B$13*D67/1000,"Pendente"),IF(K67="Segmento 0,30 m",'Pormenores PDF'!$B$14,IF(K67="Segmento 0,50 m",'Pormenores PDF'!$B$16,"Pendente")))))</x:f>
      </x:c>
      <x:c r="F67" s="12" t="str">
        <x:f>IF(D67="","",IF(COUNTIF('Como utilizar'!$D$7:$D$14,D67)=0,"Pendente",VLOOKUP(D67,'Como utilizar'!$D$7:$E$14,2,FALSE)))</x:f>
      </x:c>
      <x:c r="G67" s="12" t="str">
        <x:f>IF(H67="","",IF(H67="OK",C67*E67*F67,"Pendente"))</x:f>
      </x:c>
      <x:c r="H67" s="2" t="str">
        <x:f>IF(COUNTA(A67:D67,I67:L67)=0,"",IF(AND(COUNTIF(Tipos!$A$7:$A$52,A67)=1,B67&lt;&gt;"",ISNUMBER(C67),C67&lt;&gt;0,C67=INT(C67),ISNUMBER(F67),ISNUMBER(E67),E67&gt;0,I67&lt;&gt;"",J67&lt;&gt;""),"OK","Pendente"))</x:f>
      </x:c>
      <x:c r="I67" s="10"/>
      <x:c r="J67" s="10"/>
      <x:c r="K67" s="25"/>
      <x:c r="L67" s="27"/>
    </x:row>
    <x:row r="68" ht="25" customHeight="1">
      <x:c r="A68" s="10"/>
      <x:c r="B68" s="10"/>
      <x:c r="C68" s="11"/>
      <x:c r="D68" s="11"/>
      <x:c r="E68" s="26" t="str">
        <x:f>IF(K68="","",IF(K68="Livre",IF(AND(ISNUMBER(L68),L68&gt;0),L68,"Pendente"),IF(K68="Emenda 50Ø",IF(AND(ISNUMBER(D68),D68&gt;0),'Pormenores PDF'!$B$13*D68/1000,"Pendente"),IF(K68="Segmento 0,30 m",'Pormenores PDF'!$B$14,IF(K68="Segmento 0,50 m",'Pormenores PDF'!$B$16,"Pendente")))))</x:f>
      </x:c>
      <x:c r="F68" s="12" t="str">
        <x:f>IF(D68="","",IF(COUNTIF('Como utilizar'!$D$7:$D$14,D68)=0,"Pendente",VLOOKUP(D68,'Como utilizar'!$D$7:$E$14,2,FALSE)))</x:f>
      </x:c>
      <x:c r="G68" s="12" t="str">
        <x:f>IF(H68="","",IF(H68="OK",C68*E68*F68,"Pendente"))</x:f>
      </x:c>
      <x:c r="H68" s="2" t="str">
        <x:f>IF(COUNTA(A68:D68,I68:L68)=0,"",IF(AND(COUNTIF(Tipos!$A$7:$A$52,A68)=1,B68&lt;&gt;"",ISNUMBER(C68),C68&lt;&gt;0,C68=INT(C68),ISNUMBER(F68),ISNUMBER(E68),E68&gt;0,I68&lt;&gt;"",J68&lt;&gt;""),"OK","Pendente"))</x:f>
      </x:c>
      <x:c r="I68" s="10"/>
      <x:c r="J68" s="10"/>
      <x:c r="K68" s="25"/>
      <x:c r="L68" s="27"/>
    </x:row>
    <x:row r="69" ht="25" customHeight="1">
      <x:c r="A69" s="10"/>
      <x:c r="B69" s="10"/>
      <x:c r="C69" s="11"/>
      <x:c r="D69" s="11"/>
      <x:c r="E69" s="26" t="str">
        <x:f>IF(K69="","",IF(K69="Livre",IF(AND(ISNUMBER(L69),L69&gt;0),L69,"Pendente"),IF(K69="Emenda 50Ø",IF(AND(ISNUMBER(D69),D69&gt;0),'Pormenores PDF'!$B$13*D69/1000,"Pendente"),IF(K69="Segmento 0,30 m",'Pormenores PDF'!$B$14,IF(K69="Segmento 0,50 m",'Pormenores PDF'!$B$16,"Pendente")))))</x:f>
      </x:c>
      <x:c r="F69" s="12" t="str">
        <x:f>IF(D69="","",IF(COUNTIF('Como utilizar'!$D$7:$D$14,D69)=0,"Pendente",VLOOKUP(D69,'Como utilizar'!$D$7:$E$14,2,FALSE)))</x:f>
      </x:c>
      <x:c r="G69" s="12" t="str">
        <x:f>IF(H69="","",IF(H69="OK",C69*E69*F69,"Pendente"))</x:f>
      </x:c>
      <x:c r="H69" s="2" t="str">
        <x:f>IF(COUNTA(A69:D69,I69:L69)=0,"",IF(AND(COUNTIF(Tipos!$A$7:$A$52,A69)=1,B69&lt;&gt;"",ISNUMBER(C69),C69&lt;&gt;0,C69=INT(C69),ISNUMBER(F69),ISNUMBER(E69),E69&gt;0,I69&lt;&gt;"",J69&lt;&gt;""),"OK","Pendente"))</x:f>
      </x:c>
      <x:c r="I69" s="10"/>
      <x:c r="J69" s="10"/>
      <x:c r="K69" s="25"/>
      <x:c r="L69" s="27"/>
    </x:row>
    <x:row r="70" ht="25" customHeight="1">
      <x:c r="A70" s="10"/>
      <x:c r="B70" s="10"/>
      <x:c r="C70" s="11"/>
      <x:c r="D70" s="11"/>
      <x:c r="E70" s="26" t="str">
        <x:f>IF(K70="","",IF(K70="Livre",IF(AND(ISNUMBER(L70),L70&gt;0),L70,"Pendente"),IF(K70="Emenda 50Ø",IF(AND(ISNUMBER(D70),D70&gt;0),'Pormenores PDF'!$B$13*D70/1000,"Pendente"),IF(K70="Segmento 0,30 m",'Pormenores PDF'!$B$14,IF(K70="Segmento 0,50 m",'Pormenores PDF'!$B$16,"Pendente")))))</x:f>
      </x:c>
      <x:c r="F70" s="12" t="str">
        <x:f>IF(D70="","",IF(COUNTIF('Como utilizar'!$D$7:$D$14,D70)=0,"Pendente",VLOOKUP(D70,'Como utilizar'!$D$7:$E$14,2,FALSE)))</x:f>
      </x:c>
      <x:c r="G70" s="12" t="str">
        <x:f>IF(H70="","",IF(H70="OK",C70*E70*F70,"Pendente"))</x:f>
      </x:c>
      <x:c r="H70" s="2" t="str">
        <x:f>IF(COUNTA(A70:D70,I70:L70)=0,"",IF(AND(COUNTIF(Tipos!$A$7:$A$52,A70)=1,B70&lt;&gt;"",ISNUMBER(C70),C70&lt;&gt;0,C70=INT(C70),ISNUMBER(F70),ISNUMBER(E70),E70&gt;0,I70&lt;&gt;"",J70&lt;&gt;""),"OK","Pendente"))</x:f>
      </x:c>
      <x:c r="I70" s="10"/>
      <x:c r="J70" s="10"/>
      <x:c r="K70" s="25"/>
      <x:c r="L70" s="27"/>
    </x:row>
    <x:row r="71" ht="25" customHeight="1">
      <x:c r="A71" s="10"/>
      <x:c r="B71" s="10"/>
      <x:c r="C71" s="11"/>
      <x:c r="D71" s="11"/>
      <x:c r="E71" s="26" t="str">
        <x:f>IF(K71="","",IF(K71="Livre",IF(AND(ISNUMBER(L71),L71&gt;0),L71,"Pendente"),IF(K71="Emenda 50Ø",IF(AND(ISNUMBER(D71),D71&gt;0),'Pormenores PDF'!$B$13*D71/1000,"Pendente"),IF(K71="Segmento 0,30 m",'Pormenores PDF'!$B$14,IF(K71="Segmento 0,50 m",'Pormenores PDF'!$B$16,"Pendente")))))</x:f>
      </x:c>
      <x:c r="F71" s="12" t="str">
        <x:f>IF(D71="","",IF(COUNTIF('Como utilizar'!$D$7:$D$14,D71)=0,"Pendente",VLOOKUP(D71,'Como utilizar'!$D$7:$E$14,2,FALSE)))</x:f>
      </x:c>
      <x:c r="G71" s="12" t="str">
        <x:f>IF(H71="","",IF(H71="OK",C71*E71*F71,"Pendente"))</x:f>
      </x:c>
      <x:c r="H71" s="2" t="str">
        <x:f>IF(COUNTA(A71:D71,I71:L71)=0,"",IF(AND(COUNTIF(Tipos!$A$7:$A$52,A71)=1,B71&lt;&gt;"",ISNUMBER(C71),C71&lt;&gt;0,C71=INT(C71),ISNUMBER(F71),ISNUMBER(E71),E71&gt;0,I71&lt;&gt;"",J71&lt;&gt;""),"OK","Pendente"))</x:f>
      </x:c>
      <x:c r="I71" s="10"/>
      <x:c r="J71" s="10"/>
      <x:c r="K71" s="25"/>
      <x:c r="L71" s="27"/>
    </x:row>
    <x:row r="72" ht="25" customHeight="1">
      <x:c r="A72" s="10"/>
      <x:c r="B72" s="10"/>
      <x:c r="C72" s="11"/>
      <x:c r="D72" s="11"/>
      <x:c r="E72" s="26" t="str">
        <x:f>IF(K72="","",IF(K72="Livre",IF(AND(ISNUMBER(L72),L72&gt;0),L72,"Pendente"),IF(K72="Emenda 50Ø",IF(AND(ISNUMBER(D72),D72&gt;0),'Pormenores PDF'!$B$13*D72/1000,"Pendente"),IF(K72="Segmento 0,30 m",'Pormenores PDF'!$B$14,IF(K72="Segmento 0,50 m",'Pormenores PDF'!$B$16,"Pendente")))))</x:f>
      </x:c>
      <x:c r="F72" s="12" t="str">
        <x:f>IF(D72="","",IF(COUNTIF('Como utilizar'!$D$7:$D$14,D72)=0,"Pendente",VLOOKUP(D72,'Como utilizar'!$D$7:$E$14,2,FALSE)))</x:f>
      </x:c>
      <x:c r="G72" s="12" t="str">
        <x:f>IF(H72="","",IF(H72="OK",C72*E72*F72,"Pendente"))</x:f>
      </x:c>
      <x:c r="H72" s="2" t="str">
        <x:f>IF(COUNTA(A72:D72,I72:L72)=0,"",IF(AND(COUNTIF(Tipos!$A$7:$A$52,A72)=1,B72&lt;&gt;"",ISNUMBER(C72),C72&lt;&gt;0,C72=INT(C72),ISNUMBER(F72),ISNUMBER(E72),E72&gt;0,I72&lt;&gt;"",J72&lt;&gt;""),"OK","Pendente"))</x:f>
      </x:c>
      <x:c r="I72" s="10"/>
      <x:c r="J72" s="10"/>
      <x:c r="K72" s="25"/>
      <x:c r="L72" s="27"/>
    </x:row>
    <x:row r="73" ht="25" customHeight="1">
      <x:c r="A73" s="10"/>
      <x:c r="B73" s="10"/>
      <x:c r="C73" s="11"/>
      <x:c r="D73" s="11"/>
      <x:c r="E73" s="26" t="str">
        <x:f>IF(K73="","",IF(K73="Livre",IF(AND(ISNUMBER(L73),L73&gt;0),L73,"Pendente"),IF(K73="Emenda 50Ø",IF(AND(ISNUMBER(D73),D73&gt;0),'Pormenores PDF'!$B$13*D73/1000,"Pendente"),IF(K73="Segmento 0,30 m",'Pormenores PDF'!$B$14,IF(K73="Segmento 0,50 m",'Pormenores PDF'!$B$16,"Pendente")))))</x:f>
      </x:c>
      <x:c r="F73" s="12" t="str">
        <x:f>IF(D73="","",IF(COUNTIF('Como utilizar'!$D$7:$D$14,D73)=0,"Pendente",VLOOKUP(D73,'Como utilizar'!$D$7:$E$14,2,FALSE)))</x:f>
      </x:c>
      <x:c r="G73" s="12" t="str">
        <x:f>IF(H73="","",IF(H73="OK",C73*E73*F73,"Pendente"))</x:f>
      </x:c>
      <x:c r="H73" s="2" t="str">
        <x:f>IF(COUNTA(A73:D73,I73:L73)=0,"",IF(AND(COUNTIF(Tipos!$A$7:$A$52,A73)=1,B73&lt;&gt;"",ISNUMBER(C73),C73&lt;&gt;0,C73=INT(C73),ISNUMBER(F73),ISNUMBER(E73),E73&gt;0,I73&lt;&gt;"",J73&lt;&gt;""),"OK","Pendente"))</x:f>
      </x:c>
      <x:c r="I73" s="10"/>
      <x:c r="J73" s="10"/>
      <x:c r="K73" s="25"/>
      <x:c r="L73" s="27"/>
    </x:row>
    <x:row r="74" ht="25" customHeight="1">
      <x:c r="A74" s="10"/>
      <x:c r="B74" s="10"/>
      <x:c r="C74" s="11"/>
      <x:c r="D74" s="11"/>
      <x:c r="E74" s="26" t="str">
        <x:f>IF(K74="","",IF(K74="Livre",IF(AND(ISNUMBER(L74),L74&gt;0),L74,"Pendente"),IF(K74="Emenda 50Ø",IF(AND(ISNUMBER(D74),D74&gt;0),'Pormenores PDF'!$B$13*D74/1000,"Pendente"),IF(K74="Segmento 0,30 m",'Pormenores PDF'!$B$14,IF(K74="Segmento 0,50 m",'Pormenores PDF'!$B$16,"Pendente")))))</x:f>
      </x:c>
      <x:c r="F74" s="12" t="str">
        <x:f>IF(D74="","",IF(COUNTIF('Como utilizar'!$D$7:$D$14,D74)=0,"Pendente",VLOOKUP(D74,'Como utilizar'!$D$7:$E$14,2,FALSE)))</x:f>
      </x:c>
      <x:c r="G74" s="12" t="str">
        <x:f>IF(H74="","",IF(H74="OK",C74*E74*F74,"Pendente"))</x:f>
      </x:c>
      <x:c r="H74" s="2" t="str">
        <x:f>IF(COUNTA(A74:D74,I74:L74)=0,"",IF(AND(COUNTIF(Tipos!$A$7:$A$52,A74)=1,B74&lt;&gt;"",ISNUMBER(C74),C74&lt;&gt;0,C74=INT(C74),ISNUMBER(F74),ISNUMBER(E74),E74&gt;0,I74&lt;&gt;"",J74&lt;&gt;""),"OK","Pendente"))</x:f>
      </x:c>
      <x:c r="I74" s="10"/>
      <x:c r="J74" s="10"/>
      <x:c r="K74" s="25"/>
      <x:c r="L74" s="27"/>
    </x:row>
    <x:row r="75" ht="25" customHeight="1">
      <x:c r="A75" s="10"/>
      <x:c r="B75" s="10"/>
      <x:c r="C75" s="11"/>
      <x:c r="D75" s="11"/>
      <x:c r="E75" s="26" t="str">
        <x:f>IF(K75="","",IF(K75="Livre",IF(AND(ISNUMBER(L75),L75&gt;0),L75,"Pendente"),IF(K75="Emenda 50Ø",IF(AND(ISNUMBER(D75),D75&gt;0),'Pormenores PDF'!$B$13*D75/1000,"Pendente"),IF(K75="Segmento 0,30 m",'Pormenores PDF'!$B$14,IF(K75="Segmento 0,50 m",'Pormenores PDF'!$B$16,"Pendente")))))</x:f>
      </x:c>
      <x:c r="F75" s="12" t="str">
        <x:f>IF(D75="","",IF(COUNTIF('Como utilizar'!$D$7:$D$14,D75)=0,"Pendente",VLOOKUP(D75,'Como utilizar'!$D$7:$E$14,2,FALSE)))</x:f>
      </x:c>
      <x:c r="G75" s="12" t="str">
        <x:f>IF(H75="","",IF(H75="OK",C75*E75*F75,"Pendente"))</x:f>
      </x:c>
      <x:c r="H75" s="2" t="str">
        <x:f>IF(COUNTA(A75:D75,I75:L75)=0,"",IF(AND(COUNTIF(Tipos!$A$7:$A$52,A75)=1,B75&lt;&gt;"",ISNUMBER(C75),C75&lt;&gt;0,C75=INT(C75),ISNUMBER(F75),ISNUMBER(E75),E75&gt;0,I75&lt;&gt;"",J75&lt;&gt;""),"OK","Pendente"))</x:f>
      </x:c>
      <x:c r="I75" s="10"/>
      <x:c r="J75" s="10"/>
      <x:c r="K75" s="25"/>
      <x:c r="L75" s="27"/>
    </x:row>
    <x:row r="76" ht="25" customHeight="1">
      <x:c r="A76" s="10"/>
      <x:c r="B76" s="10"/>
      <x:c r="C76" s="11"/>
      <x:c r="D76" s="11"/>
      <x:c r="E76" s="26" t="str">
        <x:f>IF(K76="","",IF(K76="Livre",IF(AND(ISNUMBER(L76),L76&gt;0),L76,"Pendente"),IF(K76="Emenda 50Ø",IF(AND(ISNUMBER(D76),D76&gt;0),'Pormenores PDF'!$B$13*D76/1000,"Pendente"),IF(K76="Segmento 0,30 m",'Pormenores PDF'!$B$14,IF(K76="Segmento 0,50 m",'Pormenores PDF'!$B$16,"Pendente")))))</x:f>
      </x:c>
      <x:c r="F76" s="12" t="str">
        <x:f>IF(D76="","",IF(COUNTIF('Como utilizar'!$D$7:$D$14,D76)=0,"Pendente",VLOOKUP(D76,'Como utilizar'!$D$7:$E$14,2,FALSE)))</x:f>
      </x:c>
      <x:c r="G76" s="12" t="str">
        <x:f>IF(H76="","",IF(H76="OK",C76*E76*F76,"Pendente"))</x:f>
      </x:c>
      <x:c r="H76" s="2" t="str">
        <x:f>IF(COUNTA(A76:D76,I76:L76)=0,"",IF(AND(COUNTIF(Tipos!$A$7:$A$52,A76)=1,B76&lt;&gt;"",ISNUMBER(C76),C76&lt;&gt;0,C76=INT(C76),ISNUMBER(F76),ISNUMBER(E76),E76&gt;0,I76&lt;&gt;"",J76&lt;&gt;""),"OK","Pendente"))</x:f>
      </x:c>
      <x:c r="I76" s="10"/>
      <x:c r="J76" s="10"/>
      <x:c r="K76" s="25"/>
      <x:c r="L76" s="27"/>
    </x:row>
    <x:row r="77" ht="25" customHeight="1">
      <x:c r="A77" s="10"/>
      <x:c r="B77" s="10"/>
      <x:c r="C77" s="11"/>
      <x:c r="D77" s="11"/>
      <x:c r="E77" s="26" t="str">
        <x:f>IF(K77="","",IF(K77="Livre",IF(AND(ISNUMBER(L77),L77&gt;0),L77,"Pendente"),IF(K77="Emenda 50Ø",IF(AND(ISNUMBER(D77),D77&gt;0),'Pormenores PDF'!$B$13*D77/1000,"Pendente"),IF(K77="Segmento 0,30 m",'Pormenores PDF'!$B$14,IF(K77="Segmento 0,50 m",'Pormenores PDF'!$B$16,"Pendente")))))</x:f>
      </x:c>
      <x:c r="F77" s="12" t="str">
        <x:f>IF(D77="","",IF(COUNTIF('Como utilizar'!$D$7:$D$14,D77)=0,"Pendente",VLOOKUP(D77,'Como utilizar'!$D$7:$E$14,2,FALSE)))</x:f>
      </x:c>
      <x:c r="G77" s="12" t="str">
        <x:f>IF(H77="","",IF(H77="OK",C77*E77*F77,"Pendente"))</x:f>
      </x:c>
      <x:c r="H77" s="2" t="str">
        <x:f>IF(COUNTA(A77:D77,I77:L77)=0,"",IF(AND(COUNTIF(Tipos!$A$7:$A$52,A77)=1,B77&lt;&gt;"",ISNUMBER(C77),C77&lt;&gt;0,C77=INT(C77),ISNUMBER(F77),ISNUMBER(E77),E77&gt;0,I77&lt;&gt;"",J77&lt;&gt;""),"OK","Pendente"))</x:f>
      </x:c>
      <x:c r="I77" s="10"/>
      <x:c r="J77" s="10"/>
      <x:c r="K77" s="25"/>
      <x:c r="L77" s="27"/>
    </x:row>
    <x:row r="78" ht="25" customHeight="1">
      <x:c r="A78" s="10"/>
      <x:c r="B78" s="10"/>
      <x:c r="C78" s="11"/>
      <x:c r="D78" s="11"/>
      <x:c r="E78" s="26" t="str">
        <x:f>IF(K78="","",IF(K78="Livre",IF(AND(ISNUMBER(L78),L78&gt;0),L78,"Pendente"),IF(K78="Emenda 50Ø",IF(AND(ISNUMBER(D78),D78&gt;0),'Pormenores PDF'!$B$13*D78/1000,"Pendente"),IF(K78="Segmento 0,30 m",'Pormenores PDF'!$B$14,IF(K78="Segmento 0,50 m",'Pormenores PDF'!$B$16,"Pendente")))))</x:f>
      </x:c>
      <x:c r="F78" s="12" t="str">
        <x:f>IF(D78="","",IF(COUNTIF('Como utilizar'!$D$7:$D$14,D78)=0,"Pendente",VLOOKUP(D78,'Como utilizar'!$D$7:$E$14,2,FALSE)))</x:f>
      </x:c>
      <x:c r="G78" s="12" t="str">
        <x:f>IF(H78="","",IF(H78="OK",C78*E78*F78,"Pendente"))</x:f>
      </x:c>
      <x:c r="H78" s="2" t="str">
        <x:f>IF(COUNTA(A78:D78,I78:L78)=0,"",IF(AND(COUNTIF(Tipos!$A$7:$A$52,A78)=1,B78&lt;&gt;"",ISNUMBER(C78),C78&lt;&gt;0,C78=INT(C78),ISNUMBER(F78),ISNUMBER(E78),E78&gt;0,I78&lt;&gt;"",J78&lt;&gt;""),"OK","Pendente"))</x:f>
      </x:c>
      <x:c r="I78" s="10"/>
      <x:c r="J78" s="10"/>
      <x:c r="K78" s="25"/>
      <x:c r="L78" s="27"/>
    </x:row>
    <x:row r="79" ht="25" customHeight="1">
      <x:c r="A79" s="10"/>
      <x:c r="B79" s="10"/>
      <x:c r="C79" s="11"/>
      <x:c r="D79" s="11"/>
      <x:c r="E79" s="26" t="str">
        <x:f>IF(K79="","",IF(K79="Livre",IF(AND(ISNUMBER(L79),L79&gt;0),L79,"Pendente"),IF(K79="Emenda 50Ø",IF(AND(ISNUMBER(D79),D79&gt;0),'Pormenores PDF'!$B$13*D79/1000,"Pendente"),IF(K79="Segmento 0,30 m",'Pormenores PDF'!$B$14,IF(K79="Segmento 0,50 m",'Pormenores PDF'!$B$16,"Pendente")))))</x:f>
      </x:c>
      <x:c r="F79" s="12" t="str">
        <x:f>IF(D79="","",IF(COUNTIF('Como utilizar'!$D$7:$D$14,D79)=0,"Pendente",VLOOKUP(D79,'Como utilizar'!$D$7:$E$14,2,FALSE)))</x:f>
      </x:c>
      <x:c r="G79" s="12" t="str">
        <x:f>IF(H79="","",IF(H79="OK",C79*E79*F79,"Pendente"))</x:f>
      </x:c>
      <x:c r="H79" s="2" t="str">
        <x:f>IF(COUNTA(A79:D79,I79:L79)=0,"",IF(AND(COUNTIF(Tipos!$A$7:$A$52,A79)=1,B79&lt;&gt;"",ISNUMBER(C79),C79&lt;&gt;0,C79=INT(C79),ISNUMBER(F79),ISNUMBER(E79),E79&gt;0,I79&lt;&gt;"",J79&lt;&gt;""),"OK","Pendente"))</x:f>
      </x:c>
      <x:c r="I79" s="10"/>
      <x:c r="J79" s="10"/>
      <x:c r="K79" s="25"/>
      <x:c r="L79" s="27"/>
    </x:row>
    <x:row r="80" ht="25" customHeight="1">
      <x:c r="A80" s="10"/>
      <x:c r="B80" s="10"/>
      <x:c r="C80" s="11"/>
      <x:c r="D80" s="11"/>
      <x:c r="E80" s="26" t="str">
        <x:f>IF(K80="","",IF(K80="Livre",IF(AND(ISNUMBER(L80),L80&gt;0),L80,"Pendente"),IF(K80="Emenda 50Ø",IF(AND(ISNUMBER(D80),D80&gt;0),'Pormenores PDF'!$B$13*D80/1000,"Pendente"),IF(K80="Segmento 0,30 m",'Pormenores PDF'!$B$14,IF(K80="Segmento 0,50 m",'Pormenores PDF'!$B$16,"Pendente")))))</x:f>
      </x:c>
      <x:c r="F80" s="12" t="str">
        <x:f>IF(D80="","",IF(COUNTIF('Como utilizar'!$D$7:$D$14,D80)=0,"Pendente",VLOOKUP(D80,'Como utilizar'!$D$7:$E$14,2,FALSE)))</x:f>
      </x:c>
      <x:c r="G80" s="12" t="str">
        <x:f>IF(H80="","",IF(H80="OK",C80*E80*F80,"Pendente"))</x:f>
      </x:c>
      <x:c r="H80" s="2" t="str">
        <x:f>IF(COUNTA(A80:D80,I80:L80)=0,"",IF(AND(COUNTIF(Tipos!$A$7:$A$52,A80)=1,B80&lt;&gt;"",ISNUMBER(C80),C80&lt;&gt;0,C80=INT(C80),ISNUMBER(F80),ISNUMBER(E80),E80&gt;0,I80&lt;&gt;"",J80&lt;&gt;""),"OK","Pendente"))</x:f>
      </x:c>
      <x:c r="I80" s="10"/>
      <x:c r="J80" s="10"/>
      <x:c r="K80" s="25"/>
      <x:c r="L80" s="27"/>
    </x:row>
    <x:row r="81" ht="25" customHeight="1">
      <x:c r="A81" s="10"/>
      <x:c r="B81" s="10"/>
      <x:c r="C81" s="11"/>
      <x:c r="D81" s="11"/>
      <x:c r="E81" s="26" t="str">
        <x:f>IF(K81="","",IF(K81="Livre",IF(AND(ISNUMBER(L81),L81&gt;0),L81,"Pendente"),IF(K81="Emenda 50Ø",IF(AND(ISNUMBER(D81),D81&gt;0),'Pormenores PDF'!$B$13*D81/1000,"Pendente"),IF(K81="Segmento 0,30 m",'Pormenores PDF'!$B$14,IF(K81="Segmento 0,50 m",'Pormenores PDF'!$B$16,"Pendente")))))</x:f>
      </x:c>
      <x:c r="F81" s="12" t="str">
        <x:f>IF(D81="","",IF(COUNTIF('Como utilizar'!$D$7:$D$14,D81)=0,"Pendente",VLOOKUP(D81,'Como utilizar'!$D$7:$E$14,2,FALSE)))</x:f>
      </x:c>
      <x:c r="G81" s="12" t="str">
        <x:f>IF(H81="","",IF(H81="OK",C81*E81*F81,"Pendente"))</x:f>
      </x:c>
      <x:c r="H81" s="2" t="str">
        <x:f>IF(COUNTA(A81:D81,I81:L81)=0,"",IF(AND(COUNTIF(Tipos!$A$7:$A$52,A81)=1,B81&lt;&gt;"",ISNUMBER(C81),C81&lt;&gt;0,C81=INT(C81),ISNUMBER(F81),ISNUMBER(E81),E81&gt;0,I81&lt;&gt;"",J81&lt;&gt;""),"OK","Pendente"))</x:f>
      </x:c>
      <x:c r="I81" s="10"/>
      <x:c r="J81" s="10"/>
      <x:c r="K81" s="25"/>
      <x:c r="L81" s="27"/>
    </x:row>
    <x:row r="82" ht="25" customHeight="1">
      <x:c r="A82" s="10"/>
      <x:c r="B82" s="10"/>
      <x:c r="C82" s="11"/>
      <x:c r="D82" s="11"/>
      <x:c r="E82" s="26" t="str">
        <x:f>IF(K82="","",IF(K82="Livre",IF(AND(ISNUMBER(L82),L82&gt;0),L82,"Pendente"),IF(K82="Emenda 50Ø",IF(AND(ISNUMBER(D82),D82&gt;0),'Pormenores PDF'!$B$13*D82/1000,"Pendente"),IF(K82="Segmento 0,30 m",'Pormenores PDF'!$B$14,IF(K82="Segmento 0,50 m",'Pormenores PDF'!$B$16,"Pendente")))))</x:f>
      </x:c>
      <x:c r="F82" s="12" t="str">
        <x:f>IF(D82="","",IF(COUNTIF('Como utilizar'!$D$7:$D$14,D82)=0,"Pendente",VLOOKUP(D82,'Como utilizar'!$D$7:$E$14,2,FALSE)))</x:f>
      </x:c>
      <x:c r="G82" s="12" t="str">
        <x:f>IF(H82="","",IF(H82="OK",C82*E82*F82,"Pendente"))</x:f>
      </x:c>
      <x:c r="H82" s="2" t="str">
        <x:f>IF(COUNTA(A82:D82,I82:L82)=0,"",IF(AND(COUNTIF(Tipos!$A$7:$A$52,A82)=1,B82&lt;&gt;"",ISNUMBER(C82),C82&lt;&gt;0,C82=INT(C82),ISNUMBER(F82),ISNUMBER(E82),E82&gt;0,I82&lt;&gt;"",J82&lt;&gt;""),"OK","Pendente"))</x:f>
      </x:c>
      <x:c r="I82" s="10"/>
      <x:c r="J82" s="10"/>
      <x:c r="K82" s="25"/>
      <x:c r="L82" s="27"/>
    </x:row>
    <x:row r="83" ht="25" customHeight="1">
      <x:c r="A83" s="10"/>
      <x:c r="B83" s="10"/>
      <x:c r="C83" s="11"/>
      <x:c r="D83" s="11"/>
      <x:c r="E83" s="26" t="str">
        <x:f>IF(K83="","",IF(K83="Livre",IF(AND(ISNUMBER(L83),L83&gt;0),L83,"Pendente"),IF(K83="Emenda 50Ø",IF(AND(ISNUMBER(D83),D83&gt;0),'Pormenores PDF'!$B$13*D83/1000,"Pendente"),IF(K83="Segmento 0,30 m",'Pormenores PDF'!$B$14,IF(K83="Segmento 0,50 m",'Pormenores PDF'!$B$16,"Pendente")))))</x:f>
      </x:c>
      <x:c r="F83" s="12" t="str">
        <x:f>IF(D83="","",IF(COUNTIF('Como utilizar'!$D$7:$D$14,D83)=0,"Pendente",VLOOKUP(D83,'Como utilizar'!$D$7:$E$14,2,FALSE)))</x:f>
      </x:c>
      <x:c r="G83" s="12" t="str">
        <x:f>IF(H83="","",IF(H83="OK",C83*E83*F83,"Pendente"))</x:f>
      </x:c>
      <x:c r="H83" s="2" t="str">
        <x:f>IF(COUNTA(A83:D83,I83:L83)=0,"",IF(AND(COUNTIF(Tipos!$A$7:$A$52,A83)=1,B83&lt;&gt;"",ISNUMBER(C83),C83&lt;&gt;0,C83=INT(C83),ISNUMBER(F83),ISNUMBER(E83),E83&gt;0,I83&lt;&gt;"",J83&lt;&gt;""),"OK","Pendente"))</x:f>
      </x:c>
      <x:c r="I83" s="10"/>
      <x:c r="J83" s="10"/>
      <x:c r="K83" s="25"/>
      <x:c r="L83" s="27"/>
    </x:row>
    <x:row r="84" ht="25" customHeight="1">
      <x:c r="A84" s="10"/>
      <x:c r="B84" s="10"/>
      <x:c r="C84" s="11"/>
      <x:c r="D84" s="11"/>
      <x:c r="E84" s="26" t="str">
        <x:f>IF(K84="","",IF(K84="Livre",IF(AND(ISNUMBER(L84),L84&gt;0),L84,"Pendente"),IF(K84="Emenda 50Ø",IF(AND(ISNUMBER(D84),D84&gt;0),'Pormenores PDF'!$B$13*D84/1000,"Pendente"),IF(K84="Segmento 0,30 m",'Pormenores PDF'!$B$14,IF(K84="Segmento 0,50 m",'Pormenores PDF'!$B$16,"Pendente")))))</x:f>
      </x:c>
      <x:c r="F84" s="12" t="str">
        <x:f>IF(D84="","",IF(COUNTIF('Como utilizar'!$D$7:$D$14,D84)=0,"Pendente",VLOOKUP(D84,'Como utilizar'!$D$7:$E$14,2,FALSE)))</x:f>
      </x:c>
      <x:c r="G84" s="12" t="str">
        <x:f>IF(H84="","",IF(H84="OK",C84*E84*F84,"Pendente"))</x:f>
      </x:c>
      <x:c r="H84" s="2" t="str">
        <x:f>IF(COUNTA(A84:D84,I84:L84)=0,"",IF(AND(COUNTIF(Tipos!$A$7:$A$52,A84)=1,B84&lt;&gt;"",ISNUMBER(C84),C84&lt;&gt;0,C84=INT(C84),ISNUMBER(F84),ISNUMBER(E84),E84&gt;0,I84&lt;&gt;"",J84&lt;&gt;""),"OK","Pendente"))</x:f>
      </x:c>
      <x:c r="I84" s="10"/>
      <x:c r="J84" s="10"/>
      <x:c r="K84" s="25"/>
      <x:c r="L84" s="27"/>
    </x:row>
    <x:row r="85" ht="25" customHeight="1">
      <x:c r="A85" s="10"/>
      <x:c r="B85" s="10"/>
      <x:c r="C85" s="11"/>
      <x:c r="D85" s="11"/>
      <x:c r="E85" s="26" t="str">
        <x:f>IF(K85="","",IF(K85="Livre",IF(AND(ISNUMBER(L85),L85&gt;0),L85,"Pendente"),IF(K85="Emenda 50Ø",IF(AND(ISNUMBER(D85),D85&gt;0),'Pormenores PDF'!$B$13*D85/1000,"Pendente"),IF(K85="Segmento 0,30 m",'Pormenores PDF'!$B$14,IF(K85="Segmento 0,50 m",'Pormenores PDF'!$B$16,"Pendente")))))</x:f>
      </x:c>
      <x:c r="F85" s="12" t="str">
        <x:f>IF(D85="","",IF(COUNTIF('Como utilizar'!$D$7:$D$14,D85)=0,"Pendente",VLOOKUP(D85,'Como utilizar'!$D$7:$E$14,2,FALSE)))</x:f>
      </x:c>
      <x:c r="G85" s="12" t="str">
        <x:f>IF(H85="","",IF(H85="OK",C85*E85*F85,"Pendente"))</x:f>
      </x:c>
      <x:c r="H85" s="2" t="str">
        <x:f>IF(COUNTA(A85:D85,I85:L85)=0,"",IF(AND(COUNTIF(Tipos!$A$7:$A$52,A85)=1,B85&lt;&gt;"",ISNUMBER(C85),C85&lt;&gt;0,C85=INT(C85),ISNUMBER(F85),ISNUMBER(E85),E85&gt;0,I85&lt;&gt;"",J85&lt;&gt;""),"OK","Pendente"))</x:f>
      </x:c>
      <x:c r="I85" s="10"/>
      <x:c r="J85" s="10"/>
      <x:c r="K85" s="25"/>
      <x:c r="L85" s="27"/>
    </x:row>
    <x:row r="86" ht="25" customHeight="1">
      <x:c r="A86" s="10"/>
      <x:c r="B86" s="10"/>
      <x:c r="C86" s="11"/>
      <x:c r="D86" s="11"/>
      <x:c r="E86" s="26" t="str">
        <x:f>IF(K86="","",IF(K86="Livre",IF(AND(ISNUMBER(L86),L86&gt;0),L86,"Pendente"),IF(K86="Emenda 50Ø",IF(AND(ISNUMBER(D86),D86&gt;0),'Pormenores PDF'!$B$13*D86/1000,"Pendente"),IF(K86="Segmento 0,30 m",'Pormenores PDF'!$B$14,IF(K86="Segmento 0,50 m",'Pormenores PDF'!$B$16,"Pendente")))))</x:f>
      </x:c>
      <x:c r="F86" s="12" t="str">
        <x:f>IF(D86="","",IF(COUNTIF('Como utilizar'!$D$7:$D$14,D86)=0,"Pendente",VLOOKUP(D86,'Como utilizar'!$D$7:$E$14,2,FALSE)))</x:f>
      </x:c>
      <x:c r="G86" s="12" t="str">
        <x:f>IF(H86="","",IF(H86="OK",C86*E86*F86,"Pendente"))</x:f>
      </x:c>
      <x:c r="H86" s="2" t="str">
        <x:f>IF(COUNTA(A86:D86,I86:L86)=0,"",IF(AND(COUNTIF(Tipos!$A$7:$A$52,A86)=1,B86&lt;&gt;"",ISNUMBER(C86),C86&lt;&gt;0,C86=INT(C86),ISNUMBER(F86),ISNUMBER(E86),E86&gt;0,I86&lt;&gt;"",J86&lt;&gt;""),"OK","Pendente"))</x:f>
      </x:c>
      <x:c r="I86" s="10"/>
      <x:c r="J86" s="10"/>
      <x:c r="K86" s="25"/>
      <x:c r="L86" s="27"/>
    </x:row>
    <x:row r="87" ht="25" customHeight="1">
      <x:c r="A87" s="10"/>
      <x:c r="B87" s="10"/>
      <x:c r="C87" s="11"/>
      <x:c r="D87" s="11"/>
      <x:c r="E87" s="26" t="str">
        <x:f>IF(K87="","",IF(K87="Livre",IF(AND(ISNUMBER(L87),L87&gt;0),L87,"Pendente"),IF(K87="Emenda 50Ø",IF(AND(ISNUMBER(D87),D87&gt;0),'Pormenores PDF'!$B$13*D87/1000,"Pendente"),IF(K87="Segmento 0,30 m",'Pormenores PDF'!$B$14,IF(K87="Segmento 0,50 m",'Pormenores PDF'!$B$16,"Pendente")))))</x:f>
      </x:c>
      <x:c r="F87" s="12" t="str">
        <x:f>IF(D87="","",IF(COUNTIF('Como utilizar'!$D$7:$D$14,D87)=0,"Pendente",VLOOKUP(D87,'Como utilizar'!$D$7:$E$14,2,FALSE)))</x:f>
      </x:c>
      <x:c r="G87" s="12" t="str">
        <x:f>IF(H87="","",IF(H87="OK",C87*E87*F87,"Pendente"))</x:f>
      </x:c>
      <x:c r="H87" s="2" t="str">
        <x:f>IF(COUNTA(A87:D87,I87:L87)=0,"",IF(AND(COUNTIF(Tipos!$A$7:$A$52,A87)=1,B87&lt;&gt;"",ISNUMBER(C87),C87&lt;&gt;0,C87=INT(C87),ISNUMBER(F87),ISNUMBER(E87),E87&gt;0,I87&lt;&gt;"",J87&lt;&gt;""),"OK","Pendente"))</x:f>
      </x:c>
      <x:c r="I87" s="10"/>
      <x:c r="J87" s="10"/>
      <x:c r="K87" s="25"/>
      <x:c r="L87" s="27"/>
    </x:row>
    <x:row r="88" ht="25" customHeight="1">
      <x:c r="A88" s="10"/>
      <x:c r="B88" s="10"/>
      <x:c r="C88" s="11"/>
      <x:c r="D88" s="11"/>
      <x:c r="E88" s="26" t="str">
        <x:f>IF(K88="","",IF(K88="Livre",IF(AND(ISNUMBER(L88),L88&gt;0),L88,"Pendente"),IF(K88="Emenda 50Ø",IF(AND(ISNUMBER(D88),D88&gt;0),'Pormenores PDF'!$B$13*D88/1000,"Pendente"),IF(K88="Segmento 0,30 m",'Pormenores PDF'!$B$14,IF(K88="Segmento 0,50 m",'Pormenores PDF'!$B$16,"Pendente")))))</x:f>
      </x:c>
      <x:c r="F88" s="12" t="str">
        <x:f>IF(D88="","",IF(COUNTIF('Como utilizar'!$D$7:$D$14,D88)=0,"Pendente",VLOOKUP(D88,'Como utilizar'!$D$7:$E$14,2,FALSE)))</x:f>
      </x:c>
      <x:c r="G88" s="12" t="str">
        <x:f>IF(H88="","",IF(H88="OK",C88*E88*F88,"Pendente"))</x:f>
      </x:c>
      <x:c r="H88" s="2" t="str">
        <x:f>IF(COUNTA(A88:D88,I88:L88)=0,"",IF(AND(COUNTIF(Tipos!$A$7:$A$52,A88)=1,B88&lt;&gt;"",ISNUMBER(C88),C88&lt;&gt;0,C88=INT(C88),ISNUMBER(F88),ISNUMBER(E88),E88&gt;0,I88&lt;&gt;"",J88&lt;&gt;""),"OK","Pendente"))</x:f>
      </x:c>
      <x:c r="I88" s="10"/>
      <x:c r="J88" s="10"/>
      <x:c r="K88" s="25"/>
      <x:c r="L88" s="27"/>
    </x:row>
    <x:row r="89" ht="25" customHeight="1">
      <x:c r="A89" s="10"/>
      <x:c r="B89" s="10"/>
      <x:c r="C89" s="11"/>
      <x:c r="D89" s="11"/>
      <x:c r="E89" s="26" t="str">
        <x:f>IF(K89="","",IF(K89="Livre",IF(AND(ISNUMBER(L89),L89&gt;0),L89,"Pendente"),IF(K89="Emenda 50Ø",IF(AND(ISNUMBER(D89),D89&gt;0),'Pormenores PDF'!$B$13*D89/1000,"Pendente"),IF(K89="Segmento 0,30 m",'Pormenores PDF'!$B$14,IF(K89="Segmento 0,50 m",'Pormenores PDF'!$B$16,"Pendente")))))</x:f>
      </x:c>
      <x:c r="F89" s="12" t="str">
        <x:f>IF(D89="","",IF(COUNTIF('Como utilizar'!$D$7:$D$14,D89)=0,"Pendente",VLOOKUP(D89,'Como utilizar'!$D$7:$E$14,2,FALSE)))</x:f>
      </x:c>
      <x:c r="G89" s="12" t="str">
        <x:f>IF(H89="","",IF(H89="OK",C89*E89*F89,"Pendente"))</x:f>
      </x:c>
      <x:c r="H89" s="2" t="str">
        <x:f>IF(COUNTA(A89:D89,I89:L89)=0,"",IF(AND(COUNTIF(Tipos!$A$7:$A$52,A89)=1,B89&lt;&gt;"",ISNUMBER(C89),C89&lt;&gt;0,C89=INT(C89),ISNUMBER(F89),ISNUMBER(E89),E89&gt;0,I89&lt;&gt;"",J89&lt;&gt;""),"OK","Pendente"))</x:f>
      </x:c>
      <x:c r="I89" s="10"/>
      <x:c r="J89" s="10"/>
      <x:c r="K89" s="25"/>
      <x:c r="L89" s="27"/>
    </x:row>
    <x:row r="90" ht="25" customHeight="1">
      <x:c r="A90" s="10"/>
      <x:c r="B90" s="10"/>
      <x:c r="C90" s="11"/>
      <x:c r="D90" s="11"/>
      <x:c r="E90" s="26" t="str">
        <x:f>IF(K90="","",IF(K90="Livre",IF(AND(ISNUMBER(L90),L90&gt;0),L90,"Pendente"),IF(K90="Emenda 50Ø",IF(AND(ISNUMBER(D90),D90&gt;0),'Pormenores PDF'!$B$13*D90/1000,"Pendente"),IF(K90="Segmento 0,30 m",'Pormenores PDF'!$B$14,IF(K90="Segmento 0,50 m",'Pormenores PDF'!$B$16,"Pendente")))))</x:f>
      </x:c>
      <x:c r="F90" s="12" t="str">
        <x:f>IF(D90="","",IF(COUNTIF('Como utilizar'!$D$7:$D$14,D90)=0,"Pendente",VLOOKUP(D90,'Como utilizar'!$D$7:$E$14,2,FALSE)))</x:f>
      </x:c>
      <x:c r="G90" s="12" t="str">
        <x:f>IF(H90="","",IF(H90="OK",C90*E90*F90,"Pendente"))</x:f>
      </x:c>
      <x:c r="H90" s="2" t="str">
        <x:f>IF(COUNTA(A90:D90,I90:L90)=0,"",IF(AND(COUNTIF(Tipos!$A$7:$A$52,A90)=1,B90&lt;&gt;"",ISNUMBER(C90),C90&lt;&gt;0,C90=INT(C90),ISNUMBER(F90),ISNUMBER(E90),E90&gt;0,I90&lt;&gt;"",J90&lt;&gt;""),"OK","Pendente"))</x:f>
      </x:c>
      <x:c r="I90" s="10"/>
      <x:c r="J90" s="10"/>
      <x:c r="K90" s="25"/>
      <x:c r="L90" s="27"/>
    </x:row>
    <x:row r="91" ht="25" customHeight="1">
      <x:c r="A91" s="10"/>
      <x:c r="B91" s="10"/>
      <x:c r="C91" s="11"/>
      <x:c r="D91" s="11"/>
      <x:c r="E91" s="26" t="str">
        <x:f>IF(K91="","",IF(K91="Livre",IF(AND(ISNUMBER(L91),L91&gt;0),L91,"Pendente"),IF(K91="Emenda 50Ø",IF(AND(ISNUMBER(D91),D91&gt;0),'Pormenores PDF'!$B$13*D91/1000,"Pendente"),IF(K91="Segmento 0,30 m",'Pormenores PDF'!$B$14,IF(K91="Segmento 0,50 m",'Pormenores PDF'!$B$16,"Pendente")))))</x:f>
      </x:c>
      <x:c r="F91" s="12" t="str">
        <x:f>IF(D91="","",IF(COUNTIF('Como utilizar'!$D$7:$D$14,D91)=0,"Pendente",VLOOKUP(D91,'Como utilizar'!$D$7:$E$14,2,FALSE)))</x:f>
      </x:c>
      <x:c r="G91" s="12" t="str">
        <x:f>IF(H91="","",IF(H91="OK",C91*E91*F91,"Pendente"))</x:f>
      </x:c>
      <x:c r="H91" s="2" t="str">
        <x:f>IF(COUNTA(A91:D91,I91:L91)=0,"",IF(AND(COUNTIF(Tipos!$A$7:$A$52,A91)=1,B91&lt;&gt;"",ISNUMBER(C91),C91&lt;&gt;0,C91=INT(C91),ISNUMBER(F91),ISNUMBER(E91),E91&gt;0,I91&lt;&gt;"",J91&lt;&gt;""),"OK","Pendente"))</x:f>
      </x:c>
      <x:c r="I91" s="10"/>
      <x:c r="J91" s="10"/>
      <x:c r="K91" s="25"/>
      <x:c r="L91" s="27"/>
    </x:row>
    <x:row r="92" ht="25" customHeight="1">
      <x:c r="A92" s="10"/>
      <x:c r="B92" s="10"/>
      <x:c r="C92" s="11"/>
      <x:c r="D92" s="11"/>
      <x:c r="E92" s="26" t="str">
        <x:f>IF(K92="","",IF(K92="Livre",IF(AND(ISNUMBER(L92),L92&gt;0),L92,"Pendente"),IF(K92="Emenda 50Ø",IF(AND(ISNUMBER(D92),D92&gt;0),'Pormenores PDF'!$B$13*D92/1000,"Pendente"),IF(K92="Segmento 0,30 m",'Pormenores PDF'!$B$14,IF(K92="Segmento 0,50 m",'Pormenores PDF'!$B$16,"Pendente")))))</x:f>
      </x:c>
      <x:c r="F92" s="12" t="str">
        <x:f>IF(D92="","",IF(COUNTIF('Como utilizar'!$D$7:$D$14,D92)=0,"Pendente",VLOOKUP(D92,'Como utilizar'!$D$7:$E$14,2,FALSE)))</x:f>
      </x:c>
      <x:c r="G92" s="12" t="str">
        <x:f>IF(H92="","",IF(H92="OK",C92*E92*F92,"Pendente"))</x:f>
      </x:c>
      <x:c r="H92" s="2" t="str">
        <x:f>IF(COUNTA(A92:D92,I92:L92)=0,"",IF(AND(COUNTIF(Tipos!$A$7:$A$52,A92)=1,B92&lt;&gt;"",ISNUMBER(C92),C92&lt;&gt;0,C92=INT(C92),ISNUMBER(F92),ISNUMBER(E92),E92&gt;0,I92&lt;&gt;"",J92&lt;&gt;""),"OK","Pendente"))</x:f>
      </x:c>
      <x:c r="I92" s="10"/>
      <x:c r="J92" s="10"/>
      <x:c r="K92" s="25"/>
      <x:c r="L92" s="27"/>
    </x:row>
    <x:row r="93" ht="25" customHeight="1">
      <x:c r="A93" s="10"/>
      <x:c r="B93" s="10"/>
      <x:c r="C93" s="11"/>
      <x:c r="D93" s="11"/>
      <x:c r="E93" s="26" t="str">
        <x:f>IF(K93="","",IF(K93="Livre",IF(AND(ISNUMBER(L93),L93&gt;0),L93,"Pendente"),IF(K93="Emenda 50Ø",IF(AND(ISNUMBER(D93),D93&gt;0),'Pormenores PDF'!$B$13*D93/1000,"Pendente"),IF(K93="Segmento 0,30 m",'Pormenores PDF'!$B$14,IF(K93="Segmento 0,50 m",'Pormenores PDF'!$B$16,"Pendente")))))</x:f>
      </x:c>
      <x:c r="F93" s="12" t="str">
        <x:f>IF(D93="","",IF(COUNTIF('Como utilizar'!$D$7:$D$14,D93)=0,"Pendente",VLOOKUP(D93,'Como utilizar'!$D$7:$E$14,2,FALSE)))</x:f>
      </x:c>
      <x:c r="G93" s="12" t="str">
        <x:f>IF(H93="","",IF(H93="OK",C93*E93*F93,"Pendente"))</x:f>
      </x:c>
      <x:c r="H93" s="2" t="str">
        <x:f>IF(COUNTA(A93:D93,I93:L93)=0,"",IF(AND(COUNTIF(Tipos!$A$7:$A$52,A93)=1,B93&lt;&gt;"",ISNUMBER(C93),C93&lt;&gt;0,C93=INT(C93),ISNUMBER(F93),ISNUMBER(E93),E93&gt;0,I93&lt;&gt;"",J93&lt;&gt;""),"OK","Pendente"))</x:f>
      </x:c>
      <x:c r="I93" s="10"/>
      <x:c r="J93" s="10"/>
      <x:c r="K93" s="25"/>
      <x:c r="L93" s="27"/>
    </x:row>
    <x:row r="94" ht="25" customHeight="1">
      <x:c r="A94" s="10"/>
      <x:c r="B94" s="10"/>
      <x:c r="C94" s="11"/>
      <x:c r="D94" s="11"/>
      <x:c r="E94" s="26" t="str">
        <x:f>IF(K94="","",IF(K94="Livre",IF(AND(ISNUMBER(L94),L94&gt;0),L94,"Pendente"),IF(K94="Emenda 50Ø",IF(AND(ISNUMBER(D94),D94&gt;0),'Pormenores PDF'!$B$13*D94/1000,"Pendente"),IF(K94="Segmento 0,30 m",'Pormenores PDF'!$B$14,IF(K94="Segmento 0,50 m",'Pormenores PDF'!$B$16,"Pendente")))))</x:f>
      </x:c>
      <x:c r="F94" s="12" t="str">
        <x:f>IF(D94="","",IF(COUNTIF('Como utilizar'!$D$7:$D$14,D94)=0,"Pendente",VLOOKUP(D94,'Como utilizar'!$D$7:$E$14,2,FALSE)))</x:f>
      </x:c>
      <x:c r="G94" s="12" t="str">
        <x:f>IF(H94="","",IF(H94="OK",C94*E94*F94,"Pendente"))</x:f>
      </x:c>
      <x:c r="H94" s="2" t="str">
        <x:f>IF(COUNTA(A94:D94,I94:L94)=0,"",IF(AND(COUNTIF(Tipos!$A$7:$A$52,A94)=1,B94&lt;&gt;"",ISNUMBER(C94),C94&lt;&gt;0,C94=INT(C94),ISNUMBER(F94),ISNUMBER(E94),E94&gt;0,I94&lt;&gt;"",J94&lt;&gt;""),"OK","Pendente"))</x:f>
      </x:c>
      <x:c r="I94" s="10"/>
      <x:c r="J94" s="10"/>
      <x:c r="K94" s="25"/>
      <x:c r="L94" s="27"/>
    </x:row>
    <x:row r="95" ht="25" customHeight="1">
      <x:c r="A95" s="10"/>
      <x:c r="B95" s="10"/>
      <x:c r="C95" s="11"/>
      <x:c r="D95" s="11"/>
      <x:c r="E95" s="26" t="str">
        <x:f>IF(K95="","",IF(K95="Livre",IF(AND(ISNUMBER(L95),L95&gt;0),L95,"Pendente"),IF(K95="Emenda 50Ø",IF(AND(ISNUMBER(D95),D95&gt;0),'Pormenores PDF'!$B$13*D95/1000,"Pendente"),IF(K95="Segmento 0,30 m",'Pormenores PDF'!$B$14,IF(K95="Segmento 0,50 m",'Pormenores PDF'!$B$16,"Pendente")))))</x:f>
      </x:c>
      <x:c r="F95" s="12" t="str">
        <x:f>IF(D95="","",IF(COUNTIF('Como utilizar'!$D$7:$D$14,D95)=0,"Pendente",VLOOKUP(D95,'Como utilizar'!$D$7:$E$14,2,FALSE)))</x:f>
      </x:c>
      <x:c r="G95" s="12" t="str">
        <x:f>IF(H95="","",IF(H95="OK",C95*E95*F95,"Pendente"))</x:f>
      </x:c>
      <x:c r="H95" s="2" t="str">
        <x:f>IF(COUNTA(A95:D95,I95:L95)=0,"",IF(AND(COUNTIF(Tipos!$A$7:$A$52,A95)=1,B95&lt;&gt;"",ISNUMBER(C95),C95&lt;&gt;0,C95=INT(C95),ISNUMBER(F95),ISNUMBER(E95),E95&gt;0,I95&lt;&gt;"",J95&lt;&gt;""),"OK","Pendente"))</x:f>
      </x:c>
      <x:c r="I95" s="10"/>
      <x:c r="J95" s="10"/>
      <x:c r="K95" s="25"/>
      <x:c r="L95" s="27"/>
    </x:row>
    <x:row r="96" ht="25" customHeight="1">
      <x:c r="A96" s="10"/>
      <x:c r="B96" s="10"/>
      <x:c r="C96" s="11"/>
      <x:c r="D96" s="11"/>
      <x:c r="E96" s="26" t="str">
        <x:f>IF(K96="","",IF(K96="Livre",IF(AND(ISNUMBER(L96),L96&gt;0),L96,"Pendente"),IF(K96="Emenda 50Ø",IF(AND(ISNUMBER(D96),D96&gt;0),'Pormenores PDF'!$B$13*D96/1000,"Pendente"),IF(K96="Segmento 0,30 m",'Pormenores PDF'!$B$14,IF(K96="Segmento 0,50 m",'Pormenores PDF'!$B$16,"Pendente")))))</x:f>
      </x:c>
      <x:c r="F96" s="12" t="str">
        <x:f>IF(D96="","",IF(COUNTIF('Como utilizar'!$D$7:$D$14,D96)=0,"Pendente",VLOOKUP(D96,'Como utilizar'!$D$7:$E$14,2,FALSE)))</x:f>
      </x:c>
      <x:c r="G96" s="12" t="str">
        <x:f>IF(H96="","",IF(H96="OK",C96*E96*F96,"Pendente"))</x:f>
      </x:c>
      <x:c r="H96" s="2" t="str">
        <x:f>IF(COUNTA(A96:D96,I96:L96)=0,"",IF(AND(COUNTIF(Tipos!$A$7:$A$52,A96)=1,B96&lt;&gt;"",ISNUMBER(C96),C96&lt;&gt;0,C96=INT(C96),ISNUMBER(F96),ISNUMBER(E96),E96&gt;0,I96&lt;&gt;"",J96&lt;&gt;""),"OK","Pendente"))</x:f>
      </x:c>
      <x:c r="I96" s="10"/>
      <x:c r="J96" s="10"/>
      <x:c r="K96" s="25"/>
      <x:c r="L96" s="27"/>
    </x:row>
    <x:row r="97" ht="25" customHeight="1">
      <x:c r="A97" s="10"/>
      <x:c r="B97" s="10"/>
      <x:c r="C97" s="11"/>
      <x:c r="D97" s="11"/>
      <x:c r="E97" s="26" t="str">
        <x:f>IF(K97="","",IF(K97="Livre",IF(AND(ISNUMBER(L97),L97&gt;0),L97,"Pendente"),IF(K97="Emenda 50Ø",IF(AND(ISNUMBER(D97),D97&gt;0),'Pormenores PDF'!$B$13*D97/1000,"Pendente"),IF(K97="Segmento 0,30 m",'Pormenores PDF'!$B$14,IF(K97="Segmento 0,50 m",'Pormenores PDF'!$B$16,"Pendente")))))</x:f>
      </x:c>
      <x:c r="F97" s="12" t="str">
        <x:f>IF(D97="","",IF(COUNTIF('Como utilizar'!$D$7:$D$14,D97)=0,"Pendente",VLOOKUP(D97,'Como utilizar'!$D$7:$E$14,2,FALSE)))</x:f>
      </x:c>
      <x:c r="G97" s="12" t="str">
        <x:f>IF(H97="","",IF(H97="OK",C97*E97*F97,"Pendente"))</x:f>
      </x:c>
      <x:c r="H97" s="2" t="str">
        <x:f>IF(COUNTA(A97:D97,I97:L97)=0,"",IF(AND(COUNTIF(Tipos!$A$7:$A$52,A97)=1,B97&lt;&gt;"",ISNUMBER(C97),C97&lt;&gt;0,C97=INT(C97),ISNUMBER(F97),ISNUMBER(E97),E97&gt;0,I97&lt;&gt;"",J97&lt;&gt;""),"OK","Pendente"))</x:f>
      </x:c>
      <x:c r="I97" s="10"/>
      <x:c r="J97" s="10"/>
      <x:c r="K97" s="25"/>
      <x:c r="L97" s="27"/>
    </x:row>
    <x:row r="98" ht="25" customHeight="1">
      <x:c r="A98" s="10"/>
      <x:c r="B98" s="10"/>
      <x:c r="C98" s="11"/>
      <x:c r="D98" s="11"/>
      <x:c r="E98" s="26" t="str">
        <x:f>IF(K98="","",IF(K98="Livre",IF(AND(ISNUMBER(L98),L98&gt;0),L98,"Pendente"),IF(K98="Emenda 50Ø",IF(AND(ISNUMBER(D98),D98&gt;0),'Pormenores PDF'!$B$13*D98/1000,"Pendente"),IF(K98="Segmento 0,30 m",'Pormenores PDF'!$B$14,IF(K98="Segmento 0,50 m",'Pormenores PDF'!$B$16,"Pendente")))))</x:f>
      </x:c>
      <x:c r="F98" s="12" t="str">
        <x:f>IF(D98="","",IF(COUNTIF('Como utilizar'!$D$7:$D$14,D98)=0,"Pendente",VLOOKUP(D98,'Como utilizar'!$D$7:$E$14,2,FALSE)))</x:f>
      </x:c>
      <x:c r="G98" s="12" t="str">
        <x:f>IF(H98="","",IF(H98="OK",C98*E98*F98,"Pendente"))</x:f>
      </x:c>
      <x:c r="H98" s="2" t="str">
        <x:f>IF(COUNTA(A98:D98,I98:L98)=0,"",IF(AND(COUNTIF(Tipos!$A$7:$A$52,A98)=1,B98&lt;&gt;"",ISNUMBER(C98),C98&lt;&gt;0,C98=INT(C98),ISNUMBER(F98),ISNUMBER(E98),E98&gt;0,I98&lt;&gt;"",J98&lt;&gt;""),"OK","Pendente"))</x:f>
      </x:c>
      <x:c r="I98" s="10"/>
      <x:c r="J98" s="10"/>
      <x:c r="K98" s="25"/>
      <x:c r="L98" s="27"/>
    </x:row>
    <x:row r="99" ht="25" customHeight="1">
      <x:c r="A99" s="10"/>
      <x:c r="B99" s="10"/>
      <x:c r="C99" s="11"/>
      <x:c r="D99" s="11"/>
      <x:c r="E99" s="26" t="str">
        <x:f>IF(K99="","",IF(K99="Livre",IF(AND(ISNUMBER(L99),L99&gt;0),L99,"Pendente"),IF(K99="Emenda 50Ø",IF(AND(ISNUMBER(D99),D99&gt;0),'Pormenores PDF'!$B$13*D99/1000,"Pendente"),IF(K99="Segmento 0,30 m",'Pormenores PDF'!$B$14,IF(K99="Segmento 0,50 m",'Pormenores PDF'!$B$16,"Pendente")))))</x:f>
      </x:c>
      <x:c r="F99" s="12" t="str">
        <x:f>IF(D99="","",IF(COUNTIF('Como utilizar'!$D$7:$D$14,D99)=0,"Pendente",VLOOKUP(D99,'Como utilizar'!$D$7:$E$14,2,FALSE)))</x:f>
      </x:c>
      <x:c r="G99" s="12" t="str">
        <x:f>IF(H99="","",IF(H99="OK",C99*E99*F99,"Pendente"))</x:f>
      </x:c>
      <x:c r="H99" s="2" t="str">
        <x:f>IF(COUNTA(A99:D99,I99:L99)=0,"",IF(AND(COUNTIF(Tipos!$A$7:$A$52,A99)=1,B99&lt;&gt;"",ISNUMBER(C99),C99&lt;&gt;0,C99=INT(C99),ISNUMBER(F99),ISNUMBER(E99),E99&gt;0,I99&lt;&gt;"",J99&lt;&gt;""),"OK","Pendente"))</x:f>
      </x:c>
      <x:c r="I99" s="10"/>
      <x:c r="J99" s="10"/>
      <x:c r="K99" s="25"/>
      <x:c r="L99" s="27"/>
    </x:row>
    <x:row r="100" ht="25" customHeight="1">
      <x:c r="A100" s="10"/>
      <x:c r="B100" s="10"/>
      <x:c r="C100" s="11"/>
      <x:c r="D100" s="11"/>
      <x:c r="E100" s="26" t="str">
        <x:f>IF(K100="","",IF(K100="Livre",IF(AND(ISNUMBER(L100),L100&gt;0),L100,"Pendente"),IF(K100="Emenda 50Ø",IF(AND(ISNUMBER(D100),D100&gt;0),'Pormenores PDF'!$B$13*D100/1000,"Pendente"),IF(K100="Segmento 0,30 m",'Pormenores PDF'!$B$14,IF(K100="Segmento 0,50 m",'Pormenores PDF'!$B$16,"Pendente")))))</x:f>
      </x:c>
      <x:c r="F100" s="12" t="str">
        <x:f>IF(D100="","",IF(COUNTIF('Como utilizar'!$D$7:$D$14,D100)=0,"Pendente",VLOOKUP(D100,'Como utilizar'!$D$7:$E$14,2,FALSE)))</x:f>
      </x:c>
      <x:c r="G100" s="12" t="str">
        <x:f>IF(H100="","",IF(H100="OK",C100*E100*F100,"Pendente"))</x:f>
      </x:c>
      <x:c r="H100" s="2" t="str">
        <x:f>IF(COUNTA(A100:D100,I100:L100)=0,"",IF(AND(COUNTIF(Tipos!$A$7:$A$52,A100)=1,B100&lt;&gt;"",ISNUMBER(C100),C100&lt;&gt;0,C100=INT(C100),ISNUMBER(F100),ISNUMBER(E100),E100&gt;0,I100&lt;&gt;"",J100&lt;&gt;""),"OK","Pendente"))</x:f>
      </x:c>
      <x:c r="I100" s="10"/>
      <x:c r="J100" s="10"/>
      <x:c r="K100" s="25"/>
      <x:c r="L100" s="27"/>
    </x:row>
    <x:row r="101" ht="25" customHeight="1">
      <x:c r="A101" s="10"/>
      <x:c r="B101" s="10"/>
      <x:c r="C101" s="11"/>
      <x:c r="D101" s="11"/>
      <x:c r="E101" s="26" t="str">
        <x:f>IF(K101="","",IF(K101="Livre",IF(AND(ISNUMBER(L101),L101&gt;0),L101,"Pendente"),IF(K101="Emenda 50Ø",IF(AND(ISNUMBER(D101),D101&gt;0),'Pormenores PDF'!$B$13*D101/1000,"Pendente"),IF(K101="Segmento 0,30 m",'Pormenores PDF'!$B$14,IF(K101="Segmento 0,50 m",'Pormenores PDF'!$B$16,"Pendente")))))</x:f>
      </x:c>
      <x:c r="F101" s="12" t="str">
        <x:f>IF(D101="","",IF(COUNTIF('Como utilizar'!$D$7:$D$14,D101)=0,"Pendente",VLOOKUP(D101,'Como utilizar'!$D$7:$E$14,2,FALSE)))</x:f>
      </x:c>
      <x:c r="G101" s="12" t="str">
        <x:f>IF(H101="","",IF(H101="OK",C101*E101*F101,"Pendente"))</x:f>
      </x:c>
      <x:c r="H101" s="2" t="str">
        <x:f>IF(COUNTA(A101:D101,I101:L101)=0,"",IF(AND(COUNTIF(Tipos!$A$7:$A$52,A101)=1,B101&lt;&gt;"",ISNUMBER(C101),C101&lt;&gt;0,C101=INT(C101),ISNUMBER(F101),ISNUMBER(E101),E101&gt;0,I101&lt;&gt;"",J101&lt;&gt;""),"OK","Pendente"))</x:f>
      </x:c>
      <x:c r="I101" s="10"/>
      <x:c r="J101" s="10"/>
      <x:c r="K101" s="25"/>
      <x:c r="L101" s="27"/>
    </x:row>
    <x:row r="102" ht="25" customHeight="1">
      <x:c r="A102" s="10"/>
      <x:c r="B102" s="10"/>
      <x:c r="C102" s="11"/>
      <x:c r="D102" s="11"/>
      <x:c r="E102" s="26" t="str">
        <x:f>IF(K102="","",IF(K102="Livre",IF(AND(ISNUMBER(L102),L102&gt;0),L102,"Pendente"),IF(K102="Emenda 50Ø",IF(AND(ISNUMBER(D102),D102&gt;0),'Pormenores PDF'!$B$13*D102/1000,"Pendente"),IF(K102="Segmento 0,30 m",'Pormenores PDF'!$B$14,IF(K102="Segmento 0,50 m",'Pormenores PDF'!$B$16,"Pendente")))))</x:f>
      </x:c>
      <x:c r="F102" s="12" t="str">
        <x:f>IF(D102="","",IF(COUNTIF('Como utilizar'!$D$7:$D$14,D102)=0,"Pendente",VLOOKUP(D102,'Como utilizar'!$D$7:$E$14,2,FALSE)))</x:f>
      </x:c>
      <x:c r="G102" s="12" t="str">
        <x:f>IF(H102="","",IF(H102="OK",C102*E102*F102,"Pendente"))</x:f>
      </x:c>
      <x:c r="H102" s="2" t="str">
        <x:f>IF(COUNTA(A102:D102,I102:L102)=0,"",IF(AND(COUNTIF(Tipos!$A$7:$A$52,A102)=1,B102&lt;&gt;"",ISNUMBER(C102),C102&lt;&gt;0,C102=INT(C102),ISNUMBER(F102),ISNUMBER(E102),E102&gt;0,I102&lt;&gt;"",J102&lt;&gt;""),"OK","Pendente"))</x:f>
      </x:c>
      <x:c r="I102" s="10"/>
      <x:c r="J102" s="10"/>
      <x:c r="K102" s="25"/>
      <x:c r="L102" s="27"/>
    </x:row>
    <x:row r="103" ht="25" customHeight="1">
      <x:c r="A103" s="10"/>
      <x:c r="B103" s="10"/>
      <x:c r="C103" s="11"/>
      <x:c r="D103" s="11"/>
      <x:c r="E103" s="26" t="str">
        <x:f>IF(K103="","",IF(K103="Livre",IF(AND(ISNUMBER(L103),L103&gt;0),L103,"Pendente"),IF(K103="Emenda 50Ø",IF(AND(ISNUMBER(D103),D103&gt;0),'Pormenores PDF'!$B$13*D103/1000,"Pendente"),IF(K103="Segmento 0,30 m",'Pormenores PDF'!$B$14,IF(K103="Segmento 0,50 m",'Pormenores PDF'!$B$16,"Pendente")))))</x:f>
      </x:c>
      <x:c r="F103" s="12" t="str">
        <x:f>IF(D103="","",IF(COUNTIF('Como utilizar'!$D$7:$D$14,D103)=0,"Pendente",VLOOKUP(D103,'Como utilizar'!$D$7:$E$14,2,FALSE)))</x:f>
      </x:c>
      <x:c r="G103" s="12" t="str">
        <x:f>IF(H103="","",IF(H103="OK",C103*E103*F103,"Pendente"))</x:f>
      </x:c>
      <x:c r="H103" s="2" t="str">
        <x:f>IF(COUNTA(A103:D103,I103:L103)=0,"",IF(AND(COUNTIF(Tipos!$A$7:$A$52,A103)=1,B103&lt;&gt;"",ISNUMBER(C103),C103&lt;&gt;0,C103=INT(C103),ISNUMBER(F103),ISNUMBER(E103),E103&gt;0,I103&lt;&gt;"",J103&lt;&gt;""),"OK","Pendente"))</x:f>
      </x:c>
      <x:c r="I103" s="10"/>
      <x:c r="J103" s="10"/>
      <x:c r="K103" s="25"/>
      <x:c r="L103" s="27"/>
    </x:row>
    <x:row r="104" ht="25" customHeight="1">
      <x:c r="A104" s="10"/>
      <x:c r="B104" s="10"/>
      <x:c r="C104" s="11"/>
      <x:c r="D104" s="11"/>
      <x:c r="E104" s="26" t="str">
        <x:f>IF(K104="","",IF(K104="Livre",IF(AND(ISNUMBER(L104),L104&gt;0),L104,"Pendente"),IF(K104="Emenda 50Ø",IF(AND(ISNUMBER(D104),D104&gt;0),'Pormenores PDF'!$B$13*D104/1000,"Pendente"),IF(K104="Segmento 0,30 m",'Pormenores PDF'!$B$14,IF(K104="Segmento 0,50 m",'Pormenores PDF'!$B$16,"Pendente")))))</x:f>
      </x:c>
      <x:c r="F104" s="12" t="str">
        <x:f>IF(D104="","",IF(COUNTIF('Como utilizar'!$D$7:$D$14,D104)=0,"Pendente",VLOOKUP(D104,'Como utilizar'!$D$7:$E$14,2,FALSE)))</x:f>
      </x:c>
      <x:c r="G104" s="12" t="str">
        <x:f>IF(H104="","",IF(H104="OK",C104*E104*F104,"Pendente"))</x:f>
      </x:c>
      <x:c r="H104" s="2" t="str">
        <x:f>IF(COUNTA(A104:D104,I104:L104)=0,"",IF(AND(COUNTIF(Tipos!$A$7:$A$52,A104)=1,B104&lt;&gt;"",ISNUMBER(C104),C104&lt;&gt;0,C104=INT(C104),ISNUMBER(F104),ISNUMBER(E104),E104&gt;0,I104&lt;&gt;"",J104&lt;&gt;""),"OK","Pendente"))</x:f>
      </x:c>
      <x:c r="I104" s="10"/>
      <x:c r="J104" s="10"/>
      <x:c r="K104" s="25"/>
      <x:c r="L104" s="27"/>
    </x:row>
    <x:row r="105" ht="25" customHeight="1">
      <x:c r="A105" s="10"/>
      <x:c r="B105" s="10"/>
      <x:c r="C105" s="11"/>
      <x:c r="D105" s="11"/>
      <x:c r="E105" s="26" t="str">
        <x:f>IF(K105="","",IF(K105="Livre",IF(AND(ISNUMBER(L105),L105&gt;0),L105,"Pendente"),IF(K105="Emenda 50Ø",IF(AND(ISNUMBER(D105),D105&gt;0),'Pormenores PDF'!$B$13*D105/1000,"Pendente"),IF(K105="Segmento 0,30 m",'Pormenores PDF'!$B$14,IF(K105="Segmento 0,50 m",'Pormenores PDF'!$B$16,"Pendente")))))</x:f>
      </x:c>
      <x:c r="F105" s="12" t="str">
        <x:f>IF(D105="","",IF(COUNTIF('Como utilizar'!$D$7:$D$14,D105)=0,"Pendente",VLOOKUP(D105,'Como utilizar'!$D$7:$E$14,2,FALSE)))</x:f>
      </x:c>
      <x:c r="G105" s="12" t="str">
        <x:f>IF(H105="","",IF(H105="OK",C105*E105*F105,"Pendente"))</x:f>
      </x:c>
      <x:c r="H105" s="2" t="str">
        <x:f>IF(COUNTA(A105:D105,I105:L105)=0,"",IF(AND(COUNTIF(Tipos!$A$7:$A$52,A105)=1,B105&lt;&gt;"",ISNUMBER(C105),C105&lt;&gt;0,C105=INT(C105),ISNUMBER(F105),ISNUMBER(E105),E105&gt;0,I105&lt;&gt;"",J105&lt;&gt;""),"OK","Pendente"))</x:f>
      </x:c>
      <x:c r="I105" s="10"/>
      <x:c r="J105" s="10"/>
      <x:c r="K105" s="25"/>
      <x:c r="L105" s="27"/>
    </x:row>
    <x:row r="106" ht="25" customHeight="1">
      <x:c r="A106" s="10"/>
      <x:c r="B106" s="10"/>
      <x:c r="C106" s="11"/>
      <x:c r="D106" s="11"/>
      <x:c r="E106" s="26" t="str">
        <x:f>IF(K106="","",IF(K106="Livre",IF(AND(ISNUMBER(L106),L106&gt;0),L106,"Pendente"),IF(K106="Emenda 50Ø",IF(AND(ISNUMBER(D106),D106&gt;0),'Pormenores PDF'!$B$13*D106/1000,"Pendente"),IF(K106="Segmento 0,30 m",'Pormenores PDF'!$B$14,IF(K106="Segmento 0,50 m",'Pormenores PDF'!$B$16,"Pendente")))))</x:f>
      </x:c>
      <x:c r="F106" s="12" t="str">
        <x:f>IF(D106="","",IF(COUNTIF('Como utilizar'!$D$7:$D$14,D106)=0,"Pendente",VLOOKUP(D106,'Como utilizar'!$D$7:$E$14,2,FALSE)))</x:f>
      </x:c>
      <x:c r="G106" s="12" t="str">
        <x:f>IF(H106="","",IF(H106="OK",C106*E106*F106,"Pendente"))</x:f>
      </x:c>
      <x:c r="H106" s="2" t="str">
        <x:f>IF(COUNTA(A106:D106,I106:L106)=0,"",IF(AND(COUNTIF(Tipos!$A$7:$A$52,A106)=1,B106&lt;&gt;"",ISNUMBER(C106),C106&lt;&gt;0,C106=INT(C106),ISNUMBER(F106),ISNUMBER(E106),E106&gt;0,I106&lt;&gt;"",J106&lt;&gt;""),"OK","Pendente"))</x:f>
      </x:c>
      <x:c r="I106" s="10"/>
      <x:c r="J106" s="10"/>
      <x:c r="K106" s="25"/>
      <x:c r="L106" s="27"/>
    </x:row>
    <x:row r="107" ht="25" customHeight="1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</x:row>
    <x:row r="108" ht="25" customHeight="1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</x:row>
    <x:row r="109" ht="25" customHeight="1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</x:row>
    <x:row r="110" ht="25" customHeight="1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</x:row>
    <x:row r="111" ht="25" customHeight="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</x:row>
    <x:row r="112" ht="25" customHeight="1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</x:row>
    <x:row r="113" ht="25" customHeight="1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</x:row>
    <x:row r="114" ht="25" customHeight="1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</x:row>
    <x:row r="115" ht="25" customHeight="1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</x:row>
    <x:row r="116" ht="25" customHeight="1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</x:row>
    <x:row r="117" ht="25" customHeight="1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</x:row>
    <x:row r="118" ht="25" customHeight="1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</x:row>
    <x:row r="119" ht="25" customHeight="1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</x:row>
    <x:row r="120" ht="25" customHeight="1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</x:row>
    <x:row r="121" ht="25" customHeight="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</x:row>
    <x:row r="122" ht="25" customHeight="1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</x:row>
    <x:row r="123" ht="25" customHeight="1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</x:row>
    <x:row r="124" ht="25" customHeight="1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</x:row>
    <x:row r="125" ht="25" customHeight="1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</x:row>
    <x:row r="126" ht="25" customHeight="1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</x:row>
    <x:row r="127" ht="25" customHeight="1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</x:row>
    <x:row r="128" ht="25" customHeight="1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</x:row>
    <x:row r="129" ht="25" customHeight="1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</x:row>
    <x:row r="130" ht="25" customHeight="1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</x:row>
  </x:sheetData>
  <x:conditionalFormatting sqref="A1:J130">
    <x:cfRule type="containsText" dxfId="3" priority="1" operator="containsText" text="Pendente"/>
  </x:conditionalFormatting>
  <x:dataValidations count="2">
    <x:dataValidation type="list" sqref="A7:A106">
      <x:formula1>Tipos!$A$7:$A$52</x:formula1>
    </x:dataValidation>
    <x:dataValidation type="list" sqref="K7:K106">
      <x:formula1>"Livre,Emenda 50Ø,Segmento 0,30 m,Segmento 0,50 m"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30" hidden="0" customWidth="1"/>
    <x:col min="2" max="2" width="58" hidden="0" customWidth="1"/>
    <x:col min="3" max="3" width="58" hidden="0" customWidth="1"/>
    <x:col min="4" max="4" width="58" hidden="0" customWidth="1"/>
  </x:cols>
  <x:sheetData>
    <x:row r="1" ht="25" customHeight="1">
      <x:c r="A1" s="2"/>
      <x:c r="B1" s="2"/>
      <x:c r="C1" s="2"/>
      <x:c r="D1" s="2"/>
    </x:row>
    <x:row r="2" ht="25" customHeight="1">
      <x:c r="A2" s="3" t="str">
        <x:v>Leitura das 18 abas da Barba</x:v>
      </x:c>
      <x:c r="B2" s="2"/>
      <x:c r="C2" s="2"/>
      <x:c r="D2" s="2"/>
    </x:row>
    <x:row r="3" ht="25" customHeight="1">
      <x:c r="A3" s="4"/>
      <x:c r="B3" s="4"/>
      <x:c r="C3" s="4"/>
      <x:c r="D3" s="4"/>
    </x:row>
    <x:row r="4" ht="25" customHeight="1">
      <x:c r="A4" s="2"/>
      <x:c r="B4" s="2"/>
      <x:c r="C4" s="2"/>
      <x:c r="D4" s="2"/>
    </x:row>
    <x:row r="5" ht="25" customHeight="1">
      <x:c r="A5" s="2"/>
      <x:c r="B5" s="2"/>
      <x:c r="C5" s="2"/>
      <x:c r="D5" s="2"/>
    </x:row>
    <x:row r="6" ht="48" customHeight="1">
      <x:c r="A6" s="8" t="str">
        <x:v>Aba</x:v>
      </x:c>
      <x:c r="B6" s="8" t="str">
        <x:v>Conteúdo encontrado</x:v>
      </x:c>
      <x:c r="C6" s="8" t="str">
        <x:v>Uso no novo modelo</x:v>
      </x:c>
      <x:c r="D6" s="8" t="str">
        <x:v>Pendência / risco</x:v>
      </x:c>
    </x:row>
    <x:row r="7" ht="65" customHeight="1">
      <x:c r="A7" s="9" t="str">
        <x:v>MAPA_OBRA_707</x:v>
      </x:c>
      <x:c r="B7" s="9" t="str">
        <x:v>71 linhas de contrato / títulos.</x:v>
      </x:c>
      <x:c r="C7" s="9" t="str">
        <x:v>Referência contratual; não representa execução.</x:v>
      </x:c>
      <x:c r="D7" s="9" t="str">
        <x:v>Artigos 4.3.1 e 4.3.2 repetidos; há trabalhos sem modelo geométrico (escadas, piscinas, Cupolex).</x:v>
      </x:c>
    </x:row>
    <x:row r="8" ht="65" customHeight="1">
      <x:c r="A8" s="9" t="str">
        <x:v>PISOS</x:v>
      </x:c>
      <x:c r="B8" s="9" t="str">
        <x:v>Piso 0 usado em PILARES não existe no cadastro.</x:v>
      </x:c>
      <x:c r="C8" s="9" t="str">
        <x:v>Coeficientes por metro dispensam altura total.</x:v>
      </x:c>
      <x:c r="D8" s="9" t="str">
        <x:v>Não copiar alturas inferidas; P8-P1 tem 3,90 m explícitos.</x:v>
      </x:c>
    </x:row>
    <x:row r="9" ht="65" customHeight="1">
      <x:c r="A9" s="9" t="str">
        <x:v>PILARES (G)</x:v>
      </x:c>
      <x:c r="B9" s="9" t="str">
        <x:v>8 registos paralelos, P1/P2/P3/P7.</x:v>
      </x:c>
      <x:c r="C9" s="9" t="str">
        <x:v>Não somar com PILARES.</x:v>
      </x:c>
      <x:c r="D9" s="9" t="str">
        <x:v>P7 Piso -1 usa fórmula circular com D=50 cm; diverge dos Ø30 cm de PILARES/notas.</x:v>
      </x:c>
    </x:row>
    <x:row r="10" ht="65" customHeight="1">
      <x:c r="A10" s="9" t="str">
        <x:v>PILARES</x:v>
      </x:c>
      <x:c r="B10" s="9" t="str">
        <x:v>19 troços de P1 a P11.</x:v>
      </x:c>
      <x:c r="C10" s="9" t="str">
        <x:v>19 tipos por metro de altura.</x:v>
      </x:c>
      <x:c r="D10" s="9" t="str">
        <x:v>Cabeçalhos AG/AH invertidos; cintas interiores calculadas como exteriores; cortes e zonas a/2 pendentes.</x:v>
      </x:c>
    </x:row>
    <x:row r="11" ht="65" customHeight="1">
      <x:c r="A11" s="9" t="str">
        <x:v>SAPATAS</x:v>
      </x:c>
      <x:c r="B11" s="9" t="str">
        <x:v>S1–S7 e Pb1.</x:v>
      </x:c>
      <x:c r="C11" s="9" t="str">
        <x:v>S1–S7 por unidade; Pb1 por metro.</x:v>
      </x:c>
      <x:c r="D11" s="9" t="str">
        <x:v>Pb1 sobrepõe-se a Pb.1 em MUROS e tem espaçamentos divergentes; alternativa bloqueada. S1: dimensão preenchida, nota diz VER PLANTA.</x:v>
      </x:c>
    </x:row>
    <x:row r="12" ht="65" customHeight="1">
      <x:c r="A12" s="9" t="str">
        <x:v>MUROS</x:v>
      </x:c>
      <x:c r="B12" s="9" t="str">
        <x:v>MS.1–4, Pb.1–2, duas Pa.2.</x:v>
      </x:c>
      <x:c r="C12" s="9" t="str">
        <x:v>Muro e sapata separados; Pa.2 por metro de altura.</x:v>
      </x:c>
      <x:c r="D12" s="9" t="str">
        <x:v>Notas L/h pendente estão desatualizadas em algumas linhas. Bases por metro evitam depender do comprimento total.</x:v>
      </x:c>
    </x:row>
    <x:row r="13" ht="65" customHeight="1">
      <x:c r="A13" s="9" t="str">
        <x:v>VIGAS</x:v>
      </x:c>
      <x:c r="B13" s="9" t="str">
        <x:v>V1 e V2.</x:v>
      </x:c>
      <x:c r="C13" s="9" t="str">
        <x:v>Por metro de comprimento.</x:v>
      </x:c>
      <x:c r="D13" s="9" t="str">
        <x:v>Faltam cortes e confirmação do desenho; V2 usa Piso 2 não cadastrado.</x:v>
      </x:c>
    </x:row>
    <x:row r="14" ht="65" customHeight="1">
      <x:c r="A14" s="9" t="str">
        <x:v>LAJES</x:v>
      </x:c>
      <x:c r="B14" s="9" t="str">
        <x:v>L1/L3 maciças, L2 aligeirada.</x:v>
      </x:c>
      <x:c r="C14" s="9" t="str">
        <x:v>Por m²; bordos e reforços locais separados.</x:v>
      </x:c>
      <x:c r="D14" s="9" t="str">
        <x:v>Fator 0,65 do betão aligeirado sem memória geométrica; não transferido. Armadura de temperatura não é malha detalhada.</x:v>
      </x:c>
    </x:row>
    <x:row r="15" ht="65" customHeight="1">
      <x:c r="A15" s="9" t="str">
        <x:v>TABELA DE PESOS</x:v>
      </x:c>
      <x:c r="B15" s="9" t="str">
        <x:v>Ø6 a Ø32, pesos kg/m.</x:v>
      </x:c>
      <x:c r="C15" s="9" t="str">
        <x:v>Mesmos pesos usados em Armaduras base.</x:v>
      </x:c>
      <x:c r="D15" s="9" t="str">
        <x:v>Fórmulas originais A2:B9 excluem Ø32 da linha 10.</x:v>
      </x:c>
    </x:row>
    <x:row r="16" ht="65" customHeight="1">
      <x:c r="A16" s="9" t="str">
        <x:v>RESUMO GERAL</x:v>
      </x:c>
      <x:c r="B16" s="9" t="str">
        <x:v>Soma das abas de levantamento.</x:v>
      </x:c>
      <x:c r="C16" s="9" t="str">
        <x:v>Não reutilizar como medição do mês.</x:v>
      </x:c>
      <x:c r="D16" s="9" t="str">
        <x:v>Sapatas contam A5:A11 mas totais incluem Pb1; risco de duplicação com MUROS.</x:v>
      </x:c>
    </x:row>
    <x:row r="17" ht="65" customHeight="1">
      <x:c r="A17" s="9" t="str">
        <x:v>NOTAS DO PROJETO</x:v>
      </x:c>
      <x:c r="B17" s="9" t="str">
        <x:v>Critérios e limitações do desenho 05.</x:v>
      </x:c>
      <x:c r="C17" s="9" t="str">
        <x:v>Mantidos como pendências de validação.</x:v>
      </x:c>
      <x:c r="D17" s="9" t="str">
        <x:v>PDF conferido nesta revisão: inclui muros MS/Pb, paredes Pa e escada E1. A alegação anterior de ausência de muros estava incorreta. Vigas V1/V2 e sapatas S1–S7 não identificadas.</x:v>
      </x:c>
    </x:row>
    <x:row r="18" ht="65" customHeight="1">
      <x:c r="A18" s="9" t="str">
        <x:v>AUTO_GERAL_MEDICAO</x:v>
      </x:c>
      <x:c r="B18" s="9" t="str">
        <x:v>Auto com contrato, anterior, mês, acumulado e preço.</x:v>
      </x:c>
      <x:c r="C18" s="9" t="str">
        <x:v>Receber quantidades conferidas deste novo modelo.</x:v>
      </x:c>
      <x:c r="D18" s="9" t="str">
        <x:v>Não ligado automaticamente: falta mapear tipos a artigos únicos e subempreiteiro.</x:v>
      </x:c>
    </x:row>
    <x:row r="19" ht="65" customHeight="1">
      <x:c r="A19" s="9" t="str">
        <x:v>SUB_COFRAGEM</x:v>
      </x:c>
      <x:c r="B19" s="9" t="str">
        <x:v>Auto com contrato, anterior, mês, acumulado e preço.</x:v>
      </x:c>
      <x:c r="C19" s="9" t="str">
        <x:v>Receber quantidades conferidas deste novo modelo.</x:v>
      </x:c>
      <x:c r="D19" s="9" t="str">
        <x:v>Não ligado automaticamente: falta mapear tipos a artigos únicos e subempreiteiro.</x:v>
      </x:c>
    </x:row>
    <x:row r="20" ht="65" customHeight="1">
      <x:c r="A20" s="9" t="str">
        <x:v>SUB_ARMADURAS</x:v>
      </x:c>
      <x:c r="B20" s="9" t="str">
        <x:v>Auto com contrato, anterior, mês, acumulado e preço.</x:v>
      </x:c>
      <x:c r="C20" s="9" t="str">
        <x:v>Receber quantidades conferidas deste novo modelo.</x:v>
      </x:c>
      <x:c r="D20" s="9" t="str">
        <x:v>Não ligado automaticamente: falta mapear tipos a artigos únicos e subempreiteiro.</x:v>
      </x:c>
    </x:row>
    <x:row r="21" ht="65" customHeight="1">
      <x:c r="A21" s="9" t="str">
        <x:v>SUB_BETAO</x:v>
      </x:c>
      <x:c r="B21" s="9" t="str">
        <x:v>Auto com contrato, anterior, mês, acumulado e preço.</x:v>
      </x:c>
      <x:c r="C21" s="9" t="str">
        <x:v>Receber quantidades conferidas deste novo modelo.</x:v>
      </x:c>
      <x:c r="D21" s="9" t="str">
        <x:v>Não ligado automaticamente: falta mapear tipos a artigos únicos e subempreiteiro.</x:v>
      </x:c>
    </x:row>
    <x:row r="22" ht="65" customHeight="1">
      <x:c r="A22" s="9" t="str">
        <x:v>SUB_ESPECIAIS</x:v>
      </x:c>
      <x:c r="B22" s="9" t="str">
        <x:v>Auto com contrato, anterior, mês, acumulado e preço.</x:v>
      </x:c>
      <x:c r="C22" s="9" t="str">
        <x:v>Receber quantidades conferidas deste novo modelo.</x:v>
      </x:c>
      <x:c r="D22" s="9" t="str">
        <x:v>Não ligado automaticamente: falta mapear tipos a artigos únicos e subempreiteiro.</x:v>
      </x:c>
    </x:row>
    <x:row r="23" ht="65" customHeight="1">
      <x:c r="A23" s="9" t="str">
        <x:v>AUTO_MARINEL</x:v>
      </x:c>
      <x:c r="B23" s="9" t="str">
        <x:v>Auto com contrato, anterior, mês, acumulado e preço.</x:v>
      </x:c>
      <x:c r="C23" s="9" t="str">
        <x:v>Receber quantidades conferidas deste novo modelo.</x:v>
      </x:c>
      <x:c r="D23" s="9" t="str">
        <x:v>Não ligado automaticamente: falta mapear tipos a artigos únicos e subempreiteiro.</x:v>
      </x:c>
    </x:row>
    <x:row r="24" ht="65" customHeight="1">
      <x:c r="A24" s="9" t="str">
        <x:v>AUTO_SECULUM_IMPERDIVEL</x:v>
      </x:c>
      <x:c r="B24" s="9" t="str">
        <x:v>Auto com contrato, anterior, mês, acumulado e preço.</x:v>
      </x:c>
      <x:c r="C24" s="9" t="str">
        <x:v>Receber quantidades conferidas deste novo modelo.</x:v>
      </x:c>
      <x:c r="D24" s="9" t="str">
        <x:v>Não ligado automaticamente: falta mapear tipos a artigos únicos e subempreiteiro.</x:v>
      </x:c>
    </x:row>
    <x:row r="25" ht="25" customHeight="1">
      <x:c r="A25" s="2"/>
      <x:c r="B25" s="2"/>
      <x:c r="C25" s="2"/>
      <x:c r="D25" s="2"/>
    </x:row>
    <x:row r="26" ht="25" customHeight="1">
      <x:c r="A26" s="2"/>
      <x:c r="B26" s="2"/>
      <x:c r="C26" s="2"/>
      <x:c r="D26" s="2"/>
    </x:row>
    <x:row r="27" ht="25" customHeight="1">
      <x:c r="A27" s="2"/>
      <x:c r="B27" s="2"/>
      <x:c r="C27" s="2"/>
      <x:c r="D27" s="2"/>
    </x:row>
    <x:row r="28" ht="25" customHeight="1">
      <x:c r="A28" s="2"/>
      <x:c r="B28" s="2"/>
      <x:c r="C28" s="2"/>
      <x:c r="D28" s="2"/>
    </x:row>
    <x:row r="29" ht="25" customHeight="1">
      <x:c r="A29" s="2"/>
      <x:c r="B29" s="2"/>
      <x:c r="C29" s="2"/>
      <x:c r="D29" s="2"/>
    </x:row>
    <x:row r="30" ht="25" customHeight="1">
      <x:c r="A30" s="2"/>
      <x:c r="B30" s="2"/>
      <x:c r="C30" s="2"/>
      <x:c r="D30" s="2"/>
    </x:row>
    <x:row r="31" ht="25" customHeight="1">
      <x:c r="A31" s="2"/>
      <x:c r="B31" s="2"/>
      <x:c r="C31" s="2"/>
      <x:c r="D31" s="2"/>
    </x:row>
    <x:row r="32" ht="25" customHeight="1">
      <x:c r="A32" s="2"/>
      <x:c r="B32" s="2"/>
      <x:c r="C32" s="2"/>
      <x:c r="D32" s="2"/>
    </x:row>
    <x:row r="33" ht="25" customHeight="1">
      <x:c r="A33" s="2"/>
      <x:c r="B33" s="2"/>
      <x:c r="C33" s="2"/>
      <x:c r="D33" s="2"/>
    </x:row>
    <x:row r="34" ht="25" customHeight="1">
      <x:c r="A34" s="2"/>
      <x:c r="B34" s="2"/>
      <x:c r="C34" s="2"/>
      <x:c r="D34" s="2"/>
    </x:row>
    <x:row r="35" ht="25" customHeight="1">
      <x:c r="A35" s="2"/>
      <x:c r="B35" s="2"/>
      <x:c r="C35" s="2"/>
      <x:c r="D35" s="2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8" hidden="0" customWidth="1"/>
    <x:col min="2" max="2" width="100" hidden="0" customWidth="1"/>
    <x:col min="3" max="3" width="4" hidden="0" customWidth="1"/>
    <x:col min="4" max="4" width="18" hidden="0" customWidth="1"/>
    <x:col min="5" max="5" width="18" hidden="0" customWidth="1"/>
  </x:cols>
  <x:sheetData>
    <x:row r="1" ht="25" customHeight="1">
      <x:c r="A1" s="2"/>
      <x:c r="B1" s="2"/>
      <x:c r="C1" s="2"/>
      <x:c r="D1" s="2"/>
      <x:c r="E1" s="2"/>
    </x:row>
    <x:row r="2" ht="25" customHeight="1">
      <x:c r="A2" s="3" t="str">
        <x:v>Como usar as bases de 1,00</x:v>
      </x:c>
      <x:c r="B2" s="2"/>
      <x:c r="C2" s="2"/>
      <x:c r="D2" s="2"/>
      <x:c r="E2" s="2"/>
    </x:row>
    <x:row r="3" ht="25" customHeight="1">
      <x:c r="A3" s="4"/>
      <x:c r="B3" s="4"/>
      <x:c r="C3" s="4"/>
      <x:c r="D3" s="4"/>
      <x:c r="E3" s="4"/>
    </x:row>
    <x:row r="4" ht="25" customHeight="1">
      <x:c r="A4" s="2"/>
      <x:c r="B4" s="2"/>
      <x:c r="C4" s="2"/>
      <x:c r="D4" s="2"/>
      <x:c r="E4" s="2"/>
    </x:row>
    <x:row r="5" ht="25" customHeight="1">
      <x:c r="A5" s="2"/>
      <x:c r="B5" s="2"/>
      <x:c r="C5" s="2"/>
      <x:c r="D5" s="2"/>
      <x:c r="E5" s="2"/>
    </x:row>
    <x:row r="6" ht="48" customHeight="1">
      <x:c r="A6" s="8" t="str">
        <x:v>Passo</x:v>
      </x:c>
      <x:c r="B6" s="8" t="str">
        <x:v>Critério</x:v>
      </x:c>
      <x:c r="C6" s="2"/>
      <x:c r="D6" s="2" t="str">
        <x:v>Ø mm</x:v>
      </x:c>
      <x:c r="E6" s="2" t="str">
        <x:v>kg/m</x:v>
      </x:c>
    </x:row>
    <x:row r="7" ht="65" customHeight="1">
      <x:c r="A7" s="9" t="str">
        <x:v>1. Fonte</x:v>
      </x:c>
      <x:c r="B7" s="9" t="str">
        <x:v>Barba como base e PDF FERCA L-337/21-05 conferido para os 19 troços de pilares. Ver Pormenores PDF; secções/armadura longitudinal confirmadas, cortes e alturas finais ainda pendentes.</x:v>
      </x:c>
      <x:c r="C7" s="2"/>
      <x:c r="D7" s="2" t="n">
        <x:v>6</x:v>
      </x:c>
      <x:c r="E7" s="15" t="n">
        <x:v>0.222</x:v>
      </x:c>
    </x:row>
    <x:row r="8" ht="65" customHeight="1">
      <x:c r="A8" s="9" t="str">
        <x:v>2. Escolher o tipo</x:v>
      </x:c>
      <x:c r="B8" s="9" t="str">
        <x:v>P1-P0, P1-P1 etc. são troços diferentes. Utilizar o que corresponde à execução; não somar PILARES (G).</x:v>
      </x:c>
      <x:c r="C8" s="2"/>
      <x:c r="D8" s="2" t="n">
        <x:v>8</x:v>
      </x:c>
      <x:c r="E8" s="15" t="n">
        <x:v>0.395</x:v>
      </x:c>
    </x:row>
    <x:row r="9" ht="65" customHeight="1">
      <x:c r="A9" s="9" t="str">
        <x:v>3. Unidade correta</x:v>
      </x:c>
      <x:c r="B9" s="9" t="str">
        <x:v>Pilares/Pa.2: m de altura. Muros e vigas: m de comprimento. Lajes: m² em planta. Sapatas isoladas: unidades completas; não fracionar aço pela altura.</x:v>
      </x:c>
      <x:c r="C9" s="2"/>
      <x:c r="D9" s="2" t="n">
        <x:v>10</x:v>
      </x:c>
      <x:c r="E9" s="15" t="n">
        <x:v>0.617</x:v>
      </x:c>
    </x:row>
    <x:row r="10" ht="65" customHeight="1">
      <x:c r="A10" s="9" t="str">
        <x:v>4. Exemplo P1</x:v>
      </x:c>
      <x:c r="B10" s="9" t="str">
        <x:v>Secção 0,30 × 0,60: betão 0,180 m³/m; cofragem 1,800 m²/m. Para 2,50 m: 0,450 m³ e 4,500 m² (4 faces). Nenhuma execução real foi preenchida.</x:v>
      </x:c>
      <x:c r="C10" s="2"/>
      <x:c r="D10" s="2" t="n">
        <x:v>12</x:v>
      </x:c>
      <x:c r="E10" s="15" t="n">
        <x:v>0.888</x:v>
      </x:c>
    </x:row>
    <x:row r="11" ht="65" customHeight="1">
      <x:c r="A11" s="9" t="str">
        <x:v>5. Aço por metro</x:v>
      </x:c>
      <x:c r="B11" s="9" t="str">
        <x:v>Longitudinal P1: 6 × 1,578 + 10 × 0,888 = 18,348 kg/m. Este valor NÃO inclui cintas, arranques ou emendas. Total fica pendente até completar as cintas.</x:v>
      </x:c>
      <x:c r="C11" s="2"/>
      <x:c r="D11" s="2" t="n">
        <x:v>16</x:v>
      </x:c>
      <x:c r="E11" s="15" t="n">
        <x:v>1.578</x:v>
      </x:c>
    </x:row>
    <x:row r="12" ht="65" customHeight="1">
      <x:c r="A12" s="9" t="str">
        <x:v>6. Frequência e contagem</x:v>
      </x:c>
      <x:c r="B12" s="9" t="str">
        <x:v>Contagem de cintas por posições e zonas de passo constante na folha própria. Passo normal 0,20; densificado 0,10. Arranque de fundação: zona 0,80 m; demais detalhes indicados: 0,60 m.</x:v>
      </x:c>
      <x:c r="C12" s="2"/>
      <x:c r="D12" s="2" t="n">
        <x:v>20</x:v>
      </x:c>
      <x:c r="E12" s="15" t="n">
        <x:v>2.466</x:v>
      </x:c>
    </x:row>
    <x:row r="13" ht="65" customHeight="1">
      <x:c r="A13" s="9" t="str">
        <x:v>7. Cortes</x:v>
      </x:c>
      <x:c r="B13" s="9" t="str">
        <x:v>Preencher comprimento desenvolvido das cintas pelo mapa de corte/dobragem. Não atribuir à cinta interior o perímetro da exterior.</x:v>
      </x:c>
      <x:c r="C13" s="2"/>
      <x:c r="D13" s="2" t="n">
        <x:v>25</x:v>
      </x:c>
      <x:c r="E13" s="15" t="n">
        <x:v>3.853</x:v>
      </x:c>
    </x:row>
    <x:row r="14" ht="65" customHeight="1">
      <x:c r="A14" s="9" t="str">
        <x:v>8. Arranques e emendas</x:v>
      </x:c>
      <x:c r="B14" s="9" t="str">
        <x:v>Em Acertos aço, escolher K: Livre, Emenda 50Ø ou segmento cotado. Livre usa L. E é fórmula. Os segmentos de 0,30/0,50 m não substituem o desenvolvimento completo da dobra.</x:v>
      </x:c>
      <x:c r="C14" s="2"/>
      <x:c r="D14" s="2" t="n">
        <x:v>32</x:v>
      </x:c>
      <x:c r="E14" s="15" t="n">
        <x:v>6.313</x:v>
      </x:c>
    </x:row>
    <x:row r="15" ht="65" customHeight="1">
      <x:c r="A15" s="9" t="str">
        <x:v>9. Muros e lajes</x:v>
      </x:c>
      <x:c r="B15" s="9" t="str">
        <x:v>Muros por metro assumem a altura integral indicada em Tipos. Execução parcial em altura exige tipo próprio ou memória específica. Lajes: reforços localizados e bordos à parte.</x:v>
      </x:c>
      <x:c r="C15" s="2"/>
      <x:c r="D15" s="2"/>
      <x:c r="E15" s="2"/>
    </x:row>
    <x:row r="16" ht="65" customHeight="1">
      <x:c r="A16" s="9" t="str">
        <x:v>10. Executar no mês</x:v>
      </x:c>
      <x:c r="B16" s="9" t="str">
        <x:v>Preencher C/D/E em Execução de forma independente. Acrescentar memória/data nas observações. Assinalar aço conferido só após conferir contagens e reforços.</x:v>
      </x:c>
      <x:c r="C16" s="2"/>
      <x:c r="D16" s="2" t="str">
        <x:v>Fonte pesos</x:v>
      </x:c>
      <x:c r="E16" s="2"/>
    </x:row>
    <x:row r="17" ht="65" customHeight="1">
      <x:c r="A17" s="9" t="str">
        <x:v>11. Limpeza</x:v>
      </x:c>
      <x:c r="B17" s="9" t="str">
        <x:v>Medir separadamente na coluna F do Resumo, pois pode ocorrer noutro mês. Coeficiente 5 cm das abas de levantamento; contrato MAPA refere 10 cm em artigo próprio: confirmar antes de faturar.</x:v>
      </x:c>
      <x:c r="C17" s="2"/>
      <x:c r="D17" s="2" t="str">
        <x:v>TABELA DE PESOS</x:v>
      </x:c>
      <x:c r="E17" s="2"/>
    </x:row>
    <x:row r="18" ht="65" customHeight="1">
      <x:c r="A18" s="9" t="str">
        <x:v>12. Deduções</x:v>
      </x:c>
      <x:c r="B18" s="9" t="str">
        <x:v>I/K em Execução admitem acertos positivos/negativos de betão/cofragem, justificados em P. Não descontar vazios ou encontros sem memória.</x:v>
      </x:c>
      <x:c r="C18" s="2"/>
      <x:c r="D18" s="2"/>
      <x:c r="E18" s="2"/>
    </x:row>
    <x:row r="19" ht="65" customHeight="1">
      <x:c r="A19" s="9" t="str">
        <x:v>13. Sapatas</x:v>
      </x:c>
      <x:c r="B19" s="9" t="str">
        <x:v>Contagens propostas usam ROUNDUP para não exceder o espaçamento. A Barba usa INT: as quantidades podem divergir. Confirmar disposição/cortes em desenho; não considerar aprovação automática.</x:v>
      </x:c>
      <x:c r="C19" s="2"/>
      <x:c r="D19" s="2"/>
      <x:c r="E19" s="2"/>
    </x:row>
    <x:row r="20" ht="65" customHeight="1">
      <x:c r="A20" s="9" t="str">
        <x:v>14. Pendências</x:v>
      </x:c>
      <x:c r="B20" s="9" t="str">
        <x:v>Células Pendente não são zero. L2 precisa da espessura equivalente real. SAP-Pb1 está marcado como duplicado alternativo; usar Pb.1-SAP até resolver a fonte.</x:v>
      </x:c>
      <x:c r="C20" s="2"/>
      <x:c r="D20" s="2"/>
      <x:c r="E20" s="2"/>
    </x:row>
    <x:row r="21" ht="65" customHeight="1">
      <x:c r="A21" s="9" t="str">
        <x:v>15. Fechar o mês</x:v>
      </x:c>
      <x:c r="B21" s="9" t="str">
        <x:v>Conferir todas as memórias, arquivar a cópia mensal e transferir os quantitativos para os artigos do auto. Não atualizar coeficientes de um auto já fechado.</x:v>
      </x:c>
      <x:c r="C21" s="2"/>
      <x:c r="D21" s="2"/>
      <x:c r="E21" s="2"/>
    </x:row>
    <x:row r="22" ht="65" customHeight="1">
      <x:c r="A22" s="9" t="str">
        <x:v>16. Cobertura</x:v>
      </x:c>
      <x:c r="B22" s="9" t="str">
        <x:v>46 tipos da Barba. O PDF contém muros/parede/escada E1; esta revisão conferiu os pilares. Rever os restantes elementos em etapa própria, sem supor que estão ausentes do desenho.</x:v>
      </x:c>
      <x:c r="C22" s="2"/>
      <x:c r="D22" s="2"/>
      <x:c r="E22" s="2"/>
    </x:row>
    <x:row r="23" ht="65" customHeight="1">
      <x:c r="A23" s="9" t="str">
        <x:v>17. Capacidade</x:v>
      </x:c>
      <x:c r="B23" s="9" t="str">
        <x:v>46 tipos pré-cadastrados, uma linha mensal por tipo, 100 acertos de aço. Para novos tipos, estender fórmulas e intervalos de todas as folhas.</x:v>
      </x:c>
      <x:c r="C23" s="2"/>
      <x:c r="D23" s="2"/>
      <x:c r="E23" s="2"/>
    </x:row>
    <x:row r="24" ht="65" customHeight="1">
      <x:c r="A24" s="9" t="str">
        <x:v>18. Período</x:v>
      </x:c>
      <x:c r="B24" s="9" t="str">
        <x:v>Um ficheiro por mês/subempreiteiro. O resumo não filtra datas individuais: todos os lançamentos devem pertencer ao período do cabeçalho.</x:v>
      </x:c>
      <x:c r="C24" s="2"/>
      <x:c r="D24" s="2"/>
      <x:c r="E24" s="2"/>
    </x:row>
    <x:row r="25" ht="25" customHeight="1">
      <x:c r="A25" s="2"/>
      <x:c r="B25" s="2"/>
      <x:c r="C25" s="2"/>
      <x:c r="D25" s="2"/>
      <x:c r="E25" s="2"/>
    </x:row>
    <x:row r="26" ht="25" customHeight="1">
      <x:c r="A26" s="2"/>
      <x:c r="B26" s="2"/>
      <x:c r="C26" s="2"/>
      <x:c r="D26" s="2"/>
      <x:c r="E26" s="2"/>
    </x:row>
    <x:row r="27" ht="25" customHeight="1">
      <x:c r="A27" s="2"/>
      <x:c r="B27" s="2"/>
      <x:c r="C27" s="2"/>
      <x:c r="D27" s="2"/>
      <x:c r="E27" s="2"/>
    </x:row>
    <x:row r="28" ht="25" customHeight="1">
      <x:c r="A28" s="2"/>
      <x:c r="B28" s="2"/>
      <x:c r="C28" s="2"/>
      <x:c r="D28" s="2"/>
      <x:c r="E28" s="2"/>
    </x:row>
    <x:row r="29" ht="25" customHeight="1">
      <x:c r="A29" s="2"/>
      <x:c r="B29" s="2"/>
      <x:c r="C29" s="2"/>
      <x:c r="D29" s="2"/>
      <x:c r="E29" s="2"/>
    </x:row>
    <x:row r="30" ht="25" customHeight="1">
      <x:c r="A30" s="2"/>
      <x:c r="B30" s="2"/>
      <x:c r="C30" s="2"/>
      <x:c r="D30" s="2"/>
      <x:c r="E30" s="2"/>
    </x:row>
    <x:row r="31" ht="25" customHeight="1">
      <x:c r="A31" s="2"/>
      <x:c r="B31" s="2"/>
      <x:c r="C31" s="2"/>
      <x:c r="D31" s="2"/>
      <x:c r="E31" s="2"/>
    </x:row>
    <x:row r="32" ht="25" customHeight="1">
      <x:c r="A32" s="2"/>
      <x:c r="B32" s="2"/>
      <x:c r="C32" s="2"/>
      <x:c r="D32" s="2"/>
      <x:c r="E32" s="2"/>
    </x:row>
    <x:row r="33" ht="25" customHeight="1">
      <x:c r="A33" s="2"/>
      <x:c r="B33" s="2"/>
      <x:c r="C33" s="2"/>
      <x:c r="D33" s="2"/>
      <x:c r="E33" s="2"/>
    </x:row>
    <x:row r="34" ht="25" customHeight="1">
      <x:c r="A34" s="2"/>
      <x:c r="B34" s="2"/>
      <x:c r="C34" s="2"/>
      <x:c r="D34" s="2"/>
      <x:c r="E34" s="2"/>
    </x:row>
    <x:row r="35" ht="25" customHeight="1">
      <x:c r="A35" s="2"/>
      <x:c r="B35" s="2"/>
      <x:c r="C35" s="2"/>
      <x:c r="D35" s="2"/>
      <x:c r="E35" s="2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3" hidden="0" customWidth="1"/>
    <x:col min="2" max="2" width="15" hidden="0" customWidth="1"/>
    <x:col min="3" max="3" width="15" hidden="0" customWidth="1"/>
    <x:col min="4" max="4" width="45" hidden="0" customWidth="1"/>
    <x:col min="5" max="5" width="85" hidden="0" customWidth="1"/>
  </x:cols>
  <x:sheetData>
    <x:row r="1" ht="25" customHeight="1">
      <x:c r="A1" s="2"/>
      <x:c r="B1" s="2"/>
      <x:c r="C1" s="2"/>
      <x:c r="D1" s="2"/>
      <x:c r="E1" s="2"/>
    </x:row>
    <x:row r="2" ht="25" customHeight="1">
      <x:c r="A2" s="3" t="str">
        <x:v>Pormenores dos pilares — desenho 05</x:v>
      </x:c>
      <x:c r="B2" s="2"/>
      <x:c r="C2" s="2"/>
      <x:c r="D2" s="2"/>
      <x:c r="E2" s="2"/>
    </x:row>
    <x:row r="3" ht="25" customHeight="1">
      <x:c r="A3" s="4"/>
      <x:c r="B3" s="4"/>
      <x:c r="C3" s="4"/>
      <x:c r="D3" s="4"/>
      <x:c r="E3" s="4"/>
    </x:row>
    <x:row r="4" ht="25" customHeight="1">
      <x:c r="A4" s="2" t="str">
        <x:v>FERCA, L-337/21, desenho 05, revisão –, abril 2025. Leitura direta do PDF fornecido pelo utilizador.</x:v>
      </x:c>
      <x:c r="B4" s="2"/>
      <x:c r="C4" s="2"/>
      <x:c r="D4" s="2"/>
      <x:c r="E4" s="2"/>
    </x:row>
    <x:row r="5" ht="25" customHeight="1">
      <x:c r="A5" s="2" t="str">
        <x:v>Fonte: https://github.com/vjdjtom/707/blob/main/docs/mapa_de_pilares.pdf</x:v>
      </x:c>
      <x:c r="B5" s="2"/>
      <x:c r="C5" s="2"/>
      <x:c r="D5" s="2"/>
      <x:c r="E5" s="2"/>
    </x:row>
    <x:row r="6" ht="45" customHeight="1">
      <x:c r="A6" s="19" t="str">
        <x:v>Parâmetro / detalhe</x:v>
      </x:c>
      <x:c r="B6" s="19" t="str">
        <x:v>Valor</x:v>
      </x:c>
      <x:c r="C6" s="19" t="str">
        <x:v>Unidade</x:v>
      </x:c>
      <x:c r="D6" s="19" t="str">
        <x:v>Local no desenho</x:v>
      </x:c>
      <x:c r="E6" s="19" t="str">
        <x:v>Aplicação e limite</x:v>
      </x:c>
    </x:row>
    <x:row r="7" ht="54" customHeight="1">
      <x:c r="A7" s="9" t="str">
        <x:v>Recobrimento de vigas e pilares</x:v>
      </x:c>
      <x:c r="B7" s="20" t="n">
        <x:v>0.03</x:v>
      </x:c>
      <x:c r="C7" s="9" t="str">
        <x:v>m</x:v>
      </x:c>
      <x:c r="D7" s="9" t="str">
        <x:v>Notas — recobrimentos</x:v>
      </x:c>
      <x:c r="E7" s="9" t="str">
        <x:v>Faces em contacto com solo: 0,05 m. Conferir o caso real.</x:v>
      </x:c>
    </x:row>
    <x:row r="8" ht="54" customHeight="1">
      <x:c r="A8" s="9" t="str">
        <x:v>Diâmetro das cintas do quadro</x:v>
      </x:c>
      <x:c r="B8" s="20" t="n">
        <x:v>8</x:v>
      </x:c>
      <x:c r="C8" s="9" t="str">
        <x:v>mm</x:v>
      </x:c>
      <x:c r="D8" s="9" t="str">
        <x:v>Quadro P1–P11</x:v>
      </x:c>
      <x:c r="E8" s="9" t="str">
        <x:v>Não define por si o comprimento desenvolvido das cintas.</x:v>
      </x:c>
    </x:row>
    <x:row r="9" ht="54" customHeight="1">
      <x:c r="A9" s="9" t="str">
        <x:v>Passo normal a</x:v>
      </x:c>
      <x:c r="B9" s="20" t="n">
        <x:v>0.2</x:v>
      </x:c>
      <x:c r="C9" s="9" t="str">
        <x:v>m</x:v>
      </x:c>
      <x:c r="D9" s="9" t="str">
        <x:v>Quadro P1–P11</x:v>
      </x:c>
      <x:c r="E9" s="9" t="str">
        <x:v>Usar fora das zonas densificadas.</x:v>
      </x:c>
    </x:row>
    <x:row r="10" ht="54" customHeight="1">
      <x:c r="A10" s="9" t="str">
        <x:v>Passo densificado a/2</x:v>
      </x:c>
      <x:c r="B10" s="20" t="n">
        <x:f>B9/2</x:f>
        <x:v>0.1</x:v>
      </x:c>
      <x:c r="C10" s="9" t="str">
        <x:v>m</x:v>
      </x:c>
      <x:c r="D10" s="9" t="str">
        <x:v>Pormenores de pilares</x:v>
      </x:c>
      <x:c r="E10" s="9" t="str">
        <x:v>0,10 m quando a=0,20 m. Contar por zona.</x:v>
      </x:c>
    </x:row>
    <x:row r="11" ht="54" customHeight="1">
      <x:c r="A11" s="9" t="str">
        <x:v>Zona de 0,60 m</x:v>
      </x:c>
      <x:c r="B11" s="20" t="n">
        <x:v>0.6</x:v>
      </x:c>
      <x:c r="C11" s="9" t="str">
        <x:v>m</x:v>
      </x:c>
      <x:c r="D11" s="9" t="str">
        <x:v>Continuidade / variação / último / nascer</x:v>
      </x:c>
      <x:c r="E11" s="9" t="str">
        <x:v>Aplicar somente nas faces do nó indicadas no pormenor correspondente.</x:v>
      </x:c>
    </x:row>
    <x:row r="12" ht="54" customHeight="1">
      <x:c r="A12" s="9" t="str">
        <x:v>Zona no arranque de fundação</x:v>
      </x:c>
      <x:c r="B12" s="20" t="n">
        <x:v>0.8</x:v>
      </x:c>
      <x:c r="C12" s="9" t="str">
        <x:v>m</x:v>
      </x:c>
      <x:c r="D12" s="9" t="str">
        <x:v>Pormenor de arranque de pilar</x:v>
      </x:c>
      <x:c r="E12" s="9" t="str">
        <x:v>Difere da zona genérica de 0,60 m. Não aplicar ambas ao mesmo intervalo.</x:v>
      </x:c>
    </x:row>
    <x:row r="13" ht="54" customHeight="1">
      <x:c r="A13" s="9" t="str">
        <x:v>Emenda indicada</x:v>
      </x:c>
      <x:c r="B13" s="20" t="n">
        <x:v>50</x:v>
      </x:c>
      <x:c r="C13" s="9" t="str">
        <x:v>×Ø</x:v>
      </x:c>
      <x:c r="D13" s="9" t="str">
        <x:v>Continuidade / variação de secção</x:v>
      </x:c>
      <x:c r="E13" s="9" t="str">
        <x:v>Aplicar às barras e ao nó efetivamente abrangidos. Não repetir por metro.</x:v>
      </x:c>
    </x:row>
    <x:row r="14" ht="54" customHeight="1">
      <x:c r="A14" s="9" t="str">
        <x:v>Trecho horizontal no último troço</x:v>
      </x:c>
      <x:c r="B14" s="20" t="n">
        <x:v>0.3</x:v>
      </x:c>
      <x:c r="C14" s="9" t="str">
        <x:v>m</x:v>
      </x:c>
      <x:c r="D14" s="9" t="str">
        <x:v>Pormenor do último troço de pilar</x:v>
      </x:c>
      <x:c r="E14" s="9" t="str">
        <x:v>É uma cota do segmento; não inclui automaticamente todo o desenvolvimento da dobra.</x:v>
      </x:c>
    </x:row>
    <x:row r="15" ht="54" customHeight="1">
      <x:c r="A15" s="9" t="str">
        <x:v>Trecho horizontal do arranque</x:v>
      </x:c>
      <x:c r="B15" s="20" t="n">
        <x:v>0.3</x:v>
      </x:c>
      <x:c r="C15" s="9" t="str">
        <x:v>m</x:v>
      </x:c>
      <x:c r="D15" s="9" t="str">
        <x:v>Pormenor de arranque de pilar</x:v>
      </x:c>
      <x:c r="E15" s="9" t="str">
        <x:v>Completar com parte embebida e desenvolvimento de curvas, conforme corte.</x:v>
      </x:c>
    </x:row>
    <x:row r="16" ht="54" customHeight="1">
      <x:c r="A16" s="9" t="str">
        <x:v>Trecho horizontal ao nascer em laje</x:v>
      </x:c>
      <x:c r="B16" s="20" t="n">
        <x:v>0.5</x:v>
      </x:c>
      <x:c r="C16" s="9" t="str">
        <x:v>m</x:v>
      </x:c>
      <x:c r="D16" s="9" t="str">
        <x:v>Pormenor de pilar a nascer em laje</x:v>
      </x:c>
      <x:c r="E16" s="9" t="str">
        <x:v>Não é um transpasse genérico de 0,50 m.</x:v>
      </x:c>
    </x:row>
    <x:row r="17" ht="54" customHeight="1">
      <x:c r="A17" s="9" t="str">
        <x:v>Cota de embebimento ao nascer em parede</x:v>
      </x:c>
      <x:c r="B17" s="20" t="n">
        <x:v>1.2</x:v>
      </x:c>
      <x:c r="C17" s="9" t="str">
        <x:v>m</x:v>
      </x:c>
      <x:c r="D17" s="9" t="str">
        <x:v>Pormenor de pilar a nascer em parede</x:v>
      </x:c>
      <x:c r="E17" s="9" t="str">
        <x:v>Confirmar orientação do corte e desenvolvimento completo da barra.</x:v>
      </x:c>
    </x:row>
    <x:row r="18" ht="54" customHeight="1">
      <x:c r="A18" s="9" t="str">
        <x:v>Cauda indicada no fecho de cinta</x:v>
      </x:c>
      <x:c r="B18" s="20" t="n">
        <x:v>5</x:v>
      </x:c>
      <x:c r="C18" s="9" t="str">
        <x:v>×Ø</x:v>
      </x:c>
      <x:c r="D18" s="9" t="str">
        <x:v>Pormenor de fecho — cinta</x:v>
      </x:c>
      <x:c r="E18" s="9" t="str">
        <x:v>Substitui a hipótese genérica de caudas 10Ø para este detalhe. Não basta para fechar todos os cortes.</x:v>
      </x:c>
    </x:row>
    <x:row r="19" ht="54" customHeight="1">
      <x:c r="A19" s="9" t="str">
        <x:v>Cauda indicada no gancho</x:v>
      </x:c>
      <x:c r="B19" s="20" t="n">
        <x:v>6</x:v>
      </x:c>
      <x:c r="C19" s="9" t="str">
        <x:v>×Ø</x:v>
      </x:c>
      <x:c r="D19" s="9" t="str">
        <x:v>Pormenor de fecho — gancho</x:v>
      </x:c>
      <x:c r="E19" s="9" t="str">
        <x:v>Distinguir gancho de cinta. Não aplicar esta cota a todas as peças.</x:v>
      </x:c>
    </x:row>
    <x:row r="20" ht="54" customHeight="1">
      <x:c r="A20" s="9" t="str">
        <x:v>Diâmetro interior de dobragem</x:v>
      </x:c>
      <x:c r="B20" s="20" t="n">
        <x:v>5</x:v>
      </x:c>
      <x:c r="C20" s="9" t="str">
        <x:v>×Ø</x:v>
      </x:c>
      <x:c r="D20" s="9" t="str">
        <x:v>Pormenor de fecho</x:v>
      </x:c>
      <x:c r="E20" s="9" t="str">
        <x:v>Medir comprimento pela linha média; não somar perímetros e caudas sem tratar curvas.</x:v>
      </x:c>
    </x:row>
    <x:row r="21" ht="54" customHeight="1">
      <x:c r="A21" s="9" t="str">
        <x:v>Recobrimento de faces em contacto com solo</x:v>
      </x:c>
      <x:c r="B21" s="20" t="n">
        <x:v>0.05</x:v>
      </x:c>
      <x:c r="C21" s="9" t="str">
        <x:v>m</x:v>
      </x:c>
      <x:c r="D21" s="9" t="str">
        <x:v>Notas — recobrimentos</x:v>
      </x:c>
      <x:c r="E21" s="9" t="str">
        <x:v>Depende de exposição, não apenas do nome do piso.</x:v>
      </x:c>
    </x:row>
    <x:row r="22" ht="54" customHeight="1">
      <x:c r="A22" s="9" t="str">
        <x:v>Recobrimento de lajes e paredes</x:v>
      </x:c>
      <x:c r="B22" s="20" t="n">
        <x:v>0.025</x:v>
      </x:c>
      <x:c r="C22" s="9" t="str">
        <x:v>m</x:v>
      </x:c>
      <x:c r="D22" s="9" t="str">
        <x:v>Notas — recobrimentos</x:v>
      </x:c>
      <x:c r="E22" s="9" t="str">
        <x:v>Diverge de algumas entradas anteriores. Rever na etapa própria desses elementos.</x:v>
      </x:c>
    </x:row>
    <x:row r="23" ht="25" customHeight="1">
      <x:c r="A23" s="2"/>
      <x:c r="B23" s="2"/>
      <x:c r="C23" s="2"/>
      <x:c r="D23" s="2"/>
      <x:c r="E23" s="2"/>
    </x:row>
    <x:row r="24" ht="25" customHeight="1">
      <x:c r="A24" s="2"/>
      <x:c r="B24" s="2"/>
      <x:c r="C24" s="2"/>
      <x:c r="D24" s="2"/>
      <x:c r="E24" s="2"/>
    </x:row>
    <x:row r="25" ht="45" customHeight="1">
      <x:c r="A25" s="2" t="str">
        <x:v>Alturas dos troços</x:v>
      </x:c>
      <x:c r="B25" s="2"/>
      <x:c r="C25" s="2"/>
      <x:c r="D25" s="2"/>
      <x:c r="E25" s="9" t="str">
        <x:v>Não são fornecidas no quadro. A altura de 3,90 m do P8-P1 vem da planilha, não deste PDF.</x:v>
      </x:c>
    </x:row>
    <x:row r="26" ht="25" customHeight="1">
      <x:c r="A26" s="2"/>
      <x:c r="B26" s="2"/>
      <x:c r="C26" s="2"/>
      <x:c r="D26" s="2"/>
      <x:c r="E26" s="2"/>
    </x:row>
    <x:row r="27" ht="55" customHeight="1">
      <x:c r="A27" s="2" t="str">
        <x:v>Cortes de cintas ainda pendentes</x:v>
      </x:c>
      <x:c r="B27" s="2"/>
      <x:c r="C27" s="2"/>
      <x:c r="D27" s="2"/>
      <x:c r="E27" s="9" t="str">
        <x:v>Cintas interiores de P1/P2/P8 e sobreposições de P9/P10/P11 não têm cotas internas suficientes para corte final. Não medir pela escala gráfica.</x:v>
      </x:c>
    </x:row>
    <x:row r="28" ht="25" customHeight="1">
      <x:c r="A28" s="2"/>
      <x:c r="B28" s="2"/>
      <x:c r="C28" s="2"/>
      <x:c r="D28" s="2"/>
      <x:c r="E28" s="2"/>
    </x:row>
    <x:row r="29" ht="25" customHeight="1">
      <x:c r="A29" s="2"/>
      <x:c r="B29" s="2"/>
      <x:c r="C29" s="2"/>
      <x:c r="D29" s="2"/>
      <x:c r="E29" s="2"/>
    </x:row>
    <x:row r="30" ht="45" customHeight="1">
      <x:c r="A30" s="19" t="str">
        <x:v>Pilar / troço</x:v>
      </x:c>
      <x:c r="B30" s="19" t="str">
        <x:v>Secção</x:v>
      </x:c>
      <x:c r="C30" s="19" t="str">
        <x:v>Longitudinal</x:v>
      </x:c>
      <x:c r="D30" s="19" t="str">
        <x:v>Cintas no quadro</x:v>
      </x:c>
      <x:c r="E30" s="19" t="str">
        <x:v>Pendência de corte</x:v>
      </x:c>
    </x:row>
    <x:row r="31" ht="55" customHeight="1">
      <x:c r="A31" s="9" t="str">
        <x:v>P1 (3 troços)</x:v>
      </x:c>
      <x:c r="B31" s="9" t="str">
        <x:v>30×60</x:v>
      </x:c>
      <x:c r="C31" s="9" t="str">
        <x:v>6Ø16 + 10Ø12</x:v>
      </x:c>
      <x:c r="D31" s="9" t="str">
        <x:v>Exterior + interior, Ø8//0,20</x:v>
      </x:c>
      <x:c r="E31" s="9" t="str">
        <x:v>Interior não cotada; conferir desenvolvimento de ambas.</x:v>
      </x:c>
    </x:row>
    <x:row r="32" ht="55" customHeight="1">
      <x:c r="A32" s="9" t="str">
        <x:v>P2 (2 troços)</x:v>
      </x:c>
      <x:c r="B32" s="9" t="str">
        <x:v>40×70</x:v>
      </x:c>
      <x:c r="C32" s="9" t="str">
        <x:v>28Ø16</x:v>
      </x:c>
      <x:c r="D32" s="9" t="str">
        <x:v>Exterior + interior, Ø8//0,20</x:v>
      </x:c>
      <x:c r="E32" s="9" t="str">
        <x:v>Interior não cotada.</x:v>
      </x:c>
    </x:row>
    <x:row r="33" ht="55" customHeight="1">
      <x:c r="A33" s="9" t="str">
        <x:v>P3 (1 troço)</x:v>
      </x:c>
      <x:c r="B33" s="9" t="str">
        <x:v>40×20</x:v>
      </x:c>
      <x:c r="C33" s="9" t="str">
        <x:v>6Ø16 + 6Ø12</x:v>
      </x:c>
      <x:c r="D33" s="9" t="str">
        <x:v>Retangular simples Ø8//0,20</x:v>
      </x:c>
      <x:c r="E33" s="9" t="str">
        <x:v>Desenvolvimento do fecho / curva.</x:v>
      </x:c>
    </x:row>
    <x:row r="34" ht="55" customHeight="1">
      <x:c r="A34" s="9" t="str">
        <x:v>P4 (2 troços)</x:v>
      </x:c>
      <x:c r="B34" s="9" t="str">
        <x:v>20×40</x:v>
      </x:c>
      <x:c r="C34" s="9" t="str">
        <x:v>6Ø16 + 6Ø12</x:v>
      </x:c>
      <x:c r="D34" s="9" t="str">
        <x:v>Retangular simples Ø8//0,20</x:v>
      </x:c>
      <x:c r="E34" s="9" t="str">
        <x:v>Desenvolvimento do fecho / curva.</x:v>
      </x:c>
    </x:row>
    <x:row r="35" ht="55" customHeight="1">
      <x:c r="A35" s="9" t="str">
        <x:v>P5 (1 troço)</x:v>
      </x:c>
      <x:c r="B35" s="9" t="str">
        <x:v>20×40</x:v>
      </x:c>
      <x:c r="C35" s="9" t="str">
        <x:v>6Ø16 + 6Ø12</x:v>
      </x:c>
      <x:c r="D35" s="9" t="str">
        <x:v>Retangular simples Ø8//0,20</x:v>
      </x:c>
      <x:c r="E35" s="9" t="str">
        <x:v>Desenvolvimento do fecho / curva.</x:v>
      </x:c>
    </x:row>
    <x:row r="36" ht="55" customHeight="1">
      <x:c r="A36" s="9" t="str">
        <x:v>P6 (2 troços)</x:v>
      </x:c>
      <x:c r="B36" s="9" t="str">
        <x:v>30×30</x:v>
      </x:c>
      <x:c r="C36" s="9" t="str">
        <x:v>8Ø20 + 4Ø16</x:v>
      </x:c>
      <x:c r="D36" s="9" t="str">
        <x:v>Retangular Ø8//0,20</x:v>
      </x:c>
      <x:c r="E36" s="9" t="str">
        <x:v>Encontro inferior com parede; conferir corte.</x:v>
      </x:c>
    </x:row>
    <x:row r="37" ht="55" customHeight="1">
      <x:c r="A37" s="9" t="str">
        <x:v>P7-P0</x:v>
      </x:c>
      <x:c r="B37" s="9" t="str">
        <x:v>50×30</x:v>
      </x:c>
      <x:c r="C37" s="9" t="str">
        <x:v>10Ø16</x:v>
      </x:c>
      <x:c r="D37" s="9" t="str">
        <x:v>Retangular Ø8//0,20</x:v>
      </x:c>
      <x:c r="E37" s="9" t="str">
        <x:v>Encontro com parede.</x:v>
      </x:c>
    </x:row>
    <x:row r="38" ht="55" customHeight="1">
      <x:c r="A38" s="9" t="str">
        <x:v>P7-P1 / P7-COB</x:v>
      </x:c>
      <x:c r="B38" s="9" t="str">
        <x:v>Ø30</x:v>
      </x:c>
      <x:c r="C38" s="9" t="str">
        <x:v>7Ø16</x:v>
      </x:c>
      <x:c r="D38" s="9" t="str">
        <x:v>Circular Ø8//0,20</x:v>
      </x:c>
      <x:c r="E38" s="9" t="str">
        <x:v>Não assumir espiral; confirmar corte e fecho.</x:v>
      </x:c>
    </x:row>
    <x:row r="39" ht="55" customHeight="1">
      <x:c r="A39" s="9" t="str">
        <x:v>P8 (2 troços)</x:v>
      </x:c>
      <x:c r="B39" s="9" t="str">
        <x:v>30×60</x:v>
      </x:c>
      <x:c r="C39" s="9" t="str">
        <x:v>6Ø16 + 10Ø12</x:v>
      </x:c>
      <x:c r="D39" s="9" t="str">
        <x:v>Exterior + interior Ø8//0,20</x:v>
      </x:c>
      <x:c r="E39" s="9" t="str">
        <x:v>Interior não cotada. H=3,90 m não vem deste PDF.</x:v>
      </x:c>
    </x:row>
    <x:row r="40" ht="55" customHeight="1">
      <x:c r="A40" s="9" t="str">
        <x:v>P9-COB</x:v>
      </x:c>
      <x:c r="B40" s="9" t="str">
        <x:v>130×20</x:v>
      </x:c>
      <x:c r="C40" s="9" t="str">
        <x:v>16Ø16 + 14Ø10</x:v>
      </x:c>
      <x:c r="D40" s="9" t="str">
        <x:v>Conjunto sobreposto Ø8//0,20</x:v>
      </x:c>
      <x:c r="E40" s="9" t="str">
        <x:v>Somar peças; dimensões internas por confirmar.</x:v>
      </x:c>
    </x:row>
    <x:row r="41" ht="55" customHeight="1">
      <x:c r="A41" s="9" t="str">
        <x:v>P10-COB</x:v>
      </x:c>
      <x:c r="B41" s="9" t="str">
        <x:v>20×100</x:v>
      </x:c>
      <x:c r="C41" s="9" t="str">
        <x:v>24Ø16</x:v>
      </x:c>
      <x:c r="D41" s="9" t="str">
        <x:v>Conjunto sobreposto Ø8//0,20</x:v>
      </x:c>
      <x:c r="E41" s="9" t="str">
        <x:v>Somar peças; dimensões internas por confirmar.</x:v>
      </x:c>
    </x:row>
    <x:row r="42" ht="55" customHeight="1">
      <x:c r="A42" s="9" t="str">
        <x:v>P11-COB</x:v>
      </x:c>
      <x:c r="B42" s="9" t="str">
        <x:v>20×80</x:v>
      </x:c>
      <x:c r="C42" s="9" t="str">
        <x:v>8Ø16 + 12Ø12</x:v>
      </x:c>
      <x:c r="D42" s="9" t="str">
        <x:v>Conjunto sobreposto Ø8//0,20</x:v>
      </x:c>
      <x:c r="E42" s="9" t="str">
        <x:v>Somar peças; dimensões internas por confirmar.</x:v>
      </x:c>
    </x:row>
    <x:row r="43" ht="25" customHeight="1">
      <x:c r="A43" s="2"/>
      <x:c r="B43" s="2"/>
      <x:c r="C43" s="2"/>
      <x:c r="D43" s="2"/>
      <x:c r="E43" s="2"/>
    </x:row>
    <x:row r="44" ht="25" customHeight="1">
      <x:c r="A44" s="2"/>
      <x:c r="B44" s="2"/>
      <x:c r="C44" s="2"/>
      <x:c r="D44" s="2"/>
      <x:c r="E44" s="2"/>
    </x:row>
    <x:row r="45" ht="25" customHeight="1">
      <x:c r="A45" s="2"/>
      <x:c r="B45" s="2"/>
      <x:c r="C45" s="2"/>
      <x:c r="D45" s="2"/>
      <x:c r="E45" s="2"/>
    </x:row>
    <x:row r="46" ht="25" customHeight="1">
      <x:c r="A46" s="2"/>
      <x:c r="B46" s="2"/>
      <x:c r="C46" s="2"/>
      <x:c r="D46" s="2"/>
      <x:c r="E46" s="2"/>
    </x:row>
    <x:row r="47" ht="25" customHeight="1">
      <x:c r="A47" s="2"/>
      <x:c r="B47" s="2"/>
      <x:c r="C47" s="2"/>
      <x:c r="D47" s="2"/>
      <x:c r="E47" s="2"/>
    </x:row>
    <x:row r="48" ht="25" customHeight="1">
      <x:c r="A48" s="2"/>
      <x:c r="B48" s="2"/>
      <x:c r="C48" s="2"/>
      <x:c r="D48" s="2"/>
      <x:c r="E48" s="2"/>
    </x:row>
    <x:row r="49" ht="25" customHeight="1">
      <x:c r="A49" s="2"/>
      <x:c r="B49" s="2"/>
      <x:c r="C49" s="2"/>
      <x:c r="D49" s="2"/>
      <x:c r="E49" s="2"/>
    </x:row>
    <x:row r="50" ht="25" customHeight="1">
      <x:c r="A50" s="2"/>
      <x:c r="B50" s="2"/>
      <x:c r="C50" s="2"/>
      <x:c r="D50" s="2"/>
      <x:c r="E50" s="2"/>
    </x:row>
    <x:row r="51" ht="25" customHeight="1">
      <x:c r="A51" s="2"/>
      <x:c r="B51" s="2"/>
      <x:c r="C51" s="2"/>
      <x:c r="D51" s="2"/>
      <x:c r="E51" s="2"/>
    </x:row>
    <x:row r="52" ht="25" customHeight="1">
      <x:c r="A52" s="2"/>
      <x:c r="B52" s="2"/>
      <x:c r="C52" s="2"/>
      <x:c r="D52" s="2"/>
      <x:c r="E52" s="2"/>
    </x:row>
    <x:row r="53" ht="25" customHeight="1">
      <x:c r="A53" s="2"/>
      <x:c r="B53" s="2"/>
      <x:c r="C53" s="2"/>
      <x:c r="D53" s="2"/>
      <x:c r="E53" s="2"/>
    </x:row>
    <x:row r="54" ht="25" customHeight="1">
      <x:c r="A54" s="2"/>
      <x:c r="B54" s="2"/>
      <x:c r="C54" s="2"/>
      <x:c r="D54" s="2"/>
      <x:c r="E54" s="2"/>
    </x:row>
    <x:row r="55" ht="25" customHeight="1">
      <x:c r="A55" s="2"/>
      <x:c r="B55" s="2"/>
      <x:c r="C55" s="2"/>
      <x:c r="D55" s="2"/>
      <x:c r="E55" s="2"/>
    </x:row>
    <x:row r="56" ht="25" customHeight="1">
      <x:c r="A56" s="2"/>
      <x:c r="B56" s="2"/>
      <x:c r="C56" s="2"/>
      <x:c r="D56" s="2"/>
      <x:c r="E56" s="2"/>
    </x:row>
    <x:row r="57" ht="25" customHeight="1">
      <x:c r="A57" s="2"/>
      <x:c r="B57" s="2"/>
      <x:c r="C57" s="2"/>
      <x:c r="D57" s="2"/>
      <x:c r="E57" s="2"/>
    </x:row>
    <x:row r="58" ht="25" customHeight="1">
      <x:c r="A58" s="2"/>
      <x:c r="B58" s="2"/>
      <x:c r="C58" s="2"/>
      <x:c r="D58" s="2"/>
      <x:c r="E58" s="2"/>
    </x:row>
    <x:row r="59" ht="25" customHeight="1">
      <x:c r="A59" s="2"/>
      <x:c r="B59" s="2"/>
      <x:c r="C59" s="2"/>
      <x:c r="D59" s="2"/>
      <x:c r="E59" s="2"/>
    </x:row>
    <x:row r="60" ht="25" customHeight="1">
      <x:c r="A60" s="2"/>
      <x:c r="B60" s="2"/>
      <x:c r="C60" s="2"/>
      <x:c r="D60" s="2"/>
      <x:c r="E60" s="2"/>
    </x:row>
    <x:row r="61" ht="25" customHeight="1">
      <x:c r="A61" s="2"/>
      <x:c r="B61" s="2"/>
      <x:c r="C61" s="2"/>
      <x:c r="D61" s="2"/>
      <x:c r="E61" s="2"/>
    </x:row>
    <x:row r="62" ht="25" customHeight="1">
      <x:c r="A62" s="2"/>
      <x:c r="B62" s="2"/>
      <x:c r="C62" s="2"/>
      <x:c r="D62" s="2"/>
      <x:c r="E62" s="2"/>
    </x:row>
    <x:row r="63" ht="25" customHeight="1">
      <x:c r="A63" s="2"/>
      <x:c r="B63" s="2"/>
      <x:c r="C63" s="2"/>
      <x:c r="D63" s="2"/>
      <x:c r="E63" s="2"/>
    </x:row>
    <x:row r="64" ht="25" customHeight="1">
      <x:c r="A64" s="2"/>
      <x:c r="B64" s="2"/>
      <x:c r="C64" s="2"/>
      <x:c r="D64" s="2"/>
      <x:c r="E64" s="2"/>
    </x:row>
    <x:row r="65" ht="25" customHeight="1">
      <x:c r="A65" s="2"/>
      <x:c r="B65" s="2"/>
      <x:c r="C65" s="2"/>
      <x:c r="D65" s="2"/>
      <x:c r="E65" s="2"/>
    </x:row>
    <x:row r="66" ht="25" customHeight="1">
      <x:c r="A66" s="2"/>
      <x:c r="B66" s="2"/>
      <x:c r="C66" s="2"/>
      <x:c r="D66" s="2"/>
      <x:c r="E66" s="2"/>
    </x:row>
    <x:row r="67" ht="25" customHeight="1">
      <x:c r="A67" s="2"/>
      <x:c r="B67" s="2"/>
      <x:c r="C67" s="2"/>
      <x:c r="D67" s="2"/>
      <x:c r="E67" s="2"/>
    </x:row>
    <x:row r="68" ht="25" customHeight="1">
      <x:c r="A68" s="2"/>
      <x:c r="B68" s="2"/>
      <x:c r="C68" s="2"/>
      <x:c r="D68" s="2"/>
      <x:c r="E68" s="2"/>
    </x:row>
    <x:row r="69" ht="25" customHeight="1">
      <x:c r="A69" s="2"/>
      <x:c r="B69" s="2"/>
      <x:c r="C69" s="2"/>
      <x:c r="D69" s="2"/>
      <x:c r="E69" s="2"/>
    </x:row>
    <x:row r="70" ht="25" customHeight="1">
      <x:c r="A70" s="2"/>
      <x:c r="B70" s="2"/>
      <x:c r="C70" s="2"/>
      <x:c r="D70" s="2"/>
      <x:c r="E70" s="2"/>
    </x:row>
    <x:row r="71" ht="25" customHeight="1">
      <x:c r="A71" s="2"/>
      <x:c r="B71" s="2"/>
      <x:c r="C71" s="2"/>
      <x:c r="D71" s="2"/>
      <x:c r="E71" s="2"/>
    </x:row>
    <x:row r="72" ht="25" customHeight="1">
      <x:c r="A72" s="2"/>
      <x:c r="B72" s="2"/>
      <x:c r="C72" s="2"/>
      <x:c r="D72" s="2"/>
      <x:c r="E72" s="2"/>
    </x:row>
    <x:row r="73" ht="25" customHeight="1">
      <x:c r="A73" s="2"/>
      <x:c r="B73" s="2"/>
      <x:c r="C73" s="2"/>
      <x:c r="D73" s="2"/>
      <x:c r="E73" s="2"/>
    </x:row>
    <x:row r="74" ht="25" customHeight="1">
      <x:c r="A74" s="2"/>
      <x:c r="B74" s="2"/>
      <x:c r="C74" s="2"/>
      <x:c r="D74" s="2"/>
      <x:c r="E74" s="2"/>
    </x:row>
    <x:row r="75" ht="25" customHeight="1">
      <x:c r="A75" s="2"/>
      <x:c r="B75" s="2"/>
      <x:c r="C75" s="2"/>
      <x:c r="D75" s="2"/>
      <x:c r="E75" s="2"/>
    </x:row>
    <x:row r="76" ht="25" customHeight="1">
      <x:c r="A76" s="2"/>
      <x:c r="B76" s="2"/>
      <x:c r="C76" s="2"/>
      <x:c r="D76" s="2"/>
      <x:c r="E76" s="2"/>
    </x:row>
    <x:row r="77" ht="25" customHeight="1">
      <x:c r="A77" s="2"/>
      <x:c r="B77" s="2"/>
      <x:c r="C77" s="2"/>
      <x:c r="D77" s="2"/>
      <x:c r="E77" s="2"/>
    </x:row>
    <x:row r="78" ht="25" customHeight="1">
      <x:c r="A78" s="2"/>
      <x:c r="B78" s="2"/>
      <x:c r="C78" s="2"/>
      <x:c r="D78" s="2"/>
      <x:c r="E78" s="2"/>
    </x:row>
    <x:row r="79" ht="25" customHeight="1">
      <x:c r="A79" s="2"/>
      <x:c r="B79" s="2"/>
      <x:c r="C79" s="2"/>
      <x:c r="D79" s="2"/>
      <x:c r="E79" s="2"/>
    </x:row>
    <x:row r="80" ht="25" customHeight="1">
      <x:c r="A80" s="2"/>
      <x:c r="B80" s="2"/>
      <x:c r="C80" s="2"/>
      <x:c r="D80" s="2"/>
      <x:c r="E80" s="2"/>
    </x:row>
    <x:row r="81" ht="25" customHeight="1">
      <x:c r="A81" s="2"/>
      <x:c r="B81" s="2"/>
      <x:c r="C81" s="2"/>
      <x:c r="D81" s="2"/>
      <x:c r="E81" s="2"/>
    </x:row>
    <x:row r="82" ht="25" customHeight="1">
      <x:c r="A82" s="2"/>
      <x:c r="B82" s="2"/>
      <x:c r="C82" s="2"/>
      <x:c r="D82" s="2"/>
      <x:c r="E82" s="2"/>
    </x:row>
    <x:row r="83" ht="25" customHeight="1">
      <x:c r="A83" s="2"/>
      <x:c r="B83" s="2"/>
      <x:c r="C83" s="2"/>
      <x:c r="D83" s="2"/>
      <x:c r="E83" s="2"/>
    </x:row>
    <x:row r="84" ht="25" customHeight="1">
      <x:c r="A84" s="2"/>
      <x:c r="B84" s="2"/>
      <x:c r="C84" s="2"/>
      <x:c r="D84" s="2"/>
      <x:c r="E84" s="2"/>
    </x:row>
    <x:row r="85" ht="25" customHeight="1">
      <x:c r="A85" s="2"/>
      <x:c r="B85" s="2"/>
      <x:c r="C85" s="2"/>
      <x:c r="D85" s="2"/>
      <x:c r="E85" s="2"/>
    </x:row>
    <x:row r="86" ht="25" customHeight="1">
      <x:c r="A86" s="2"/>
      <x:c r="B86" s="2"/>
      <x:c r="C86" s="2"/>
      <x:c r="D86" s="2"/>
      <x:c r="E86" s="2"/>
    </x:row>
    <x:row r="87" ht="25" customHeight="1">
      <x:c r="A87" s="2"/>
      <x:c r="B87" s="2"/>
      <x:c r="C87" s="2"/>
      <x:c r="D87" s="2"/>
      <x:c r="E87" s="2"/>
    </x:row>
    <x:row r="88" ht="25" customHeight="1">
      <x:c r="A88" s="2"/>
      <x:c r="B88" s="2"/>
      <x:c r="C88" s="2"/>
      <x:c r="D88" s="2"/>
      <x:c r="E88" s="2"/>
    </x:row>
    <x:row r="89" ht="25" customHeight="1">
      <x:c r="A89" s="2"/>
      <x:c r="B89" s="2"/>
      <x:c r="C89" s="2"/>
      <x:c r="D89" s="2"/>
      <x:c r="E89" s="2"/>
    </x:row>
    <x:row r="90" ht="25" customHeight="1">
      <x:c r="A90" s="2"/>
      <x:c r="B90" s="2"/>
      <x:c r="C90" s="2"/>
      <x:c r="D90" s="2"/>
      <x:c r="E90" s="2"/>
    </x:row>
    <x:row r="91" ht="25" customHeight="1">
      <x:c r="A91" s="2"/>
      <x:c r="B91" s="2"/>
      <x:c r="C91" s="2"/>
      <x:c r="D91" s="2"/>
      <x:c r="E91" s="2"/>
    </x:row>
    <x:row r="92" ht="25" customHeight="1">
      <x:c r="A92" s="2"/>
      <x:c r="B92" s="2"/>
      <x:c r="C92" s="2"/>
      <x:c r="D92" s="2"/>
      <x:c r="E92" s="2"/>
    </x:row>
    <x:row r="93" ht="25" customHeight="1">
      <x:c r="A93" s="2"/>
      <x:c r="B93" s="2"/>
      <x:c r="C93" s="2"/>
      <x:c r="D93" s="2"/>
      <x:c r="E93" s="2"/>
    </x:row>
    <x:row r="94" ht="25" customHeight="1">
      <x:c r="A94" s="2"/>
      <x:c r="B94" s="2"/>
      <x:c r="C94" s="2"/>
      <x:c r="D94" s="2"/>
      <x:c r="E94" s="2"/>
    </x:row>
    <x:row r="95" ht="25" customHeight="1">
      <x:c r="A95" s="2"/>
      <x:c r="B95" s="2"/>
      <x:c r="C95" s="2"/>
      <x:c r="D95" s="2"/>
      <x:c r="E95" s="2"/>
    </x:row>
    <x:row r="96" ht="25" customHeight="1">
      <x:c r="A96" s="2"/>
      <x:c r="B96" s="2"/>
      <x:c r="C96" s="2"/>
      <x:c r="D96" s="2"/>
      <x:c r="E96" s="2"/>
    </x:row>
    <x:row r="97" ht="25" customHeight="1">
      <x:c r="A97" s="2"/>
      <x:c r="B97" s="2"/>
      <x:c r="C97" s="2"/>
      <x:c r="D97" s="2"/>
      <x:c r="E97" s="2"/>
    </x:row>
    <x:row r="98" ht="25" customHeight="1">
      <x:c r="A98" s="2"/>
      <x:c r="B98" s="2"/>
      <x:c r="C98" s="2"/>
      <x:c r="D98" s="2"/>
      <x:c r="E98" s="2"/>
    </x:row>
    <x:row r="99" ht="25" customHeight="1">
      <x:c r="A99" s="2"/>
      <x:c r="B99" s="2"/>
      <x:c r="C99" s="2"/>
      <x:c r="D99" s="2"/>
      <x:c r="E99" s="2"/>
    </x:row>
    <x:row r="100" ht="25" customHeight="1">
      <x:c r="A100" s="2"/>
      <x:c r="B100" s="2"/>
      <x:c r="C100" s="2"/>
      <x:c r="D100" s="2"/>
      <x:c r="E100" s="2"/>
    </x:row>
    <x:row r="101" ht="25" customHeight="1">
      <x:c r="A101" s="2"/>
      <x:c r="B101" s="2"/>
      <x:c r="C101" s="2"/>
      <x:c r="D101" s="2"/>
      <x:c r="E101" s="2"/>
    </x:row>
    <x:row r="102" ht="25" customHeight="1">
      <x:c r="A102" s="2"/>
      <x:c r="B102" s="2"/>
      <x:c r="C102" s="2"/>
      <x:c r="D102" s="2"/>
      <x:c r="E102" s="2"/>
    </x:row>
    <x:row r="103" ht="25" customHeight="1">
      <x:c r="A103" s="2"/>
      <x:c r="B103" s="2"/>
      <x:c r="C103" s="2"/>
      <x:c r="D103" s="2"/>
      <x:c r="E103" s="2"/>
    </x:row>
    <x:row r="104" ht="25" customHeight="1">
      <x:c r="A104" s="2"/>
      <x:c r="B104" s="2"/>
      <x:c r="C104" s="2"/>
      <x:c r="D104" s="2"/>
      <x:c r="E104" s="2"/>
    </x:row>
    <x:row r="105" ht="25" customHeight="1">
      <x:c r="A105" s="2"/>
      <x:c r="B105" s="2"/>
      <x:c r="C105" s="2"/>
      <x:c r="D105" s="2"/>
      <x:c r="E105" s="2"/>
    </x:row>
    <x:row r="106" ht="25" customHeight="1">
      <x:c r="A106" s="2"/>
      <x:c r="B106" s="2"/>
      <x:c r="C106" s="2"/>
      <x:c r="D106" s="2"/>
      <x:c r="E106" s="2"/>
    </x:row>
    <x:row r="107" ht="25" customHeight="1">
      <x:c r="A107" s="2"/>
      <x:c r="B107" s="2"/>
      <x:c r="C107" s="2"/>
      <x:c r="D107" s="2"/>
      <x:c r="E107" s="2"/>
    </x:row>
    <x:row r="108" ht="25" customHeight="1">
      <x:c r="A108" s="2"/>
      <x:c r="B108" s="2"/>
      <x:c r="C108" s="2"/>
      <x:c r="D108" s="2"/>
      <x:c r="E108" s="2"/>
    </x:row>
    <x:row r="109" ht="25" customHeight="1">
      <x:c r="A109" s="2"/>
      <x:c r="B109" s="2"/>
      <x:c r="C109" s="2"/>
      <x:c r="D109" s="2"/>
      <x:c r="E109" s="2"/>
    </x:row>
    <x:row r="110" ht="25" customHeight="1">
      <x:c r="A110" s="2"/>
      <x:c r="B110" s="2"/>
      <x:c r="C110" s="2"/>
      <x:c r="D110" s="2"/>
      <x:c r="E110" s="2"/>
    </x:row>
    <x:row r="111" ht="25" customHeight="1">
      <x:c r="A111" s="2"/>
      <x:c r="B111" s="2"/>
      <x:c r="C111" s="2"/>
      <x:c r="D111" s="2"/>
      <x:c r="E111" s="2"/>
    </x:row>
    <x:row r="112" ht="25" customHeight="1">
      <x:c r="A112" s="2"/>
      <x:c r="B112" s="2"/>
      <x:c r="C112" s="2"/>
      <x:c r="D112" s="2"/>
      <x:c r="E112" s="2"/>
    </x:row>
    <x:row r="113" ht="25" customHeight="1">
      <x:c r="A113" s="2"/>
      <x:c r="B113" s="2"/>
      <x:c r="C113" s="2"/>
      <x:c r="D113" s="2"/>
      <x:c r="E113" s="2"/>
    </x:row>
    <x:row r="114" ht="25" customHeight="1">
      <x:c r="A114" s="2"/>
      <x:c r="B114" s="2"/>
      <x:c r="C114" s="2"/>
      <x:c r="D114" s="2"/>
      <x:c r="E114" s="2"/>
    </x:row>
    <x:row r="115" ht="25" customHeight="1">
      <x:c r="A115" s="2"/>
      <x:c r="B115" s="2"/>
      <x:c r="C115" s="2"/>
      <x:c r="D115" s="2"/>
      <x:c r="E115" s="2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23" hidden="0" customWidth="1"/>
    <x:col min="2" max="2" width="30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55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25" customHeight="1">
      <x:c r="A2" s="3" t="str">
        <x:v>Cintas — contagem por zona e por mês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3" ht="25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</x:row>
    <x:row r="4" ht="25" customHeight="1">
      <x:c r="A4" s="2" t="str">
        <x:v>Uma linha por zona de passo constante e por peça/conjunto. Cotar tudo a partir da mesma origem no troço.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</x:row>
    <x:row r="5" ht="25" customHeight="1">
      <x:c r="A5" s="2" t="str">
        <x:v>Vazio em E = nenhuma cinta anterior nessa zona. J dá contagem real do mês; calcular o acerto face à base normal antes de transferir.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</x:row>
    <x:row r="6" ht="25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</x:row>
    <x:row r="7" ht="45" customHeight="1">
      <x:c r="A7" s="19" t="str">
        <x:v>Tipo</x:v>
      </x:c>
      <x:c r="B7" s="19" t="str">
        <x:v>Peça / zona</x:v>
      </x:c>
      <x:c r="C7" s="19" t="str">
        <x:v>Primeira cinta x₀ m</x:v>
      </x:c>
      <x:c r="D7" s="19" t="str">
        <x:v>Passo da zona m</x:v>
      </x:c>
      <x:c r="E7" s="19" t="str">
        <x:v>Limite anterior m</x:v>
      </x:c>
      <x:c r="F7" s="19" t="str">
        <x:v>Limite atual m</x:v>
      </x:c>
      <x:c r="G7" s="19" t="str">
        <x:v>Conjuntos por nível</x:v>
      </x:c>
      <x:c r="H7" s="19" t="str">
        <x:v>N.º anterior</x:v>
      </x:c>
      <x:c r="I7" s="19" t="str">
        <x:v>N.º acumulado</x:v>
      </x:c>
      <x:c r="J7" s="19" t="str">
        <x:v>N.º do mês</x:v>
      </x:c>
      <x:c r="K7" s="19" t="str">
        <x:v>Registo / origem</x:v>
      </x:c>
    </x:row>
    <x:row r="8" ht="25" customHeight="1">
      <x:c r="A8" s="28"/>
      <x:c r="B8" s="28"/>
      <x:c r="C8" s="29"/>
      <x:c r="D8" s="29"/>
      <x:c r="E8" s="29"/>
      <x:c r="F8" s="29"/>
      <x:c r="G8" s="30"/>
      <x:c r="H8" s="31" t="str">
        <x:f>IF(COUNTA(A8:G8,K8)=0,"",IF(AND(ISNUMBER(C8),ISNUMBER(D8),D8&gt;0,ISNUMBER(F8),F8&gt;=C8,ISNUMBER(G8),G8&gt;0,G8=INT(G8),OR(E8="",AND(ISNUMBER(E8),E8&lt;=F8))),IF(E8="",0,IF(E8&lt;C8,0,(INT(ROUND((E8-C8)/D8,8))+1)*G8)),"Pendente"))</x:f>
      </x:c>
      <x:c r="I8" s="31" t="str">
        <x:f>IF(COUNTA(A8:G8,K8)=0,"",IF(AND(ISNUMBER(C8),ISNUMBER(D8),D8&gt;0,ISNUMBER(F8),F8&gt;=C8,ISNUMBER(G8),G8&gt;0,G8=INT(G8),OR(E8="",AND(ISNUMBER(E8),E8&lt;=F8))),(INT(ROUND((F8-C8)/D8,8))+1)*G8,"Pendente"))</x:f>
      </x:c>
      <x:c r="J8" s="31" t="str">
        <x:f>IF(I8="","",IF(AND(ISNUMBER(H8),ISNUMBER(I8)),I8-H8,"Pendente"))</x:f>
      </x:c>
      <x:c r="K8" s="28"/>
    </x:row>
    <x:row r="9" ht="25" customHeight="1">
      <x:c r="A9" s="28"/>
      <x:c r="B9" s="28"/>
      <x:c r="C9" s="29"/>
      <x:c r="D9" s="29"/>
      <x:c r="E9" s="29"/>
      <x:c r="F9" s="29"/>
      <x:c r="G9" s="30"/>
      <x:c r="H9" s="31" t="str">
        <x:f>IF(COUNTA(A9:G9,K9)=0,"",IF(AND(ISNUMBER(C9),ISNUMBER(D9),D9&gt;0,ISNUMBER(F9),F9&gt;=C9,ISNUMBER(G9),G9&gt;0,G9=INT(G9),OR(E9="",AND(ISNUMBER(E9),E9&lt;=F9))),IF(E9="",0,IF(E9&lt;C9,0,(INT(ROUND((E9-C9)/D9,8))+1)*G9)),"Pendente"))</x:f>
      </x:c>
      <x:c r="I9" s="31" t="str">
        <x:f>IF(COUNTA(A9:G9,K9)=0,"",IF(AND(ISNUMBER(C9),ISNUMBER(D9),D9&gt;0,ISNUMBER(F9),F9&gt;=C9,ISNUMBER(G9),G9&gt;0,G9=INT(G9),OR(E9="",AND(ISNUMBER(E9),E9&lt;=F9))),(INT(ROUND((F9-C9)/D9,8))+1)*G9,"Pendente"))</x:f>
      </x:c>
      <x:c r="J9" s="31" t="str">
        <x:f>IF(I9="","",IF(AND(ISNUMBER(H9),ISNUMBER(I9)),I9-H9,"Pendente"))</x:f>
      </x:c>
      <x:c r="K9" s="28"/>
    </x:row>
    <x:row r="10" ht="25" customHeight="1">
      <x:c r="A10" s="28"/>
      <x:c r="B10" s="28"/>
      <x:c r="C10" s="29"/>
      <x:c r="D10" s="29"/>
      <x:c r="E10" s="29"/>
      <x:c r="F10" s="29"/>
      <x:c r="G10" s="30"/>
      <x:c r="H10" s="31" t="str">
        <x:f>IF(COUNTA(A10:G10,K10)=0,"",IF(AND(ISNUMBER(C10),ISNUMBER(D10),D10&gt;0,ISNUMBER(F10),F10&gt;=C10,ISNUMBER(G10),G10&gt;0,G10=INT(G10),OR(E10="",AND(ISNUMBER(E10),E10&lt;=F10))),IF(E10="",0,IF(E10&lt;C10,0,(INT(ROUND((E10-C10)/D10,8))+1)*G10)),"Pendente"))</x:f>
      </x:c>
      <x:c r="I10" s="31" t="str">
        <x:f>IF(COUNTA(A10:G10,K10)=0,"",IF(AND(ISNUMBER(C10),ISNUMBER(D10),D10&gt;0,ISNUMBER(F10),F10&gt;=C10,ISNUMBER(G10),G10&gt;0,G10=INT(G10),OR(E10="",AND(ISNUMBER(E10),E10&lt;=F10))),(INT(ROUND((F10-C10)/D10,8))+1)*G10,"Pendente"))</x:f>
      </x:c>
      <x:c r="J10" s="31" t="str">
        <x:f>IF(I10="","",IF(AND(ISNUMBER(H10),ISNUMBER(I10)),I10-H10,"Pendente"))</x:f>
      </x:c>
      <x:c r="K10" s="28"/>
    </x:row>
    <x:row r="11" ht="25" customHeight="1">
      <x:c r="A11" s="28"/>
      <x:c r="B11" s="28"/>
      <x:c r="C11" s="29"/>
      <x:c r="D11" s="29"/>
      <x:c r="E11" s="29"/>
      <x:c r="F11" s="29"/>
      <x:c r="G11" s="30"/>
      <x:c r="H11" s="31" t="str">
        <x:f>IF(COUNTA(A11:G11,K11)=0,"",IF(AND(ISNUMBER(C11),ISNUMBER(D11),D11&gt;0,ISNUMBER(F11),F11&gt;=C11,ISNUMBER(G11),G11&gt;0,G11=INT(G11),OR(E11="",AND(ISNUMBER(E11),E11&lt;=F11))),IF(E11="",0,IF(E11&lt;C11,0,(INT(ROUND((E11-C11)/D11,8))+1)*G11)),"Pendente"))</x:f>
      </x:c>
      <x:c r="I11" s="31" t="str">
        <x:f>IF(COUNTA(A11:G11,K11)=0,"",IF(AND(ISNUMBER(C11),ISNUMBER(D11),D11&gt;0,ISNUMBER(F11),F11&gt;=C11,ISNUMBER(G11),G11&gt;0,G11=INT(G11),OR(E11="",AND(ISNUMBER(E11),E11&lt;=F11))),(INT(ROUND((F11-C11)/D11,8))+1)*G11,"Pendente"))</x:f>
      </x:c>
      <x:c r="J11" s="31" t="str">
        <x:f>IF(I11="","",IF(AND(ISNUMBER(H11),ISNUMBER(I11)),I11-H11,"Pendente"))</x:f>
      </x:c>
      <x:c r="K11" s="28"/>
    </x:row>
    <x:row r="12" ht="25" customHeight="1">
      <x:c r="A12" s="28"/>
      <x:c r="B12" s="28"/>
      <x:c r="C12" s="29"/>
      <x:c r="D12" s="29"/>
      <x:c r="E12" s="29"/>
      <x:c r="F12" s="29"/>
      <x:c r="G12" s="30"/>
      <x:c r="H12" s="31" t="str">
        <x:f>IF(COUNTA(A12:G12,K12)=0,"",IF(AND(ISNUMBER(C12),ISNUMBER(D12),D12&gt;0,ISNUMBER(F12),F12&gt;=C12,ISNUMBER(G12),G12&gt;0,G12=INT(G12),OR(E12="",AND(ISNUMBER(E12),E12&lt;=F12))),IF(E12="",0,IF(E12&lt;C12,0,(INT(ROUND((E12-C12)/D12,8))+1)*G12)),"Pendente"))</x:f>
      </x:c>
      <x:c r="I12" s="31" t="str">
        <x:f>IF(COUNTA(A12:G12,K12)=0,"",IF(AND(ISNUMBER(C12),ISNUMBER(D12),D12&gt;0,ISNUMBER(F12),F12&gt;=C12,ISNUMBER(G12),G12&gt;0,G12=INT(G12),OR(E12="",AND(ISNUMBER(E12),E12&lt;=F12))),(INT(ROUND((F12-C12)/D12,8))+1)*G12,"Pendente"))</x:f>
      </x:c>
      <x:c r="J12" s="31" t="str">
        <x:f>IF(I12="","",IF(AND(ISNUMBER(H12),ISNUMBER(I12)),I12-H12,"Pendente"))</x:f>
      </x:c>
      <x:c r="K12" s="28"/>
    </x:row>
    <x:row r="13" ht="25" customHeight="1">
      <x:c r="A13" s="28"/>
      <x:c r="B13" s="28"/>
      <x:c r="C13" s="29"/>
      <x:c r="D13" s="29"/>
      <x:c r="E13" s="29"/>
      <x:c r="F13" s="29"/>
      <x:c r="G13" s="30"/>
      <x:c r="H13" s="31" t="str">
        <x:f>IF(COUNTA(A13:G13,K13)=0,"",IF(AND(ISNUMBER(C13),ISNUMBER(D13),D13&gt;0,ISNUMBER(F13),F13&gt;=C13,ISNUMBER(G13),G13&gt;0,G13=INT(G13),OR(E13="",AND(ISNUMBER(E13),E13&lt;=F13))),IF(E13="",0,IF(E13&lt;C13,0,(INT(ROUND((E13-C13)/D13,8))+1)*G13)),"Pendente"))</x:f>
      </x:c>
      <x:c r="I13" s="31" t="str">
        <x:f>IF(COUNTA(A13:G13,K13)=0,"",IF(AND(ISNUMBER(C13),ISNUMBER(D13),D13&gt;0,ISNUMBER(F13),F13&gt;=C13,ISNUMBER(G13),G13&gt;0,G13=INT(G13),OR(E13="",AND(ISNUMBER(E13),E13&lt;=F13))),(INT(ROUND((F13-C13)/D13,8))+1)*G13,"Pendente"))</x:f>
      </x:c>
      <x:c r="J13" s="31" t="str">
        <x:f>IF(I13="","",IF(AND(ISNUMBER(H13),ISNUMBER(I13)),I13-H13,"Pendente"))</x:f>
      </x:c>
      <x:c r="K13" s="28"/>
    </x:row>
    <x:row r="14" ht="25" customHeight="1">
      <x:c r="A14" s="28"/>
      <x:c r="B14" s="28"/>
      <x:c r="C14" s="29"/>
      <x:c r="D14" s="29"/>
      <x:c r="E14" s="29"/>
      <x:c r="F14" s="29"/>
      <x:c r="G14" s="30"/>
      <x:c r="H14" s="31" t="str">
        <x:f>IF(COUNTA(A14:G14,K14)=0,"",IF(AND(ISNUMBER(C14),ISNUMBER(D14),D14&gt;0,ISNUMBER(F14),F14&gt;=C14,ISNUMBER(G14),G14&gt;0,G14=INT(G14),OR(E14="",AND(ISNUMBER(E14),E14&lt;=F14))),IF(E14="",0,IF(E14&lt;C14,0,(INT(ROUND((E14-C14)/D14,8))+1)*G14)),"Pendente"))</x:f>
      </x:c>
      <x:c r="I14" s="31" t="str">
        <x:f>IF(COUNTA(A14:G14,K14)=0,"",IF(AND(ISNUMBER(C14),ISNUMBER(D14),D14&gt;0,ISNUMBER(F14),F14&gt;=C14,ISNUMBER(G14),G14&gt;0,G14=INT(G14),OR(E14="",AND(ISNUMBER(E14),E14&lt;=F14))),(INT(ROUND((F14-C14)/D14,8))+1)*G14,"Pendente"))</x:f>
      </x:c>
      <x:c r="J14" s="31" t="str">
        <x:f>IF(I14="","",IF(AND(ISNUMBER(H14),ISNUMBER(I14)),I14-H14,"Pendente"))</x:f>
      </x:c>
      <x:c r="K14" s="28"/>
    </x:row>
    <x:row r="15" ht="25" customHeight="1">
      <x:c r="A15" s="28"/>
      <x:c r="B15" s="28"/>
      <x:c r="C15" s="29"/>
      <x:c r="D15" s="29"/>
      <x:c r="E15" s="29"/>
      <x:c r="F15" s="29"/>
      <x:c r="G15" s="30"/>
      <x:c r="H15" s="31" t="str">
        <x:f>IF(COUNTA(A15:G15,K15)=0,"",IF(AND(ISNUMBER(C15),ISNUMBER(D15),D15&gt;0,ISNUMBER(F15),F15&gt;=C15,ISNUMBER(G15),G15&gt;0,G15=INT(G15),OR(E15="",AND(ISNUMBER(E15),E15&lt;=F15))),IF(E15="",0,IF(E15&lt;C15,0,(INT(ROUND((E15-C15)/D15,8))+1)*G15)),"Pendente"))</x:f>
      </x:c>
      <x:c r="I15" s="31" t="str">
        <x:f>IF(COUNTA(A15:G15,K15)=0,"",IF(AND(ISNUMBER(C15),ISNUMBER(D15),D15&gt;0,ISNUMBER(F15),F15&gt;=C15,ISNUMBER(G15),G15&gt;0,G15=INT(G15),OR(E15="",AND(ISNUMBER(E15),E15&lt;=F15))),(INT(ROUND((F15-C15)/D15,8))+1)*G15,"Pendente"))</x:f>
      </x:c>
      <x:c r="J15" s="31" t="str">
        <x:f>IF(I15="","",IF(AND(ISNUMBER(H15),ISNUMBER(I15)),I15-H15,"Pendente"))</x:f>
      </x:c>
      <x:c r="K15" s="28"/>
    </x:row>
    <x:row r="16" ht="25" customHeight="1">
      <x:c r="A16" s="28"/>
      <x:c r="B16" s="28"/>
      <x:c r="C16" s="29"/>
      <x:c r="D16" s="29"/>
      <x:c r="E16" s="29"/>
      <x:c r="F16" s="29"/>
      <x:c r="G16" s="30"/>
      <x:c r="H16" s="31" t="str">
        <x:f>IF(COUNTA(A16:G16,K16)=0,"",IF(AND(ISNUMBER(C16),ISNUMBER(D16),D16&gt;0,ISNUMBER(F16),F16&gt;=C16,ISNUMBER(G16),G16&gt;0,G16=INT(G16),OR(E16="",AND(ISNUMBER(E16),E16&lt;=F16))),IF(E16="",0,IF(E16&lt;C16,0,(INT(ROUND((E16-C16)/D16,8))+1)*G16)),"Pendente"))</x:f>
      </x:c>
      <x:c r="I16" s="31" t="str">
        <x:f>IF(COUNTA(A16:G16,K16)=0,"",IF(AND(ISNUMBER(C16),ISNUMBER(D16),D16&gt;0,ISNUMBER(F16),F16&gt;=C16,ISNUMBER(G16),G16&gt;0,G16=INT(G16),OR(E16="",AND(ISNUMBER(E16),E16&lt;=F16))),(INT(ROUND((F16-C16)/D16,8))+1)*G16,"Pendente"))</x:f>
      </x:c>
      <x:c r="J16" s="31" t="str">
        <x:f>IF(I16="","",IF(AND(ISNUMBER(H16),ISNUMBER(I16)),I16-H16,"Pendente"))</x:f>
      </x:c>
      <x:c r="K16" s="28"/>
    </x:row>
    <x:row r="17" ht="25" customHeight="1">
      <x:c r="A17" s="28"/>
      <x:c r="B17" s="28"/>
      <x:c r="C17" s="29"/>
      <x:c r="D17" s="29"/>
      <x:c r="E17" s="29"/>
      <x:c r="F17" s="29"/>
      <x:c r="G17" s="30"/>
      <x:c r="H17" s="31" t="str">
        <x:f>IF(COUNTA(A17:G17,K17)=0,"",IF(AND(ISNUMBER(C17),ISNUMBER(D17),D17&gt;0,ISNUMBER(F17),F17&gt;=C17,ISNUMBER(G17),G17&gt;0,G17=INT(G17),OR(E17="",AND(ISNUMBER(E17),E17&lt;=F17))),IF(E17="",0,IF(E17&lt;C17,0,(INT(ROUND((E17-C17)/D17,8))+1)*G17)),"Pendente"))</x:f>
      </x:c>
      <x:c r="I17" s="31" t="str">
        <x:f>IF(COUNTA(A17:G17,K17)=0,"",IF(AND(ISNUMBER(C17),ISNUMBER(D17),D17&gt;0,ISNUMBER(F17),F17&gt;=C17,ISNUMBER(G17),G17&gt;0,G17=INT(G17),OR(E17="",AND(ISNUMBER(E17),E17&lt;=F17))),(INT(ROUND((F17-C17)/D17,8))+1)*G17,"Pendente"))</x:f>
      </x:c>
      <x:c r="J17" s="31" t="str">
        <x:f>IF(I17="","",IF(AND(ISNUMBER(H17),ISNUMBER(I17)),I17-H17,"Pendente"))</x:f>
      </x:c>
      <x:c r="K17" s="28"/>
    </x:row>
    <x:row r="18" ht="25" customHeight="1">
      <x:c r="A18" s="28"/>
      <x:c r="B18" s="28"/>
      <x:c r="C18" s="29"/>
      <x:c r="D18" s="29"/>
      <x:c r="E18" s="29"/>
      <x:c r="F18" s="29"/>
      <x:c r="G18" s="30"/>
      <x:c r="H18" s="31" t="str">
        <x:f>IF(COUNTA(A18:G18,K18)=0,"",IF(AND(ISNUMBER(C18),ISNUMBER(D18),D18&gt;0,ISNUMBER(F18),F18&gt;=C18,ISNUMBER(G18),G18&gt;0,G18=INT(G18),OR(E18="",AND(ISNUMBER(E18),E18&lt;=F18))),IF(E18="",0,IF(E18&lt;C18,0,(INT(ROUND((E18-C18)/D18,8))+1)*G18)),"Pendente"))</x:f>
      </x:c>
      <x:c r="I18" s="31" t="str">
        <x:f>IF(COUNTA(A18:G18,K18)=0,"",IF(AND(ISNUMBER(C18),ISNUMBER(D18),D18&gt;0,ISNUMBER(F18),F18&gt;=C18,ISNUMBER(G18),G18&gt;0,G18=INT(G18),OR(E18="",AND(ISNUMBER(E18),E18&lt;=F18))),(INT(ROUND((F18-C18)/D18,8))+1)*G18,"Pendente"))</x:f>
      </x:c>
      <x:c r="J18" s="31" t="str">
        <x:f>IF(I18="","",IF(AND(ISNUMBER(H18),ISNUMBER(I18)),I18-H18,"Pendente"))</x:f>
      </x:c>
      <x:c r="K18" s="28"/>
    </x:row>
    <x:row r="19" ht="25" customHeight="1">
      <x:c r="A19" s="28"/>
      <x:c r="B19" s="28"/>
      <x:c r="C19" s="29"/>
      <x:c r="D19" s="29"/>
      <x:c r="E19" s="29"/>
      <x:c r="F19" s="29"/>
      <x:c r="G19" s="30"/>
      <x:c r="H19" s="31" t="str">
        <x:f>IF(COUNTA(A19:G19,K19)=0,"",IF(AND(ISNUMBER(C19),ISNUMBER(D19),D19&gt;0,ISNUMBER(F19),F19&gt;=C19,ISNUMBER(G19),G19&gt;0,G19=INT(G19),OR(E19="",AND(ISNUMBER(E19),E19&lt;=F19))),IF(E19="",0,IF(E19&lt;C19,0,(INT(ROUND((E19-C19)/D19,8))+1)*G19)),"Pendente"))</x:f>
      </x:c>
      <x:c r="I19" s="31" t="str">
        <x:f>IF(COUNTA(A19:G19,K19)=0,"",IF(AND(ISNUMBER(C19),ISNUMBER(D19),D19&gt;0,ISNUMBER(F19),F19&gt;=C19,ISNUMBER(G19),G19&gt;0,G19=INT(G19),OR(E19="",AND(ISNUMBER(E19),E19&lt;=F19))),(INT(ROUND((F19-C19)/D19,8))+1)*G19,"Pendente"))</x:f>
      </x:c>
      <x:c r="J19" s="31" t="str">
        <x:f>IF(I19="","",IF(AND(ISNUMBER(H19),ISNUMBER(I19)),I19-H19,"Pendente"))</x:f>
      </x:c>
      <x:c r="K19" s="28"/>
    </x:row>
    <x:row r="20" ht="25" customHeight="1">
      <x:c r="A20" s="28"/>
      <x:c r="B20" s="28"/>
      <x:c r="C20" s="29"/>
      <x:c r="D20" s="29"/>
      <x:c r="E20" s="29"/>
      <x:c r="F20" s="29"/>
      <x:c r="G20" s="30"/>
      <x:c r="H20" s="31" t="str">
        <x:f>IF(COUNTA(A20:G20,K20)=0,"",IF(AND(ISNUMBER(C20),ISNUMBER(D20),D20&gt;0,ISNUMBER(F20),F20&gt;=C20,ISNUMBER(G20),G20&gt;0,G20=INT(G20),OR(E20="",AND(ISNUMBER(E20),E20&lt;=F20))),IF(E20="",0,IF(E20&lt;C20,0,(INT(ROUND((E20-C20)/D20,8))+1)*G20)),"Pendente"))</x:f>
      </x:c>
      <x:c r="I20" s="31" t="str">
        <x:f>IF(COUNTA(A20:G20,K20)=0,"",IF(AND(ISNUMBER(C20),ISNUMBER(D20),D20&gt;0,ISNUMBER(F20),F20&gt;=C20,ISNUMBER(G20),G20&gt;0,G20=INT(G20),OR(E20="",AND(ISNUMBER(E20),E20&lt;=F20))),(INT(ROUND((F20-C20)/D20,8))+1)*G20,"Pendente"))</x:f>
      </x:c>
      <x:c r="J20" s="31" t="str">
        <x:f>IF(I20="","",IF(AND(ISNUMBER(H20),ISNUMBER(I20)),I20-H20,"Pendente"))</x:f>
      </x:c>
      <x:c r="K20" s="28"/>
    </x:row>
    <x:row r="21" ht="25" customHeight="1">
      <x:c r="A21" s="28"/>
      <x:c r="B21" s="28"/>
      <x:c r="C21" s="29"/>
      <x:c r="D21" s="29"/>
      <x:c r="E21" s="29"/>
      <x:c r="F21" s="29"/>
      <x:c r="G21" s="30"/>
      <x:c r="H21" s="31" t="str">
        <x:f>IF(COUNTA(A21:G21,K21)=0,"",IF(AND(ISNUMBER(C21),ISNUMBER(D21),D21&gt;0,ISNUMBER(F21),F21&gt;=C21,ISNUMBER(G21),G21&gt;0,G21=INT(G21),OR(E21="",AND(ISNUMBER(E21),E21&lt;=F21))),IF(E21="",0,IF(E21&lt;C21,0,(INT(ROUND((E21-C21)/D21,8))+1)*G21)),"Pendente"))</x:f>
      </x:c>
      <x:c r="I21" s="31" t="str">
        <x:f>IF(COUNTA(A21:G21,K21)=0,"",IF(AND(ISNUMBER(C21),ISNUMBER(D21),D21&gt;0,ISNUMBER(F21),F21&gt;=C21,ISNUMBER(G21),G21&gt;0,G21=INT(G21),OR(E21="",AND(ISNUMBER(E21),E21&lt;=F21))),(INT(ROUND((F21-C21)/D21,8))+1)*G21,"Pendente"))</x:f>
      </x:c>
      <x:c r="J21" s="31" t="str">
        <x:f>IF(I21="","",IF(AND(ISNUMBER(H21),ISNUMBER(I21)),I21-H21,"Pendente"))</x:f>
      </x:c>
      <x:c r="K21" s="28"/>
    </x:row>
    <x:row r="22" ht="25" customHeight="1">
      <x:c r="A22" s="28"/>
      <x:c r="B22" s="28"/>
      <x:c r="C22" s="29"/>
      <x:c r="D22" s="29"/>
      <x:c r="E22" s="29"/>
      <x:c r="F22" s="29"/>
      <x:c r="G22" s="30"/>
      <x:c r="H22" s="31" t="str">
        <x:f>IF(COUNTA(A22:G22,K22)=0,"",IF(AND(ISNUMBER(C22),ISNUMBER(D22),D22&gt;0,ISNUMBER(F22),F22&gt;=C22,ISNUMBER(G22),G22&gt;0,G22=INT(G22),OR(E22="",AND(ISNUMBER(E22),E22&lt;=F22))),IF(E22="",0,IF(E22&lt;C22,0,(INT(ROUND((E22-C22)/D22,8))+1)*G22)),"Pendente"))</x:f>
      </x:c>
      <x:c r="I22" s="31" t="str">
        <x:f>IF(COUNTA(A22:G22,K22)=0,"",IF(AND(ISNUMBER(C22),ISNUMBER(D22),D22&gt;0,ISNUMBER(F22),F22&gt;=C22,ISNUMBER(G22),G22&gt;0,G22=INT(G22),OR(E22="",AND(ISNUMBER(E22),E22&lt;=F22))),(INT(ROUND((F22-C22)/D22,8))+1)*G22,"Pendente"))</x:f>
      </x:c>
      <x:c r="J22" s="31" t="str">
        <x:f>IF(I22="","",IF(AND(ISNUMBER(H22),ISNUMBER(I22)),I22-H22,"Pendente"))</x:f>
      </x:c>
      <x:c r="K22" s="28"/>
    </x:row>
    <x:row r="23" ht="25" customHeight="1">
      <x:c r="A23" s="28"/>
      <x:c r="B23" s="28"/>
      <x:c r="C23" s="29"/>
      <x:c r="D23" s="29"/>
      <x:c r="E23" s="29"/>
      <x:c r="F23" s="29"/>
      <x:c r="G23" s="30"/>
      <x:c r="H23" s="31" t="str">
        <x:f>IF(COUNTA(A23:G23,K23)=0,"",IF(AND(ISNUMBER(C23),ISNUMBER(D23),D23&gt;0,ISNUMBER(F23),F23&gt;=C23,ISNUMBER(G23),G23&gt;0,G23=INT(G23),OR(E23="",AND(ISNUMBER(E23),E23&lt;=F23))),IF(E23="",0,IF(E23&lt;C23,0,(INT(ROUND((E23-C23)/D23,8))+1)*G23)),"Pendente"))</x:f>
      </x:c>
      <x:c r="I23" s="31" t="str">
        <x:f>IF(COUNTA(A23:G23,K23)=0,"",IF(AND(ISNUMBER(C23),ISNUMBER(D23),D23&gt;0,ISNUMBER(F23),F23&gt;=C23,ISNUMBER(G23),G23&gt;0,G23=INT(G23),OR(E23="",AND(ISNUMBER(E23),E23&lt;=F23))),(INT(ROUND((F23-C23)/D23,8))+1)*G23,"Pendente"))</x:f>
      </x:c>
      <x:c r="J23" s="31" t="str">
        <x:f>IF(I23="","",IF(AND(ISNUMBER(H23),ISNUMBER(I23)),I23-H23,"Pendente"))</x:f>
      </x:c>
      <x:c r="K23" s="28"/>
    </x:row>
    <x:row r="24" ht="25" customHeight="1">
      <x:c r="A24" s="28"/>
      <x:c r="B24" s="28"/>
      <x:c r="C24" s="29"/>
      <x:c r="D24" s="29"/>
      <x:c r="E24" s="29"/>
      <x:c r="F24" s="29"/>
      <x:c r="G24" s="30"/>
      <x:c r="H24" s="31" t="str">
        <x:f>IF(COUNTA(A24:G24,K24)=0,"",IF(AND(ISNUMBER(C24),ISNUMBER(D24),D24&gt;0,ISNUMBER(F24),F24&gt;=C24,ISNUMBER(G24),G24&gt;0,G24=INT(G24),OR(E24="",AND(ISNUMBER(E24),E24&lt;=F24))),IF(E24="",0,IF(E24&lt;C24,0,(INT(ROUND((E24-C24)/D24,8))+1)*G24)),"Pendente"))</x:f>
      </x:c>
      <x:c r="I24" s="31" t="str">
        <x:f>IF(COUNTA(A24:G24,K24)=0,"",IF(AND(ISNUMBER(C24),ISNUMBER(D24),D24&gt;0,ISNUMBER(F24),F24&gt;=C24,ISNUMBER(G24),G24&gt;0,G24=INT(G24),OR(E24="",AND(ISNUMBER(E24),E24&lt;=F24))),(INT(ROUND((F24-C24)/D24,8))+1)*G24,"Pendente"))</x:f>
      </x:c>
      <x:c r="J24" s="31" t="str">
        <x:f>IF(I24="","",IF(AND(ISNUMBER(H24),ISNUMBER(I24)),I24-H24,"Pendente"))</x:f>
      </x:c>
      <x:c r="K24" s="28"/>
    </x:row>
    <x:row r="25" ht="25" customHeight="1">
      <x:c r="A25" s="28"/>
      <x:c r="B25" s="28"/>
      <x:c r="C25" s="29"/>
      <x:c r="D25" s="29"/>
      <x:c r="E25" s="29"/>
      <x:c r="F25" s="29"/>
      <x:c r="G25" s="30"/>
      <x:c r="H25" s="31" t="str">
        <x:f>IF(COUNTA(A25:G25,K25)=0,"",IF(AND(ISNUMBER(C25),ISNUMBER(D25),D25&gt;0,ISNUMBER(F25),F25&gt;=C25,ISNUMBER(G25),G25&gt;0,G25=INT(G25),OR(E25="",AND(ISNUMBER(E25),E25&lt;=F25))),IF(E25="",0,IF(E25&lt;C25,0,(INT(ROUND((E25-C25)/D25,8))+1)*G25)),"Pendente"))</x:f>
      </x:c>
      <x:c r="I25" s="31" t="str">
        <x:f>IF(COUNTA(A25:G25,K25)=0,"",IF(AND(ISNUMBER(C25),ISNUMBER(D25),D25&gt;0,ISNUMBER(F25),F25&gt;=C25,ISNUMBER(G25),G25&gt;0,G25=INT(G25),OR(E25="",AND(ISNUMBER(E25),E25&lt;=F25))),(INT(ROUND((F25-C25)/D25,8))+1)*G25,"Pendente"))</x:f>
      </x:c>
      <x:c r="J25" s="31" t="str">
        <x:f>IF(I25="","",IF(AND(ISNUMBER(H25),ISNUMBER(I25)),I25-H25,"Pendente"))</x:f>
      </x:c>
      <x:c r="K25" s="28"/>
    </x:row>
    <x:row r="26" ht="25" customHeight="1">
      <x:c r="A26" s="28"/>
      <x:c r="B26" s="28"/>
      <x:c r="C26" s="29"/>
      <x:c r="D26" s="29"/>
      <x:c r="E26" s="29"/>
      <x:c r="F26" s="29"/>
      <x:c r="G26" s="30"/>
      <x:c r="H26" s="31" t="str">
        <x:f>IF(COUNTA(A26:G26,K26)=0,"",IF(AND(ISNUMBER(C26),ISNUMBER(D26),D26&gt;0,ISNUMBER(F26),F26&gt;=C26,ISNUMBER(G26),G26&gt;0,G26=INT(G26),OR(E26="",AND(ISNUMBER(E26),E26&lt;=F26))),IF(E26="",0,IF(E26&lt;C26,0,(INT(ROUND((E26-C26)/D26,8))+1)*G26)),"Pendente"))</x:f>
      </x:c>
      <x:c r="I26" s="31" t="str">
        <x:f>IF(COUNTA(A26:G26,K26)=0,"",IF(AND(ISNUMBER(C26),ISNUMBER(D26),D26&gt;0,ISNUMBER(F26),F26&gt;=C26,ISNUMBER(G26),G26&gt;0,G26=INT(G26),OR(E26="",AND(ISNUMBER(E26),E26&lt;=F26))),(INT(ROUND((F26-C26)/D26,8))+1)*G26,"Pendente"))</x:f>
      </x:c>
      <x:c r="J26" s="31" t="str">
        <x:f>IF(I26="","",IF(AND(ISNUMBER(H26),ISNUMBER(I26)),I26-H26,"Pendente"))</x:f>
      </x:c>
      <x:c r="K26" s="28"/>
    </x:row>
    <x:row r="27" ht="25" customHeight="1">
      <x:c r="A27" s="28"/>
      <x:c r="B27" s="28"/>
      <x:c r="C27" s="29"/>
      <x:c r="D27" s="29"/>
      <x:c r="E27" s="29"/>
      <x:c r="F27" s="29"/>
      <x:c r="G27" s="30"/>
      <x:c r="H27" s="31" t="str">
        <x:f>IF(COUNTA(A27:G27,K27)=0,"",IF(AND(ISNUMBER(C27),ISNUMBER(D27),D27&gt;0,ISNUMBER(F27),F27&gt;=C27,ISNUMBER(G27),G27&gt;0,G27=INT(G27),OR(E27="",AND(ISNUMBER(E27),E27&lt;=F27))),IF(E27="",0,IF(E27&lt;C27,0,(INT(ROUND((E27-C27)/D27,8))+1)*G27)),"Pendente"))</x:f>
      </x:c>
      <x:c r="I27" s="31" t="str">
        <x:f>IF(COUNTA(A27:G27,K27)=0,"",IF(AND(ISNUMBER(C27),ISNUMBER(D27),D27&gt;0,ISNUMBER(F27),F27&gt;=C27,ISNUMBER(G27),G27&gt;0,G27=INT(G27),OR(E27="",AND(ISNUMBER(E27),E27&lt;=F27))),(INT(ROUND((F27-C27)/D27,8))+1)*G27,"Pendente"))</x:f>
      </x:c>
      <x:c r="J27" s="31" t="str">
        <x:f>IF(I27="","",IF(AND(ISNUMBER(H27),ISNUMBER(I27)),I27-H27,"Pendente"))</x:f>
      </x:c>
      <x:c r="K27" s="28"/>
    </x:row>
    <x:row r="28" ht="25" customHeight="1">
      <x:c r="A28" s="28"/>
      <x:c r="B28" s="28"/>
      <x:c r="C28" s="29"/>
      <x:c r="D28" s="29"/>
      <x:c r="E28" s="29"/>
      <x:c r="F28" s="29"/>
      <x:c r="G28" s="30"/>
      <x:c r="H28" s="31" t="str">
        <x:f>IF(COUNTA(A28:G28,K28)=0,"",IF(AND(ISNUMBER(C28),ISNUMBER(D28),D28&gt;0,ISNUMBER(F28),F28&gt;=C28,ISNUMBER(G28),G28&gt;0,G28=INT(G28),OR(E28="",AND(ISNUMBER(E28),E28&lt;=F28))),IF(E28="",0,IF(E28&lt;C28,0,(INT(ROUND((E28-C28)/D28,8))+1)*G28)),"Pendente"))</x:f>
      </x:c>
      <x:c r="I28" s="31" t="str">
        <x:f>IF(COUNTA(A28:G28,K28)=0,"",IF(AND(ISNUMBER(C28),ISNUMBER(D28),D28&gt;0,ISNUMBER(F28),F28&gt;=C28,ISNUMBER(G28),G28&gt;0,G28=INT(G28),OR(E28="",AND(ISNUMBER(E28),E28&lt;=F28))),(INT(ROUND((F28-C28)/D28,8))+1)*G28,"Pendente"))</x:f>
      </x:c>
      <x:c r="J28" s="31" t="str">
        <x:f>IF(I28="","",IF(AND(ISNUMBER(H28),ISNUMBER(I28)),I28-H28,"Pendente"))</x:f>
      </x:c>
      <x:c r="K28" s="28"/>
    </x:row>
    <x:row r="29" ht="25" customHeight="1">
      <x:c r="A29" s="28"/>
      <x:c r="B29" s="28"/>
      <x:c r="C29" s="29"/>
      <x:c r="D29" s="29"/>
      <x:c r="E29" s="29"/>
      <x:c r="F29" s="29"/>
      <x:c r="G29" s="30"/>
      <x:c r="H29" s="31" t="str">
        <x:f>IF(COUNTA(A29:G29,K29)=0,"",IF(AND(ISNUMBER(C29),ISNUMBER(D29),D29&gt;0,ISNUMBER(F29),F29&gt;=C29,ISNUMBER(G29),G29&gt;0,G29=INT(G29),OR(E29="",AND(ISNUMBER(E29),E29&lt;=F29))),IF(E29="",0,IF(E29&lt;C29,0,(INT(ROUND((E29-C29)/D29,8))+1)*G29)),"Pendente"))</x:f>
      </x:c>
      <x:c r="I29" s="31" t="str">
        <x:f>IF(COUNTA(A29:G29,K29)=0,"",IF(AND(ISNUMBER(C29),ISNUMBER(D29),D29&gt;0,ISNUMBER(F29),F29&gt;=C29,ISNUMBER(G29),G29&gt;0,G29=INT(G29),OR(E29="",AND(ISNUMBER(E29),E29&lt;=F29))),(INT(ROUND((F29-C29)/D29,8))+1)*G29,"Pendente"))</x:f>
      </x:c>
      <x:c r="J29" s="31" t="str">
        <x:f>IF(I29="","",IF(AND(ISNUMBER(H29),ISNUMBER(I29)),I29-H29,"Pendente"))</x:f>
      </x:c>
      <x:c r="K29" s="28"/>
    </x:row>
    <x:row r="30" ht="25" customHeight="1">
      <x:c r="A30" s="28"/>
      <x:c r="B30" s="28"/>
      <x:c r="C30" s="29"/>
      <x:c r="D30" s="29"/>
      <x:c r="E30" s="29"/>
      <x:c r="F30" s="29"/>
      <x:c r="G30" s="30"/>
      <x:c r="H30" s="31" t="str">
        <x:f>IF(COUNTA(A30:G30,K30)=0,"",IF(AND(ISNUMBER(C30),ISNUMBER(D30),D30&gt;0,ISNUMBER(F30),F30&gt;=C30,ISNUMBER(G30),G30&gt;0,G30=INT(G30),OR(E30="",AND(ISNUMBER(E30),E30&lt;=F30))),IF(E30="",0,IF(E30&lt;C30,0,(INT(ROUND((E30-C30)/D30,8))+1)*G30)),"Pendente"))</x:f>
      </x:c>
      <x:c r="I30" s="31" t="str">
        <x:f>IF(COUNTA(A30:G30,K30)=0,"",IF(AND(ISNUMBER(C30),ISNUMBER(D30),D30&gt;0,ISNUMBER(F30),F30&gt;=C30,ISNUMBER(G30),G30&gt;0,G30=INT(G30),OR(E30="",AND(ISNUMBER(E30),E30&lt;=F30))),(INT(ROUND((F30-C30)/D30,8))+1)*G30,"Pendente"))</x:f>
      </x:c>
      <x:c r="J30" s="31" t="str">
        <x:f>IF(I30="","",IF(AND(ISNUMBER(H30),ISNUMBER(I30)),I30-H30,"Pendente"))</x:f>
      </x:c>
      <x:c r="K30" s="28"/>
    </x:row>
    <x:row r="31" ht="25" customHeight="1">
      <x:c r="A31" s="28"/>
      <x:c r="B31" s="28"/>
      <x:c r="C31" s="29"/>
      <x:c r="D31" s="29"/>
      <x:c r="E31" s="29"/>
      <x:c r="F31" s="29"/>
      <x:c r="G31" s="30"/>
      <x:c r="H31" s="31" t="str">
        <x:f>IF(COUNTA(A31:G31,K31)=0,"",IF(AND(ISNUMBER(C31),ISNUMBER(D31),D31&gt;0,ISNUMBER(F31),F31&gt;=C31,ISNUMBER(G31),G31&gt;0,G31=INT(G31),OR(E31="",AND(ISNUMBER(E31),E31&lt;=F31))),IF(E31="",0,IF(E31&lt;C31,0,(INT(ROUND((E31-C31)/D31,8))+1)*G31)),"Pendente"))</x:f>
      </x:c>
      <x:c r="I31" s="31" t="str">
        <x:f>IF(COUNTA(A31:G31,K31)=0,"",IF(AND(ISNUMBER(C31),ISNUMBER(D31),D31&gt;0,ISNUMBER(F31),F31&gt;=C31,ISNUMBER(G31),G31&gt;0,G31=INT(G31),OR(E31="",AND(ISNUMBER(E31),E31&lt;=F31))),(INT(ROUND((F31-C31)/D31,8))+1)*G31,"Pendente"))</x:f>
      </x:c>
      <x:c r="J31" s="31" t="str">
        <x:f>IF(I31="","",IF(AND(ISNUMBER(H31),ISNUMBER(I31)),I31-H31,"Pendente"))</x:f>
      </x:c>
      <x:c r="K31" s="28"/>
    </x:row>
    <x:row r="32" ht="25" customHeight="1">
      <x:c r="A32" s="28"/>
      <x:c r="B32" s="28"/>
      <x:c r="C32" s="29"/>
      <x:c r="D32" s="29"/>
      <x:c r="E32" s="29"/>
      <x:c r="F32" s="29"/>
      <x:c r="G32" s="30"/>
      <x:c r="H32" s="31" t="str">
        <x:f>IF(COUNTA(A32:G32,K32)=0,"",IF(AND(ISNUMBER(C32),ISNUMBER(D32),D32&gt;0,ISNUMBER(F32),F32&gt;=C32,ISNUMBER(G32),G32&gt;0,G32=INT(G32),OR(E32="",AND(ISNUMBER(E32),E32&lt;=F32))),IF(E32="",0,IF(E32&lt;C32,0,(INT(ROUND((E32-C32)/D32,8))+1)*G32)),"Pendente"))</x:f>
      </x:c>
      <x:c r="I32" s="31" t="str">
        <x:f>IF(COUNTA(A32:G32,K32)=0,"",IF(AND(ISNUMBER(C32),ISNUMBER(D32),D32&gt;0,ISNUMBER(F32),F32&gt;=C32,ISNUMBER(G32),G32&gt;0,G32=INT(G32),OR(E32="",AND(ISNUMBER(E32),E32&lt;=F32))),(INT(ROUND((F32-C32)/D32,8))+1)*G32,"Pendente"))</x:f>
      </x:c>
      <x:c r="J32" s="31" t="str">
        <x:f>IF(I32="","",IF(AND(ISNUMBER(H32),ISNUMBER(I32)),I32-H32,"Pendente"))</x:f>
      </x:c>
      <x:c r="K32" s="28"/>
    </x:row>
    <x:row r="33" ht="25" customHeight="1">
      <x:c r="A33" s="28"/>
      <x:c r="B33" s="28"/>
      <x:c r="C33" s="29"/>
      <x:c r="D33" s="29"/>
      <x:c r="E33" s="29"/>
      <x:c r="F33" s="29"/>
      <x:c r="G33" s="30"/>
      <x:c r="H33" s="31" t="str">
        <x:f>IF(COUNTA(A33:G33,K33)=0,"",IF(AND(ISNUMBER(C33),ISNUMBER(D33),D33&gt;0,ISNUMBER(F33),F33&gt;=C33,ISNUMBER(G33),G33&gt;0,G33=INT(G33),OR(E33="",AND(ISNUMBER(E33),E33&lt;=F33))),IF(E33="",0,IF(E33&lt;C33,0,(INT(ROUND((E33-C33)/D33,8))+1)*G33)),"Pendente"))</x:f>
      </x:c>
      <x:c r="I33" s="31" t="str">
        <x:f>IF(COUNTA(A33:G33,K33)=0,"",IF(AND(ISNUMBER(C33),ISNUMBER(D33),D33&gt;0,ISNUMBER(F33),F33&gt;=C33,ISNUMBER(G33),G33&gt;0,G33=INT(G33),OR(E33="",AND(ISNUMBER(E33),E33&lt;=F33))),(INT(ROUND((F33-C33)/D33,8))+1)*G33,"Pendente"))</x:f>
      </x:c>
      <x:c r="J33" s="31" t="str">
        <x:f>IF(I33="","",IF(AND(ISNUMBER(H33),ISNUMBER(I33)),I33-H33,"Pendente"))</x:f>
      </x:c>
      <x:c r="K33" s="28"/>
    </x:row>
    <x:row r="34" ht="25" customHeight="1">
      <x:c r="A34" s="28"/>
      <x:c r="B34" s="28"/>
      <x:c r="C34" s="29"/>
      <x:c r="D34" s="29"/>
      <x:c r="E34" s="29"/>
      <x:c r="F34" s="29"/>
      <x:c r="G34" s="30"/>
      <x:c r="H34" s="31" t="str">
        <x:f>IF(COUNTA(A34:G34,K34)=0,"",IF(AND(ISNUMBER(C34),ISNUMBER(D34),D34&gt;0,ISNUMBER(F34),F34&gt;=C34,ISNUMBER(G34),G34&gt;0,G34=INT(G34),OR(E34="",AND(ISNUMBER(E34),E34&lt;=F34))),IF(E34="",0,IF(E34&lt;C34,0,(INT(ROUND((E34-C34)/D34,8))+1)*G34)),"Pendente"))</x:f>
      </x:c>
      <x:c r="I34" s="31" t="str">
        <x:f>IF(COUNTA(A34:G34,K34)=0,"",IF(AND(ISNUMBER(C34),ISNUMBER(D34),D34&gt;0,ISNUMBER(F34),F34&gt;=C34,ISNUMBER(G34),G34&gt;0,G34=INT(G34),OR(E34="",AND(ISNUMBER(E34),E34&lt;=F34))),(INT(ROUND((F34-C34)/D34,8))+1)*G34,"Pendente"))</x:f>
      </x:c>
      <x:c r="J34" s="31" t="str">
        <x:f>IF(I34="","",IF(AND(ISNUMBER(H34),ISNUMBER(I34)),I34-H34,"Pendente"))</x:f>
      </x:c>
      <x:c r="K34" s="28"/>
    </x:row>
    <x:row r="35" ht="25" customHeight="1">
      <x:c r="A35" s="28"/>
      <x:c r="B35" s="28"/>
      <x:c r="C35" s="29"/>
      <x:c r="D35" s="29"/>
      <x:c r="E35" s="29"/>
      <x:c r="F35" s="29"/>
      <x:c r="G35" s="30"/>
      <x:c r="H35" s="31" t="str">
        <x:f>IF(COUNTA(A35:G35,K35)=0,"",IF(AND(ISNUMBER(C35),ISNUMBER(D35),D35&gt;0,ISNUMBER(F35),F35&gt;=C35,ISNUMBER(G35),G35&gt;0,G35=INT(G35),OR(E35="",AND(ISNUMBER(E35),E35&lt;=F35))),IF(E35="",0,IF(E35&lt;C35,0,(INT(ROUND((E35-C35)/D35,8))+1)*G35)),"Pendente"))</x:f>
      </x:c>
      <x:c r="I35" s="31" t="str">
        <x:f>IF(COUNTA(A35:G35,K35)=0,"",IF(AND(ISNUMBER(C35),ISNUMBER(D35),D35&gt;0,ISNUMBER(F35),F35&gt;=C35,ISNUMBER(G35),G35&gt;0,G35=INT(G35),OR(E35="",AND(ISNUMBER(E35),E35&lt;=F35))),(INT(ROUND((F35-C35)/D35,8))+1)*G35,"Pendente"))</x:f>
      </x:c>
      <x:c r="J35" s="31" t="str">
        <x:f>IF(I35="","",IF(AND(ISNUMBER(H35),ISNUMBER(I35)),I35-H35,"Pendente"))</x:f>
      </x:c>
      <x:c r="K35" s="28"/>
    </x:row>
    <x:row r="36" ht="25" customHeight="1">
      <x:c r="A36" s="28"/>
      <x:c r="B36" s="28"/>
      <x:c r="C36" s="29"/>
      <x:c r="D36" s="29"/>
      <x:c r="E36" s="29"/>
      <x:c r="F36" s="29"/>
      <x:c r="G36" s="30"/>
      <x:c r="H36" s="31" t="str">
        <x:f>IF(COUNTA(A36:G36,K36)=0,"",IF(AND(ISNUMBER(C36),ISNUMBER(D36),D36&gt;0,ISNUMBER(F36),F36&gt;=C36,ISNUMBER(G36),G36&gt;0,G36=INT(G36),OR(E36="",AND(ISNUMBER(E36),E36&lt;=F36))),IF(E36="",0,IF(E36&lt;C36,0,(INT(ROUND((E36-C36)/D36,8))+1)*G36)),"Pendente"))</x:f>
      </x:c>
      <x:c r="I36" s="31" t="str">
        <x:f>IF(COUNTA(A36:G36,K36)=0,"",IF(AND(ISNUMBER(C36),ISNUMBER(D36),D36&gt;0,ISNUMBER(F36),F36&gt;=C36,ISNUMBER(G36),G36&gt;0,G36=INT(G36),OR(E36="",AND(ISNUMBER(E36),E36&lt;=F36))),(INT(ROUND((F36-C36)/D36,8))+1)*G36,"Pendente"))</x:f>
      </x:c>
      <x:c r="J36" s="31" t="str">
        <x:f>IF(I36="","",IF(AND(ISNUMBER(H36),ISNUMBER(I36)),I36-H36,"Pendente"))</x:f>
      </x:c>
      <x:c r="K36" s="28"/>
    </x:row>
    <x:row r="37" ht="25" customHeight="1">
      <x:c r="A37" s="28"/>
      <x:c r="B37" s="28"/>
      <x:c r="C37" s="29"/>
      <x:c r="D37" s="29"/>
      <x:c r="E37" s="29"/>
      <x:c r="F37" s="29"/>
      <x:c r="G37" s="30"/>
      <x:c r="H37" s="31" t="str">
        <x:f>IF(COUNTA(A37:G37,K37)=0,"",IF(AND(ISNUMBER(C37),ISNUMBER(D37),D37&gt;0,ISNUMBER(F37),F37&gt;=C37,ISNUMBER(G37),G37&gt;0,G37=INT(G37),OR(E37="",AND(ISNUMBER(E37),E37&lt;=F37))),IF(E37="",0,IF(E37&lt;C37,0,(INT(ROUND((E37-C37)/D37,8))+1)*G37)),"Pendente"))</x:f>
      </x:c>
      <x:c r="I37" s="31" t="str">
        <x:f>IF(COUNTA(A37:G37,K37)=0,"",IF(AND(ISNUMBER(C37),ISNUMBER(D37),D37&gt;0,ISNUMBER(F37),F37&gt;=C37,ISNUMBER(G37),G37&gt;0,G37=INT(G37),OR(E37="",AND(ISNUMBER(E37),E37&lt;=F37))),(INT(ROUND((F37-C37)/D37,8))+1)*G37,"Pendente"))</x:f>
      </x:c>
      <x:c r="J37" s="31" t="str">
        <x:f>IF(I37="","",IF(AND(ISNUMBER(H37),ISNUMBER(I37)),I37-H37,"Pendente"))</x:f>
      </x:c>
      <x:c r="K37" s="28"/>
    </x:row>
    <x:row r="38" ht="25" customHeight="1">
      <x:c r="A38" s="28"/>
      <x:c r="B38" s="28"/>
      <x:c r="C38" s="29"/>
      <x:c r="D38" s="29"/>
      <x:c r="E38" s="29"/>
      <x:c r="F38" s="29"/>
      <x:c r="G38" s="30"/>
      <x:c r="H38" s="31" t="str">
        <x:f>IF(COUNTA(A38:G38,K38)=0,"",IF(AND(ISNUMBER(C38),ISNUMBER(D38),D38&gt;0,ISNUMBER(F38),F38&gt;=C38,ISNUMBER(G38),G38&gt;0,G38=INT(G38),OR(E38="",AND(ISNUMBER(E38),E38&lt;=F38))),IF(E38="",0,IF(E38&lt;C38,0,(INT(ROUND((E38-C38)/D38,8))+1)*G38)),"Pendente"))</x:f>
      </x:c>
      <x:c r="I38" s="31" t="str">
        <x:f>IF(COUNTA(A38:G38,K38)=0,"",IF(AND(ISNUMBER(C38),ISNUMBER(D38),D38&gt;0,ISNUMBER(F38),F38&gt;=C38,ISNUMBER(G38),G38&gt;0,G38=INT(G38),OR(E38="",AND(ISNUMBER(E38),E38&lt;=F38))),(INT(ROUND((F38-C38)/D38,8))+1)*G38,"Pendente"))</x:f>
      </x:c>
      <x:c r="J38" s="31" t="str">
        <x:f>IF(I38="","",IF(AND(ISNUMBER(H38),ISNUMBER(I38)),I38-H38,"Pendente"))</x:f>
      </x:c>
      <x:c r="K38" s="28"/>
    </x:row>
    <x:row r="39" ht="25" customHeight="1">
      <x:c r="A39" s="28"/>
      <x:c r="B39" s="28"/>
      <x:c r="C39" s="29"/>
      <x:c r="D39" s="29"/>
      <x:c r="E39" s="29"/>
      <x:c r="F39" s="29"/>
      <x:c r="G39" s="30"/>
      <x:c r="H39" s="31" t="str">
        <x:f>IF(COUNTA(A39:G39,K39)=0,"",IF(AND(ISNUMBER(C39),ISNUMBER(D39),D39&gt;0,ISNUMBER(F39),F39&gt;=C39,ISNUMBER(G39),G39&gt;0,G39=INT(G39),OR(E39="",AND(ISNUMBER(E39),E39&lt;=F39))),IF(E39="",0,IF(E39&lt;C39,0,(INT(ROUND((E39-C39)/D39,8))+1)*G39)),"Pendente"))</x:f>
      </x:c>
      <x:c r="I39" s="31" t="str">
        <x:f>IF(COUNTA(A39:G39,K39)=0,"",IF(AND(ISNUMBER(C39),ISNUMBER(D39),D39&gt;0,ISNUMBER(F39),F39&gt;=C39,ISNUMBER(G39),G39&gt;0,G39=INT(G39),OR(E39="",AND(ISNUMBER(E39),E39&lt;=F39))),(INT(ROUND((F39-C39)/D39,8))+1)*G39,"Pendente"))</x:f>
      </x:c>
      <x:c r="J39" s="31" t="str">
        <x:f>IF(I39="","",IF(AND(ISNUMBER(H39),ISNUMBER(I39)),I39-H39,"Pendente"))</x:f>
      </x:c>
      <x:c r="K39" s="28"/>
    </x:row>
    <x:row r="40" ht="25" customHeight="1">
      <x:c r="A40" s="28"/>
      <x:c r="B40" s="28"/>
      <x:c r="C40" s="29"/>
      <x:c r="D40" s="29"/>
      <x:c r="E40" s="29"/>
      <x:c r="F40" s="29"/>
      <x:c r="G40" s="30"/>
      <x:c r="H40" s="31" t="str">
        <x:f>IF(COUNTA(A40:G40,K40)=0,"",IF(AND(ISNUMBER(C40),ISNUMBER(D40),D40&gt;0,ISNUMBER(F40),F40&gt;=C40,ISNUMBER(G40),G40&gt;0,G40=INT(G40),OR(E40="",AND(ISNUMBER(E40),E40&lt;=F40))),IF(E40="",0,IF(E40&lt;C40,0,(INT(ROUND((E40-C40)/D40,8))+1)*G40)),"Pendente"))</x:f>
      </x:c>
      <x:c r="I40" s="31" t="str">
        <x:f>IF(COUNTA(A40:G40,K40)=0,"",IF(AND(ISNUMBER(C40),ISNUMBER(D40),D40&gt;0,ISNUMBER(F40),F40&gt;=C40,ISNUMBER(G40),G40&gt;0,G40=INT(G40),OR(E40="",AND(ISNUMBER(E40),E40&lt;=F40))),(INT(ROUND((F40-C40)/D40,8))+1)*G40,"Pendente"))</x:f>
      </x:c>
      <x:c r="J40" s="31" t="str">
        <x:f>IF(I40="","",IF(AND(ISNUMBER(H40),ISNUMBER(I40)),I40-H40,"Pendente"))</x:f>
      </x:c>
      <x:c r="K40" s="28"/>
    </x:row>
    <x:row r="41" ht="25" customHeight="1">
      <x:c r="A41" s="28"/>
      <x:c r="B41" s="28"/>
      <x:c r="C41" s="29"/>
      <x:c r="D41" s="29"/>
      <x:c r="E41" s="29"/>
      <x:c r="F41" s="29"/>
      <x:c r="G41" s="30"/>
      <x:c r="H41" s="31" t="str">
        <x:f>IF(COUNTA(A41:G41,K41)=0,"",IF(AND(ISNUMBER(C41),ISNUMBER(D41),D41&gt;0,ISNUMBER(F41),F41&gt;=C41,ISNUMBER(G41),G41&gt;0,G41=INT(G41),OR(E41="",AND(ISNUMBER(E41),E41&lt;=F41))),IF(E41="",0,IF(E41&lt;C41,0,(INT(ROUND((E41-C41)/D41,8))+1)*G41)),"Pendente"))</x:f>
      </x:c>
      <x:c r="I41" s="31" t="str">
        <x:f>IF(COUNTA(A41:G41,K41)=0,"",IF(AND(ISNUMBER(C41),ISNUMBER(D41),D41&gt;0,ISNUMBER(F41),F41&gt;=C41,ISNUMBER(G41),G41&gt;0,G41=INT(G41),OR(E41="",AND(ISNUMBER(E41),E41&lt;=F41))),(INT(ROUND((F41-C41)/D41,8))+1)*G41,"Pendente"))</x:f>
      </x:c>
      <x:c r="J41" s="31" t="str">
        <x:f>IF(I41="","",IF(AND(ISNUMBER(H41),ISNUMBER(I41)),I41-H41,"Pendente"))</x:f>
      </x:c>
      <x:c r="K41" s="28"/>
    </x:row>
    <x:row r="42" ht="25" customHeight="1">
      <x:c r="A42" s="28"/>
      <x:c r="B42" s="28"/>
      <x:c r="C42" s="29"/>
      <x:c r="D42" s="29"/>
      <x:c r="E42" s="29"/>
      <x:c r="F42" s="29"/>
      <x:c r="G42" s="30"/>
      <x:c r="H42" s="31" t="str">
        <x:f>IF(COUNTA(A42:G42,K42)=0,"",IF(AND(ISNUMBER(C42),ISNUMBER(D42),D42&gt;0,ISNUMBER(F42),F42&gt;=C42,ISNUMBER(G42),G42&gt;0,G42=INT(G42),OR(E42="",AND(ISNUMBER(E42),E42&lt;=F42))),IF(E42="",0,IF(E42&lt;C42,0,(INT(ROUND((E42-C42)/D42,8))+1)*G42)),"Pendente"))</x:f>
      </x:c>
      <x:c r="I42" s="31" t="str">
        <x:f>IF(COUNTA(A42:G42,K42)=0,"",IF(AND(ISNUMBER(C42),ISNUMBER(D42),D42&gt;0,ISNUMBER(F42),F42&gt;=C42,ISNUMBER(G42),G42&gt;0,G42=INT(G42),OR(E42="",AND(ISNUMBER(E42),E42&lt;=F42))),(INT(ROUND((F42-C42)/D42,8))+1)*G42,"Pendente"))</x:f>
      </x:c>
      <x:c r="J42" s="31" t="str">
        <x:f>IF(I42="","",IF(AND(ISNUMBER(H42),ISNUMBER(I42)),I42-H42,"Pendente"))</x:f>
      </x:c>
      <x:c r="K42" s="28"/>
    </x:row>
    <x:row r="43" ht="25" customHeight="1">
      <x:c r="A43" s="28"/>
      <x:c r="B43" s="28"/>
      <x:c r="C43" s="29"/>
      <x:c r="D43" s="29"/>
      <x:c r="E43" s="29"/>
      <x:c r="F43" s="29"/>
      <x:c r="G43" s="30"/>
      <x:c r="H43" s="31" t="str">
        <x:f>IF(COUNTA(A43:G43,K43)=0,"",IF(AND(ISNUMBER(C43),ISNUMBER(D43),D43&gt;0,ISNUMBER(F43),F43&gt;=C43,ISNUMBER(G43),G43&gt;0,G43=INT(G43),OR(E43="",AND(ISNUMBER(E43),E43&lt;=F43))),IF(E43="",0,IF(E43&lt;C43,0,(INT(ROUND((E43-C43)/D43,8))+1)*G43)),"Pendente"))</x:f>
      </x:c>
      <x:c r="I43" s="31" t="str">
        <x:f>IF(COUNTA(A43:G43,K43)=0,"",IF(AND(ISNUMBER(C43),ISNUMBER(D43),D43&gt;0,ISNUMBER(F43),F43&gt;=C43,ISNUMBER(G43),G43&gt;0,G43=INT(G43),OR(E43="",AND(ISNUMBER(E43),E43&lt;=F43))),(INT(ROUND((F43-C43)/D43,8))+1)*G43,"Pendente"))</x:f>
      </x:c>
      <x:c r="J43" s="31" t="str">
        <x:f>IF(I43="","",IF(AND(ISNUMBER(H43),ISNUMBER(I43)),I43-H43,"Pendente"))</x:f>
      </x:c>
      <x:c r="K43" s="28"/>
    </x:row>
    <x:row r="44" ht="25" customHeight="1">
      <x:c r="A44" s="28"/>
      <x:c r="B44" s="28"/>
      <x:c r="C44" s="29"/>
      <x:c r="D44" s="29"/>
      <x:c r="E44" s="29"/>
      <x:c r="F44" s="29"/>
      <x:c r="G44" s="30"/>
      <x:c r="H44" s="31" t="str">
        <x:f>IF(COUNTA(A44:G44,K44)=0,"",IF(AND(ISNUMBER(C44),ISNUMBER(D44),D44&gt;0,ISNUMBER(F44),F44&gt;=C44,ISNUMBER(G44),G44&gt;0,G44=INT(G44),OR(E44="",AND(ISNUMBER(E44),E44&lt;=F44))),IF(E44="",0,IF(E44&lt;C44,0,(INT(ROUND((E44-C44)/D44,8))+1)*G44)),"Pendente"))</x:f>
      </x:c>
      <x:c r="I44" s="31" t="str">
        <x:f>IF(COUNTA(A44:G44,K44)=0,"",IF(AND(ISNUMBER(C44),ISNUMBER(D44),D44&gt;0,ISNUMBER(F44),F44&gt;=C44,ISNUMBER(G44),G44&gt;0,G44=INT(G44),OR(E44="",AND(ISNUMBER(E44),E44&lt;=F44))),(INT(ROUND((F44-C44)/D44,8))+1)*G44,"Pendente"))</x:f>
      </x:c>
      <x:c r="J44" s="31" t="str">
        <x:f>IF(I44="","",IF(AND(ISNUMBER(H44),ISNUMBER(I44)),I44-H44,"Pendente"))</x:f>
      </x:c>
      <x:c r="K44" s="28"/>
    </x:row>
    <x:row r="45" ht="25" customHeight="1">
      <x:c r="A45" s="28"/>
      <x:c r="B45" s="28"/>
      <x:c r="C45" s="29"/>
      <x:c r="D45" s="29"/>
      <x:c r="E45" s="29"/>
      <x:c r="F45" s="29"/>
      <x:c r="G45" s="30"/>
      <x:c r="H45" s="31" t="str">
        <x:f>IF(COUNTA(A45:G45,K45)=0,"",IF(AND(ISNUMBER(C45),ISNUMBER(D45),D45&gt;0,ISNUMBER(F45),F45&gt;=C45,ISNUMBER(G45),G45&gt;0,G45=INT(G45),OR(E45="",AND(ISNUMBER(E45),E45&lt;=F45))),IF(E45="",0,IF(E45&lt;C45,0,(INT(ROUND((E45-C45)/D45,8))+1)*G45)),"Pendente"))</x:f>
      </x:c>
      <x:c r="I45" s="31" t="str">
        <x:f>IF(COUNTA(A45:G45,K45)=0,"",IF(AND(ISNUMBER(C45),ISNUMBER(D45),D45&gt;0,ISNUMBER(F45),F45&gt;=C45,ISNUMBER(G45),G45&gt;0,G45=INT(G45),OR(E45="",AND(ISNUMBER(E45),E45&lt;=F45))),(INT(ROUND((F45-C45)/D45,8))+1)*G45,"Pendente"))</x:f>
      </x:c>
      <x:c r="J45" s="31" t="str">
        <x:f>IF(I45="","",IF(AND(ISNUMBER(H45),ISNUMBER(I45)),I45-H45,"Pendente"))</x:f>
      </x:c>
      <x:c r="K45" s="28"/>
    </x:row>
    <x:row r="46" ht="25" customHeight="1">
      <x:c r="A46" s="28"/>
      <x:c r="B46" s="28"/>
      <x:c r="C46" s="29"/>
      <x:c r="D46" s="29"/>
      <x:c r="E46" s="29"/>
      <x:c r="F46" s="29"/>
      <x:c r="G46" s="30"/>
      <x:c r="H46" s="31" t="str">
        <x:f>IF(COUNTA(A46:G46,K46)=0,"",IF(AND(ISNUMBER(C46),ISNUMBER(D46),D46&gt;0,ISNUMBER(F46),F46&gt;=C46,ISNUMBER(G46),G46&gt;0,G46=INT(G46),OR(E46="",AND(ISNUMBER(E46),E46&lt;=F46))),IF(E46="",0,IF(E46&lt;C46,0,(INT(ROUND((E46-C46)/D46,8))+1)*G46)),"Pendente"))</x:f>
      </x:c>
      <x:c r="I46" s="31" t="str">
        <x:f>IF(COUNTA(A46:G46,K46)=0,"",IF(AND(ISNUMBER(C46),ISNUMBER(D46),D46&gt;0,ISNUMBER(F46),F46&gt;=C46,ISNUMBER(G46),G46&gt;0,G46=INT(G46),OR(E46="",AND(ISNUMBER(E46),E46&lt;=F46))),(INT(ROUND((F46-C46)/D46,8))+1)*G46,"Pendente"))</x:f>
      </x:c>
      <x:c r="J46" s="31" t="str">
        <x:f>IF(I46="","",IF(AND(ISNUMBER(H46),ISNUMBER(I46)),I46-H46,"Pendente"))</x:f>
      </x:c>
      <x:c r="K46" s="28"/>
    </x:row>
    <x:row r="47" ht="25" customHeight="1">
      <x:c r="A47" s="28"/>
      <x:c r="B47" s="28"/>
      <x:c r="C47" s="29"/>
      <x:c r="D47" s="29"/>
      <x:c r="E47" s="29"/>
      <x:c r="F47" s="29"/>
      <x:c r="G47" s="30"/>
      <x:c r="H47" s="31" t="str">
        <x:f>IF(COUNTA(A47:G47,K47)=0,"",IF(AND(ISNUMBER(C47),ISNUMBER(D47),D47&gt;0,ISNUMBER(F47),F47&gt;=C47,ISNUMBER(G47),G47&gt;0,G47=INT(G47),OR(E47="",AND(ISNUMBER(E47),E47&lt;=F47))),IF(E47="",0,IF(E47&lt;C47,0,(INT(ROUND((E47-C47)/D47,8))+1)*G47)),"Pendente"))</x:f>
      </x:c>
      <x:c r="I47" s="31" t="str">
        <x:f>IF(COUNTA(A47:G47,K47)=0,"",IF(AND(ISNUMBER(C47),ISNUMBER(D47),D47&gt;0,ISNUMBER(F47),F47&gt;=C47,ISNUMBER(G47),G47&gt;0,G47=INT(G47),OR(E47="",AND(ISNUMBER(E47),E47&lt;=F47))),(INT(ROUND((F47-C47)/D47,8))+1)*G47,"Pendente"))</x:f>
      </x:c>
      <x:c r="J47" s="31" t="str">
        <x:f>IF(I47="","",IF(AND(ISNUMBER(H47),ISNUMBER(I47)),I47-H47,"Pendente"))</x:f>
      </x:c>
      <x:c r="K47" s="28"/>
    </x:row>
    <x:row r="48" ht="25" customHeight="1">
      <x:c r="A48" s="28"/>
      <x:c r="B48" s="28"/>
      <x:c r="C48" s="29"/>
      <x:c r="D48" s="29"/>
      <x:c r="E48" s="29"/>
      <x:c r="F48" s="29"/>
      <x:c r="G48" s="30"/>
      <x:c r="H48" s="31" t="str">
        <x:f>IF(COUNTA(A48:G48,K48)=0,"",IF(AND(ISNUMBER(C48),ISNUMBER(D48),D48&gt;0,ISNUMBER(F48),F48&gt;=C48,ISNUMBER(G48),G48&gt;0,G48=INT(G48),OR(E48="",AND(ISNUMBER(E48),E48&lt;=F48))),IF(E48="",0,IF(E48&lt;C48,0,(INT(ROUND((E48-C48)/D48,8))+1)*G48)),"Pendente"))</x:f>
      </x:c>
      <x:c r="I48" s="31" t="str">
        <x:f>IF(COUNTA(A48:G48,K48)=0,"",IF(AND(ISNUMBER(C48),ISNUMBER(D48),D48&gt;0,ISNUMBER(F48),F48&gt;=C48,ISNUMBER(G48),G48&gt;0,G48=INT(G48),OR(E48="",AND(ISNUMBER(E48),E48&lt;=F48))),(INT(ROUND((F48-C48)/D48,8))+1)*G48,"Pendente"))</x:f>
      </x:c>
      <x:c r="J48" s="31" t="str">
        <x:f>IF(I48="","",IF(AND(ISNUMBER(H48),ISNUMBER(I48)),I48-H48,"Pendente"))</x:f>
      </x:c>
      <x:c r="K48" s="28"/>
    </x:row>
    <x:row r="49" ht="25" customHeight="1">
      <x:c r="A49" s="28"/>
      <x:c r="B49" s="28"/>
      <x:c r="C49" s="29"/>
      <x:c r="D49" s="29"/>
      <x:c r="E49" s="29"/>
      <x:c r="F49" s="29"/>
      <x:c r="G49" s="30"/>
      <x:c r="H49" s="31" t="str">
        <x:f>IF(COUNTA(A49:G49,K49)=0,"",IF(AND(ISNUMBER(C49),ISNUMBER(D49),D49&gt;0,ISNUMBER(F49),F49&gt;=C49,ISNUMBER(G49),G49&gt;0,G49=INT(G49),OR(E49="",AND(ISNUMBER(E49),E49&lt;=F49))),IF(E49="",0,IF(E49&lt;C49,0,(INT(ROUND((E49-C49)/D49,8))+1)*G49)),"Pendente"))</x:f>
      </x:c>
      <x:c r="I49" s="31" t="str">
        <x:f>IF(COUNTA(A49:G49,K49)=0,"",IF(AND(ISNUMBER(C49),ISNUMBER(D49),D49&gt;0,ISNUMBER(F49),F49&gt;=C49,ISNUMBER(G49),G49&gt;0,G49=INT(G49),OR(E49="",AND(ISNUMBER(E49),E49&lt;=F49))),(INT(ROUND((F49-C49)/D49,8))+1)*G49,"Pendente"))</x:f>
      </x:c>
      <x:c r="J49" s="31" t="str">
        <x:f>IF(I49="","",IF(AND(ISNUMBER(H49),ISNUMBER(I49)),I49-H49,"Pendente"))</x:f>
      </x:c>
      <x:c r="K49" s="28"/>
    </x:row>
    <x:row r="50" ht="25" customHeight="1">
      <x:c r="A50" s="28"/>
      <x:c r="B50" s="28"/>
      <x:c r="C50" s="29"/>
      <x:c r="D50" s="29"/>
      <x:c r="E50" s="29"/>
      <x:c r="F50" s="29"/>
      <x:c r="G50" s="30"/>
      <x:c r="H50" s="31" t="str">
        <x:f>IF(COUNTA(A50:G50,K50)=0,"",IF(AND(ISNUMBER(C50),ISNUMBER(D50),D50&gt;0,ISNUMBER(F50),F50&gt;=C50,ISNUMBER(G50),G50&gt;0,G50=INT(G50),OR(E50="",AND(ISNUMBER(E50),E50&lt;=F50))),IF(E50="",0,IF(E50&lt;C50,0,(INT(ROUND((E50-C50)/D50,8))+1)*G50)),"Pendente"))</x:f>
      </x:c>
      <x:c r="I50" s="31" t="str">
        <x:f>IF(COUNTA(A50:G50,K50)=0,"",IF(AND(ISNUMBER(C50),ISNUMBER(D50),D50&gt;0,ISNUMBER(F50),F50&gt;=C50,ISNUMBER(G50),G50&gt;0,G50=INT(G50),OR(E50="",AND(ISNUMBER(E50),E50&lt;=F50))),(INT(ROUND((F50-C50)/D50,8))+1)*G50,"Pendente"))</x:f>
      </x:c>
      <x:c r="J50" s="31" t="str">
        <x:f>IF(I50="","",IF(AND(ISNUMBER(H50),ISNUMBER(I50)),I50-H50,"Pendente"))</x:f>
      </x:c>
      <x:c r="K50" s="28"/>
    </x:row>
    <x:row r="51" ht="25" customHeight="1">
      <x:c r="A51" s="28"/>
      <x:c r="B51" s="28"/>
      <x:c r="C51" s="29"/>
      <x:c r="D51" s="29"/>
      <x:c r="E51" s="29"/>
      <x:c r="F51" s="29"/>
      <x:c r="G51" s="30"/>
      <x:c r="H51" s="31" t="str">
        <x:f>IF(COUNTA(A51:G51,K51)=0,"",IF(AND(ISNUMBER(C51),ISNUMBER(D51),D51&gt;0,ISNUMBER(F51),F51&gt;=C51,ISNUMBER(G51),G51&gt;0,G51=INT(G51),OR(E51="",AND(ISNUMBER(E51),E51&lt;=F51))),IF(E51="",0,IF(E51&lt;C51,0,(INT(ROUND((E51-C51)/D51,8))+1)*G51)),"Pendente"))</x:f>
      </x:c>
      <x:c r="I51" s="31" t="str">
        <x:f>IF(COUNTA(A51:G51,K51)=0,"",IF(AND(ISNUMBER(C51),ISNUMBER(D51),D51&gt;0,ISNUMBER(F51),F51&gt;=C51,ISNUMBER(G51),G51&gt;0,G51=INT(G51),OR(E51="",AND(ISNUMBER(E51),E51&lt;=F51))),(INT(ROUND((F51-C51)/D51,8))+1)*G51,"Pendente"))</x:f>
      </x:c>
      <x:c r="J51" s="31" t="str">
        <x:f>IF(I51="","",IF(AND(ISNUMBER(H51),ISNUMBER(I51)),I51-H51,"Pendente"))</x:f>
      </x:c>
      <x:c r="K51" s="28"/>
    </x:row>
    <x:row r="52" ht="25" customHeight="1">
      <x:c r="A52" s="28"/>
      <x:c r="B52" s="28"/>
      <x:c r="C52" s="29"/>
      <x:c r="D52" s="29"/>
      <x:c r="E52" s="29"/>
      <x:c r="F52" s="29"/>
      <x:c r="G52" s="30"/>
      <x:c r="H52" s="31" t="str">
        <x:f>IF(COUNTA(A52:G52,K52)=0,"",IF(AND(ISNUMBER(C52),ISNUMBER(D52),D52&gt;0,ISNUMBER(F52),F52&gt;=C52,ISNUMBER(G52),G52&gt;0,G52=INT(G52),OR(E52="",AND(ISNUMBER(E52),E52&lt;=F52))),IF(E52="",0,IF(E52&lt;C52,0,(INT(ROUND((E52-C52)/D52,8))+1)*G52)),"Pendente"))</x:f>
      </x:c>
      <x:c r="I52" s="31" t="str">
        <x:f>IF(COUNTA(A52:G52,K52)=0,"",IF(AND(ISNUMBER(C52),ISNUMBER(D52),D52&gt;0,ISNUMBER(F52),F52&gt;=C52,ISNUMBER(G52),G52&gt;0,G52=INT(G52),OR(E52="",AND(ISNUMBER(E52),E52&lt;=F52))),(INT(ROUND((F52-C52)/D52,8))+1)*G52,"Pendente"))</x:f>
      </x:c>
      <x:c r="J52" s="31" t="str">
        <x:f>IF(I52="","",IF(AND(ISNUMBER(H52),ISNUMBER(I52)),I52-H52,"Pendente"))</x:f>
      </x:c>
      <x:c r="K52" s="28"/>
    </x:row>
    <x:row r="53" ht="25" customHeight="1">
      <x:c r="A53" s="28"/>
      <x:c r="B53" s="28"/>
      <x:c r="C53" s="29"/>
      <x:c r="D53" s="29"/>
      <x:c r="E53" s="29"/>
      <x:c r="F53" s="29"/>
      <x:c r="G53" s="30"/>
      <x:c r="H53" s="31" t="str">
        <x:f>IF(COUNTA(A53:G53,K53)=0,"",IF(AND(ISNUMBER(C53),ISNUMBER(D53),D53&gt;0,ISNUMBER(F53),F53&gt;=C53,ISNUMBER(G53),G53&gt;0,G53=INT(G53),OR(E53="",AND(ISNUMBER(E53),E53&lt;=F53))),IF(E53="",0,IF(E53&lt;C53,0,(INT(ROUND((E53-C53)/D53,8))+1)*G53)),"Pendente"))</x:f>
      </x:c>
      <x:c r="I53" s="31" t="str">
        <x:f>IF(COUNTA(A53:G53,K53)=0,"",IF(AND(ISNUMBER(C53),ISNUMBER(D53),D53&gt;0,ISNUMBER(F53),F53&gt;=C53,ISNUMBER(G53),G53&gt;0,G53=INT(G53),OR(E53="",AND(ISNUMBER(E53),E53&lt;=F53))),(INT(ROUND((F53-C53)/D53,8))+1)*G53,"Pendente"))</x:f>
      </x:c>
      <x:c r="J53" s="31" t="str">
        <x:f>IF(I53="","",IF(AND(ISNUMBER(H53),ISNUMBER(I53)),I53-H53,"Pendente"))</x:f>
      </x:c>
      <x:c r="K53" s="28"/>
    </x:row>
    <x:row r="54" ht="25" customHeight="1">
      <x:c r="A54" s="28"/>
      <x:c r="B54" s="28"/>
      <x:c r="C54" s="29"/>
      <x:c r="D54" s="29"/>
      <x:c r="E54" s="29"/>
      <x:c r="F54" s="29"/>
      <x:c r="G54" s="30"/>
      <x:c r="H54" s="31" t="str">
        <x:f>IF(COUNTA(A54:G54,K54)=0,"",IF(AND(ISNUMBER(C54),ISNUMBER(D54),D54&gt;0,ISNUMBER(F54),F54&gt;=C54,ISNUMBER(G54),G54&gt;0,G54=INT(G54),OR(E54="",AND(ISNUMBER(E54),E54&lt;=F54))),IF(E54="",0,IF(E54&lt;C54,0,(INT(ROUND((E54-C54)/D54,8))+1)*G54)),"Pendente"))</x:f>
      </x:c>
      <x:c r="I54" s="31" t="str">
        <x:f>IF(COUNTA(A54:G54,K54)=0,"",IF(AND(ISNUMBER(C54),ISNUMBER(D54),D54&gt;0,ISNUMBER(F54),F54&gt;=C54,ISNUMBER(G54),G54&gt;0,G54=INT(G54),OR(E54="",AND(ISNUMBER(E54),E54&lt;=F54))),(INT(ROUND((F54-C54)/D54,8))+1)*G54,"Pendente"))</x:f>
      </x:c>
      <x:c r="J54" s="31" t="str">
        <x:f>IF(I54="","",IF(AND(ISNUMBER(H54),ISNUMBER(I54)),I54-H54,"Pendente"))</x:f>
      </x:c>
      <x:c r="K54" s="28"/>
    </x:row>
    <x:row r="55" ht="25" customHeight="1">
      <x:c r="A55" s="28"/>
      <x:c r="B55" s="28"/>
      <x:c r="C55" s="29"/>
      <x:c r="D55" s="29"/>
      <x:c r="E55" s="29"/>
      <x:c r="F55" s="29"/>
      <x:c r="G55" s="30"/>
      <x:c r="H55" s="31" t="str">
        <x:f>IF(COUNTA(A55:G55,K55)=0,"",IF(AND(ISNUMBER(C55),ISNUMBER(D55),D55&gt;0,ISNUMBER(F55),F55&gt;=C55,ISNUMBER(G55),G55&gt;0,G55=INT(G55),OR(E55="",AND(ISNUMBER(E55),E55&lt;=F55))),IF(E55="",0,IF(E55&lt;C55,0,(INT(ROUND((E55-C55)/D55,8))+1)*G55)),"Pendente"))</x:f>
      </x:c>
      <x:c r="I55" s="31" t="str">
        <x:f>IF(COUNTA(A55:G55,K55)=0,"",IF(AND(ISNUMBER(C55),ISNUMBER(D55),D55&gt;0,ISNUMBER(F55),F55&gt;=C55,ISNUMBER(G55),G55&gt;0,G55=INT(G55),OR(E55="",AND(ISNUMBER(E55),E55&lt;=F55))),(INT(ROUND((F55-C55)/D55,8))+1)*G55,"Pendente"))</x:f>
      </x:c>
      <x:c r="J55" s="31" t="str">
        <x:f>IF(I55="","",IF(AND(ISNUMBER(H55),ISNUMBER(I55)),I55-H55,"Pendente"))</x:f>
      </x:c>
      <x:c r="K55" s="28"/>
    </x:row>
    <x:row r="56" ht="25" customHeight="1">
      <x:c r="A56" s="28"/>
      <x:c r="B56" s="28"/>
      <x:c r="C56" s="29"/>
      <x:c r="D56" s="29"/>
      <x:c r="E56" s="29"/>
      <x:c r="F56" s="29"/>
      <x:c r="G56" s="30"/>
      <x:c r="H56" s="31" t="str">
        <x:f>IF(COUNTA(A56:G56,K56)=0,"",IF(AND(ISNUMBER(C56),ISNUMBER(D56),D56&gt;0,ISNUMBER(F56),F56&gt;=C56,ISNUMBER(G56),G56&gt;0,G56=INT(G56),OR(E56="",AND(ISNUMBER(E56),E56&lt;=F56))),IF(E56="",0,IF(E56&lt;C56,0,(INT(ROUND((E56-C56)/D56,8))+1)*G56)),"Pendente"))</x:f>
      </x:c>
      <x:c r="I56" s="31" t="str">
        <x:f>IF(COUNTA(A56:G56,K56)=0,"",IF(AND(ISNUMBER(C56),ISNUMBER(D56),D56&gt;0,ISNUMBER(F56),F56&gt;=C56,ISNUMBER(G56),G56&gt;0,G56=INT(G56),OR(E56="",AND(ISNUMBER(E56),E56&lt;=F56))),(INT(ROUND((F56-C56)/D56,8))+1)*G56,"Pendente"))</x:f>
      </x:c>
      <x:c r="J56" s="31" t="str">
        <x:f>IF(I56="","",IF(AND(ISNUMBER(H56),ISNUMBER(I56)),I56-H56,"Pendente"))</x:f>
      </x:c>
      <x:c r="K56" s="28"/>
    </x:row>
    <x:row r="57" ht="25" customHeight="1">
      <x:c r="A57" s="28"/>
      <x:c r="B57" s="28"/>
      <x:c r="C57" s="29"/>
      <x:c r="D57" s="29"/>
      <x:c r="E57" s="29"/>
      <x:c r="F57" s="29"/>
      <x:c r="G57" s="30"/>
      <x:c r="H57" s="31" t="str">
        <x:f>IF(COUNTA(A57:G57,K57)=0,"",IF(AND(ISNUMBER(C57),ISNUMBER(D57),D57&gt;0,ISNUMBER(F57),F57&gt;=C57,ISNUMBER(G57),G57&gt;0,G57=INT(G57),OR(E57="",AND(ISNUMBER(E57),E57&lt;=F57))),IF(E57="",0,IF(E57&lt;C57,0,(INT(ROUND((E57-C57)/D57,8))+1)*G57)),"Pendente"))</x:f>
      </x:c>
      <x:c r="I57" s="31" t="str">
        <x:f>IF(COUNTA(A57:G57,K57)=0,"",IF(AND(ISNUMBER(C57),ISNUMBER(D57),D57&gt;0,ISNUMBER(F57),F57&gt;=C57,ISNUMBER(G57),G57&gt;0,G57=INT(G57),OR(E57="",AND(ISNUMBER(E57),E57&lt;=F57))),(INT(ROUND((F57-C57)/D57,8))+1)*G57,"Pendente"))</x:f>
      </x:c>
      <x:c r="J57" s="31" t="str">
        <x:f>IF(I57="","",IF(AND(ISNUMBER(H57),ISNUMBER(I57)),I57-H57,"Pendente"))</x:f>
      </x:c>
      <x:c r="K57" s="28"/>
    </x:row>
    <x:row r="58" ht="25" customHeight="1">
      <x:c r="A58" s="28"/>
      <x:c r="B58" s="28"/>
      <x:c r="C58" s="29"/>
      <x:c r="D58" s="29"/>
      <x:c r="E58" s="29"/>
      <x:c r="F58" s="29"/>
      <x:c r="G58" s="30"/>
      <x:c r="H58" s="31" t="str">
        <x:f>IF(COUNTA(A58:G58,K58)=0,"",IF(AND(ISNUMBER(C58),ISNUMBER(D58),D58&gt;0,ISNUMBER(F58),F58&gt;=C58,ISNUMBER(G58),G58&gt;0,G58=INT(G58),OR(E58="",AND(ISNUMBER(E58),E58&lt;=F58))),IF(E58="",0,IF(E58&lt;C58,0,(INT(ROUND((E58-C58)/D58,8))+1)*G58)),"Pendente"))</x:f>
      </x:c>
      <x:c r="I58" s="31" t="str">
        <x:f>IF(COUNTA(A58:G58,K58)=0,"",IF(AND(ISNUMBER(C58),ISNUMBER(D58),D58&gt;0,ISNUMBER(F58),F58&gt;=C58,ISNUMBER(G58),G58&gt;0,G58=INT(G58),OR(E58="",AND(ISNUMBER(E58),E58&lt;=F58))),(INT(ROUND((F58-C58)/D58,8))+1)*G58,"Pendente"))</x:f>
      </x:c>
      <x:c r="J58" s="31" t="str">
        <x:f>IF(I58="","",IF(AND(ISNUMBER(H58),ISNUMBER(I58)),I58-H58,"Pendente"))</x:f>
      </x:c>
      <x:c r="K58" s="28"/>
    </x:row>
    <x:row r="59" ht="25" customHeight="1">
      <x:c r="A59" s="28"/>
      <x:c r="B59" s="28"/>
      <x:c r="C59" s="29"/>
      <x:c r="D59" s="29"/>
      <x:c r="E59" s="29"/>
      <x:c r="F59" s="29"/>
      <x:c r="G59" s="30"/>
      <x:c r="H59" s="31" t="str">
        <x:f>IF(COUNTA(A59:G59,K59)=0,"",IF(AND(ISNUMBER(C59),ISNUMBER(D59),D59&gt;0,ISNUMBER(F59),F59&gt;=C59,ISNUMBER(G59),G59&gt;0,G59=INT(G59),OR(E59="",AND(ISNUMBER(E59),E59&lt;=F59))),IF(E59="",0,IF(E59&lt;C59,0,(INT(ROUND((E59-C59)/D59,8))+1)*G59)),"Pendente"))</x:f>
      </x:c>
      <x:c r="I59" s="31" t="str">
        <x:f>IF(COUNTA(A59:G59,K59)=0,"",IF(AND(ISNUMBER(C59),ISNUMBER(D59),D59&gt;0,ISNUMBER(F59),F59&gt;=C59,ISNUMBER(G59),G59&gt;0,G59=INT(G59),OR(E59="",AND(ISNUMBER(E59),E59&lt;=F59))),(INT(ROUND((F59-C59)/D59,8))+1)*G59,"Pendente"))</x:f>
      </x:c>
      <x:c r="J59" s="31" t="str">
        <x:f>IF(I59="","",IF(AND(ISNUMBER(H59),ISNUMBER(I59)),I59-H59,"Pendente"))</x:f>
      </x:c>
      <x:c r="K59" s="28"/>
    </x:row>
    <x:row r="60" ht="25" customHeight="1">
      <x:c r="A60" s="28"/>
      <x:c r="B60" s="28"/>
      <x:c r="C60" s="29"/>
      <x:c r="D60" s="29"/>
      <x:c r="E60" s="29"/>
      <x:c r="F60" s="29"/>
      <x:c r="G60" s="30"/>
      <x:c r="H60" s="31" t="str">
        <x:f>IF(COUNTA(A60:G60,K60)=0,"",IF(AND(ISNUMBER(C60),ISNUMBER(D60),D60&gt;0,ISNUMBER(F60),F60&gt;=C60,ISNUMBER(G60),G60&gt;0,G60=INT(G60),OR(E60="",AND(ISNUMBER(E60),E60&lt;=F60))),IF(E60="",0,IF(E60&lt;C60,0,(INT(ROUND((E60-C60)/D60,8))+1)*G60)),"Pendente"))</x:f>
      </x:c>
      <x:c r="I60" s="31" t="str">
        <x:f>IF(COUNTA(A60:G60,K60)=0,"",IF(AND(ISNUMBER(C60),ISNUMBER(D60),D60&gt;0,ISNUMBER(F60),F60&gt;=C60,ISNUMBER(G60),G60&gt;0,G60=INT(G60),OR(E60="",AND(ISNUMBER(E60),E60&lt;=F60))),(INT(ROUND((F60-C60)/D60,8))+1)*G60,"Pendente"))</x:f>
      </x:c>
      <x:c r="J60" s="31" t="str">
        <x:f>IF(I60="","",IF(AND(ISNUMBER(H60),ISNUMBER(I60)),I60-H60,"Pendente"))</x:f>
      </x:c>
      <x:c r="K60" s="28"/>
    </x:row>
    <x:row r="61" ht="25" customHeight="1">
      <x:c r="A61" s="28"/>
      <x:c r="B61" s="28"/>
      <x:c r="C61" s="29"/>
      <x:c r="D61" s="29"/>
      <x:c r="E61" s="29"/>
      <x:c r="F61" s="29"/>
      <x:c r="G61" s="30"/>
      <x:c r="H61" s="31" t="str">
        <x:f>IF(COUNTA(A61:G61,K61)=0,"",IF(AND(ISNUMBER(C61),ISNUMBER(D61),D61&gt;0,ISNUMBER(F61),F61&gt;=C61,ISNUMBER(G61),G61&gt;0,G61=INT(G61),OR(E61="",AND(ISNUMBER(E61),E61&lt;=F61))),IF(E61="",0,IF(E61&lt;C61,0,(INT(ROUND((E61-C61)/D61,8))+1)*G61)),"Pendente"))</x:f>
      </x:c>
      <x:c r="I61" s="31" t="str">
        <x:f>IF(COUNTA(A61:G61,K61)=0,"",IF(AND(ISNUMBER(C61),ISNUMBER(D61),D61&gt;0,ISNUMBER(F61),F61&gt;=C61,ISNUMBER(G61),G61&gt;0,G61=INT(G61),OR(E61="",AND(ISNUMBER(E61),E61&lt;=F61))),(INT(ROUND((F61-C61)/D61,8))+1)*G61,"Pendente"))</x:f>
      </x:c>
      <x:c r="J61" s="31" t="str">
        <x:f>IF(I61="","",IF(AND(ISNUMBER(H61),ISNUMBER(I61)),I61-H61,"Pendente"))</x:f>
      </x:c>
      <x:c r="K61" s="28"/>
    </x:row>
    <x:row r="62" ht="25" customHeight="1">
      <x:c r="A62" s="28"/>
      <x:c r="B62" s="28"/>
      <x:c r="C62" s="29"/>
      <x:c r="D62" s="29"/>
      <x:c r="E62" s="29"/>
      <x:c r="F62" s="29"/>
      <x:c r="G62" s="30"/>
      <x:c r="H62" s="31" t="str">
        <x:f>IF(COUNTA(A62:G62,K62)=0,"",IF(AND(ISNUMBER(C62),ISNUMBER(D62),D62&gt;0,ISNUMBER(F62),F62&gt;=C62,ISNUMBER(G62),G62&gt;0,G62=INT(G62),OR(E62="",AND(ISNUMBER(E62),E62&lt;=F62))),IF(E62="",0,IF(E62&lt;C62,0,(INT(ROUND((E62-C62)/D62,8))+1)*G62)),"Pendente"))</x:f>
      </x:c>
      <x:c r="I62" s="31" t="str">
        <x:f>IF(COUNTA(A62:G62,K62)=0,"",IF(AND(ISNUMBER(C62),ISNUMBER(D62),D62&gt;0,ISNUMBER(F62),F62&gt;=C62,ISNUMBER(G62),G62&gt;0,G62=INT(G62),OR(E62="",AND(ISNUMBER(E62),E62&lt;=F62))),(INT(ROUND((F62-C62)/D62,8))+1)*G62,"Pendente"))</x:f>
      </x:c>
      <x:c r="J62" s="31" t="str">
        <x:f>IF(I62="","",IF(AND(ISNUMBER(H62),ISNUMBER(I62)),I62-H62,"Pendente"))</x:f>
      </x:c>
      <x:c r="K62" s="28"/>
    </x:row>
    <x:row r="63" ht="25" customHeight="1">
      <x:c r="A63" s="28"/>
      <x:c r="B63" s="28"/>
      <x:c r="C63" s="29"/>
      <x:c r="D63" s="29"/>
      <x:c r="E63" s="29"/>
      <x:c r="F63" s="29"/>
      <x:c r="G63" s="30"/>
      <x:c r="H63" s="31" t="str">
        <x:f>IF(COUNTA(A63:G63,K63)=0,"",IF(AND(ISNUMBER(C63),ISNUMBER(D63),D63&gt;0,ISNUMBER(F63),F63&gt;=C63,ISNUMBER(G63),G63&gt;0,G63=INT(G63),OR(E63="",AND(ISNUMBER(E63),E63&lt;=F63))),IF(E63="",0,IF(E63&lt;C63,0,(INT(ROUND((E63-C63)/D63,8))+1)*G63)),"Pendente"))</x:f>
      </x:c>
      <x:c r="I63" s="31" t="str">
        <x:f>IF(COUNTA(A63:G63,K63)=0,"",IF(AND(ISNUMBER(C63),ISNUMBER(D63),D63&gt;0,ISNUMBER(F63),F63&gt;=C63,ISNUMBER(G63),G63&gt;0,G63=INT(G63),OR(E63="",AND(ISNUMBER(E63),E63&lt;=F63))),(INT(ROUND((F63-C63)/D63,8))+1)*G63,"Pendente"))</x:f>
      </x:c>
      <x:c r="J63" s="31" t="str">
        <x:f>IF(I63="","",IF(AND(ISNUMBER(H63),ISNUMBER(I63)),I63-H63,"Pendente"))</x:f>
      </x:c>
      <x:c r="K63" s="28"/>
    </x:row>
    <x:row r="64" ht="25" customHeight="1">
      <x:c r="A64" s="28"/>
      <x:c r="B64" s="28"/>
      <x:c r="C64" s="29"/>
      <x:c r="D64" s="29"/>
      <x:c r="E64" s="29"/>
      <x:c r="F64" s="29"/>
      <x:c r="G64" s="30"/>
      <x:c r="H64" s="31" t="str">
        <x:f>IF(COUNTA(A64:G64,K64)=0,"",IF(AND(ISNUMBER(C64),ISNUMBER(D64),D64&gt;0,ISNUMBER(F64),F64&gt;=C64,ISNUMBER(G64),G64&gt;0,G64=INT(G64),OR(E64="",AND(ISNUMBER(E64),E64&lt;=F64))),IF(E64="",0,IF(E64&lt;C64,0,(INT(ROUND((E64-C64)/D64,8))+1)*G64)),"Pendente"))</x:f>
      </x:c>
      <x:c r="I64" s="31" t="str">
        <x:f>IF(COUNTA(A64:G64,K64)=0,"",IF(AND(ISNUMBER(C64),ISNUMBER(D64),D64&gt;0,ISNUMBER(F64),F64&gt;=C64,ISNUMBER(G64),G64&gt;0,G64=INT(G64),OR(E64="",AND(ISNUMBER(E64),E64&lt;=F64))),(INT(ROUND((F64-C64)/D64,8))+1)*G64,"Pendente"))</x:f>
      </x:c>
      <x:c r="J64" s="31" t="str">
        <x:f>IF(I64="","",IF(AND(ISNUMBER(H64),ISNUMBER(I64)),I64-H64,"Pendente"))</x:f>
      </x:c>
      <x:c r="K64" s="28"/>
    </x:row>
    <x:row r="65" ht="25" customHeight="1">
      <x:c r="A65" s="28"/>
      <x:c r="B65" s="28"/>
      <x:c r="C65" s="29"/>
      <x:c r="D65" s="29"/>
      <x:c r="E65" s="29"/>
      <x:c r="F65" s="29"/>
      <x:c r="G65" s="30"/>
      <x:c r="H65" s="31" t="str">
        <x:f>IF(COUNTA(A65:G65,K65)=0,"",IF(AND(ISNUMBER(C65),ISNUMBER(D65),D65&gt;0,ISNUMBER(F65),F65&gt;=C65,ISNUMBER(G65),G65&gt;0,G65=INT(G65),OR(E65="",AND(ISNUMBER(E65),E65&lt;=F65))),IF(E65="",0,IF(E65&lt;C65,0,(INT(ROUND((E65-C65)/D65,8))+1)*G65)),"Pendente"))</x:f>
      </x:c>
      <x:c r="I65" s="31" t="str">
        <x:f>IF(COUNTA(A65:G65,K65)=0,"",IF(AND(ISNUMBER(C65),ISNUMBER(D65),D65&gt;0,ISNUMBER(F65),F65&gt;=C65,ISNUMBER(G65),G65&gt;0,G65=INT(G65),OR(E65="",AND(ISNUMBER(E65),E65&lt;=F65))),(INT(ROUND((F65-C65)/D65,8))+1)*G65,"Pendente"))</x:f>
      </x:c>
      <x:c r="J65" s="31" t="str">
        <x:f>IF(I65="","",IF(AND(ISNUMBER(H65),ISNUMBER(I65)),I65-H65,"Pendente"))</x:f>
      </x:c>
      <x:c r="K65" s="28"/>
    </x:row>
    <x:row r="66" ht="25" customHeight="1">
      <x:c r="A66" s="28"/>
      <x:c r="B66" s="28"/>
      <x:c r="C66" s="29"/>
      <x:c r="D66" s="29"/>
      <x:c r="E66" s="29"/>
      <x:c r="F66" s="29"/>
      <x:c r="G66" s="30"/>
      <x:c r="H66" s="31" t="str">
        <x:f>IF(COUNTA(A66:G66,K66)=0,"",IF(AND(ISNUMBER(C66),ISNUMBER(D66),D66&gt;0,ISNUMBER(F66),F66&gt;=C66,ISNUMBER(G66),G66&gt;0,G66=INT(G66),OR(E66="",AND(ISNUMBER(E66),E66&lt;=F66))),IF(E66="",0,IF(E66&lt;C66,0,(INT(ROUND((E66-C66)/D66,8))+1)*G66)),"Pendente"))</x:f>
      </x:c>
      <x:c r="I66" s="31" t="str">
        <x:f>IF(COUNTA(A66:G66,K66)=0,"",IF(AND(ISNUMBER(C66),ISNUMBER(D66),D66&gt;0,ISNUMBER(F66),F66&gt;=C66,ISNUMBER(G66),G66&gt;0,G66=INT(G66),OR(E66="",AND(ISNUMBER(E66),E66&lt;=F66))),(INT(ROUND((F66-C66)/D66,8))+1)*G66,"Pendente"))</x:f>
      </x:c>
      <x:c r="J66" s="31" t="str">
        <x:f>IF(I66="","",IF(AND(ISNUMBER(H66),ISNUMBER(I66)),I66-H66,"Pendente"))</x:f>
      </x:c>
      <x:c r="K66" s="28"/>
    </x:row>
    <x:row r="67" ht="25" customHeight="1">
      <x:c r="A67" s="28"/>
      <x:c r="B67" s="28"/>
      <x:c r="C67" s="29"/>
      <x:c r="D67" s="29"/>
      <x:c r="E67" s="29"/>
      <x:c r="F67" s="29"/>
      <x:c r="G67" s="30"/>
      <x:c r="H67" s="31" t="str">
        <x:f>IF(COUNTA(A67:G67,K67)=0,"",IF(AND(ISNUMBER(C67),ISNUMBER(D67),D67&gt;0,ISNUMBER(F67),F67&gt;=C67,ISNUMBER(G67),G67&gt;0,G67=INT(G67),OR(E67="",AND(ISNUMBER(E67),E67&lt;=F67))),IF(E67="",0,IF(E67&lt;C67,0,(INT(ROUND((E67-C67)/D67,8))+1)*G67)),"Pendente"))</x:f>
      </x:c>
      <x:c r="I67" s="31" t="str">
        <x:f>IF(COUNTA(A67:G67,K67)=0,"",IF(AND(ISNUMBER(C67),ISNUMBER(D67),D67&gt;0,ISNUMBER(F67),F67&gt;=C67,ISNUMBER(G67),G67&gt;0,G67=INT(G67),OR(E67="",AND(ISNUMBER(E67),E67&lt;=F67))),(INT(ROUND((F67-C67)/D67,8))+1)*G67,"Pendente"))</x:f>
      </x:c>
      <x:c r="J67" s="31" t="str">
        <x:f>IF(I67="","",IF(AND(ISNUMBER(H67),ISNUMBER(I67)),I67-H67,"Pendente"))</x:f>
      </x:c>
      <x:c r="K67" s="28"/>
    </x:row>
    <x:row r="68" ht="25" customHeight="1">
      <x:c r="A68" s="28"/>
      <x:c r="B68" s="28"/>
      <x:c r="C68" s="29"/>
      <x:c r="D68" s="29"/>
      <x:c r="E68" s="29"/>
      <x:c r="F68" s="29"/>
      <x:c r="G68" s="30"/>
      <x:c r="H68" s="31" t="str">
        <x:f>IF(COUNTA(A68:G68,K68)=0,"",IF(AND(ISNUMBER(C68),ISNUMBER(D68),D68&gt;0,ISNUMBER(F68),F68&gt;=C68,ISNUMBER(G68),G68&gt;0,G68=INT(G68),OR(E68="",AND(ISNUMBER(E68),E68&lt;=F68))),IF(E68="",0,IF(E68&lt;C68,0,(INT(ROUND((E68-C68)/D68,8))+1)*G68)),"Pendente"))</x:f>
      </x:c>
      <x:c r="I68" s="31" t="str">
        <x:f>IF(COUNTA(A68:G68,K68)=0,"",IF(AND(ISNUMBER(C68),ISNUMBER(D68),D68&gt;0,ISNUMBER(F68),F68&gt;=C68,ISNUMBER(G68),G68&gt;0,G68=INT(G68),OR(E68="",AND(ISNUMBER(E68),E68&lt;=F68))),(INT(ROUND((F68-C68)/D68,8))+1)*G68,"Pendente"))</x:f>
      </x:c>
      <x:c r="J68" s="31" t="str">
        <x:f>IF(I68="","",IF(AND(ISNUMBER(H68),ISNUMBER(I68)),I68-H68,"Pendente"))</x:f>
      </x:c>
      <x:c r="K68" s="28"/>
    </x:row>
    <x:row r="69" ht="25" customHeight="1">
      <x:c r="A69" s="28"/>
      <x:c r="B69" s="28"/>
      <x:c r="C69" s="29"/>
      <x:c r="D69" s="29"/>
      <x:c r="E69" s="29"/>
      <x:c r="F69" s="29"/>
      <x:c r="G69" s="30"/>
      <x:c r="H69" s="31" t="str">
        <x:f>IF(COUNTA(A69:G69,K69)=0,"",IF(AND(ISNUMBER(C69),ISNUMBER(D69),D69&gt;0,ISNUMBER(F69),F69&gt;=C69,ISNUMBER(G69),G69&gt;0,G69=INT(G69),OR(E69="",AND(ISNUMBER(E69),E69&lt;=F69))),IF(E69="",0,IF(E69&lt;C69,0,(INT(ROUND((E69-C69)/D69,8))+1)*G69)),"Pendente"))</x:f>
      </x:c>
      <x:c r="I69" s="31" t="str">
        <x:f>IF(COUNTA(A69:G69,K69)=0,"",IF(AND(ISNUMBER(C69),ISNUMBER(D69),D69&gt;0,ISNUMBER(F69),F69&gt;=C69,ISNUMBER(G69),G69&gt;0,G69=INT(G69),OR(E69="",AND(ISNUMBER(E69),E69&lt;=F69))),(INT(ROUND((F69-C69)/D69,8))+1)*G69,"Pendente"))</x:f>
      </x:c>
      <x:c r="J69" s="31" t="str">
        <x:f>IF(I69="","",IF(AND(ISNUMBER(H69),ISNUMBER(I69)),I69-H69,"Pendente"))</x:f>
      </x:c>
      <x:c r="K69" s="28"/>
    </x:row>
    <x:row r="70" ht="25" customHeight="1">
      <x:c r="A70" s="28"/>
      <x:c r="B70" s="28"/>
      <x:c r="C70" s="29"/>
      <x:c r="D70" s="29"/>
      <x:c r="E70" s="29"/>
      <x:c r="F70" s="29"/>
      <x:c r="G70" s="30"/>
      <x:c r="H70" s="31" t="str">
        <x:f>IF(COUNTA(A70:G70,K70)=0,"",IF(AND(ISNUMBER(C70),ISNUMBER(D70),D70&gt;0,ISNUMBER(F70),F70&gt;=C70,ISNUMBER(G70),G70&gt;0,G70=INT(G70),OR(E70="",AND(ISNUMBER(E70),E70&lt;=F70))),IF(E70="",0,IF(E70&lt;C70,0,(INT(ROUND((E70-C70)/D70,8))+1)*G70)),"Pendente"))</x:f>
      </x:c>
      <x:c r="I70" s="31" t="str">
        <x:f>IF(COUNTA(A70:G70,K70)=0,"",IF(AND(ISNUMBER(C70),ISNUMBER(D70),D70&gt;0,ISNUMBER(F70),F70&gt;=C70,ISNUMBER(G70),G70&gt;0,G70=INT(G70),OR(E70="",AND(ISNUMBER(E70),E70&lt;=F70))),(INT(ROUND((F70-C70)/D70,8))+1)*G70,"Pendente"))</x:f>
      </x:c>
      <x:c r="J70" s="31" t="str">
        <x:f>IF(I70="","",IF(AND(ISNUMBER(H70),ISNUMBER(I70)),I70-H70,"Pendente"))</x:f>
      </x:c>
      <x:c r="K70" s="28"/>
    </x:row>
    <x:row r="71" ht="25" customHeight="1">
      <x:c r="A71" s="28"/>
      <x:c r="B71" s="28"/>
      <x:c r="C71" s="29"/>
      <x:c r="D71" s="29"/>
      <x:c r="E71" s="29"/>
      <x:c r="F71" s="29"/>
      <x:c r="G71" s="30"/>
      <x:c r="H71" s="31" t="str">
        <x:f>IF(COUNTA(A71:G71,K71)=0,"",IF(AND(ISNUMBER(C71),ISNUMBER(D71),D71&gt;0,ISNUMBER(F71),F71&gt;=C71,ISNUMBER(G71),G71&gt;0,G71=INT(G71),OR(E71="",AND(ISNUMBER(E71),E71&lt;=F71))),IF(E71="",0,IF(E71&lt;C71,0,(INT(ROUND((E71-C71)/D71,8))+1)*G71)),"Pendente"))</x:f>
      </x:c>
      <x:c r="I71" s="31" t="str">
        <x:f>IF(COUNTA(A71:G71,K71)=0,"",IF(AND(ISNUMBER(C71),ISNUMBER(D71),D71&gt;0,ISNUMBER(F71),F71&gt;=C71,ISNUMBER(G71),G71&gt;0,G71=INT(G71),OR(E71="",AND(ISNUMBER(E71),E71&lt;=F71))),(INT(ROUND((F71-C71)/D71,8))+1)*G71,"Pendente"))</x:f>
      </x:c>
      <x:c r="J71" s="31" t="str">
        <x:f>IF(I71="","",IF(AND(ISNUMBER(H71),ISNUMBER(I71)),I71-H71,"Pendente"))</x:f>
      </x:c>
      <x:c r="K71" s="28"/>
    </x:row>
    <x:row r="72" ht="25" customHeight="1">
      <x:c r="A72" s="28"/>
      <x:c r="B72" s="28"/>
      <x:c r="C72" s="29"/>
      <x:c r="D72" s="29"/>
      <x:c r="E72" s="29"/>
      <x:c r="F72" s="29"/>
      <x:c r="G72" s="30"/>
      <x:c r="H72" s="31" t="str">
        <x:f>IF(COUNTA(A72:G72,K72)=0,"",IF(AND(ISNUMBER(C72),ISNUMBER(D72),D72&gt;0,ISNUMBER(F72),F72&gt;=C72,ISNUMBER(G72),G72&gt;0,G72=INT(G72),OR(E72="",AND(ISNUMBER(E72),E72&lt;=F72))),IF(E72="",0,IF(E72&lt;C72,0,(INT(ROUND((E72-C72)/D72,8))+1)*G72)),"Pendente"))</x:f>
      </x:c>
      <x:c r="I72" s="31" t="str">
        <x:f>IF(COUNTA(A72:G72,K72)=0,"",IF(AND(ISNUMBER(C72),ISNUMBER(D72),D72&gt;0,ISNUMBER(F72),F72&gt;=C72,ISNUMBER(G72),G72&gt;0,G72=INT(G72),OR(E72="",AND(ISNUMBER(E72),E72&lt;=F72))),(INT(ROUND((F72-C72)/D72,8))+1)*G72,"Pendente"))</x:f>
      </x:c>
      <x:c r="J72" s="31" t="str">
        <x:f>IF(I72="","",IF(AND(ISNUMBER(H72),ISNUMBER(I72)),I72-H72,"Pendente"))</x:f>
      </x:c>
      <x:c r="K72" s="28"/>
    </x:row>
    <x:row r="73" ht="25" customHeight="1">
      <x:c r="A73" s="28"/>
      <x:c r="B73" s="28"/>
      <x:c r="C73" s="29"/>
      <x:c r="D73" s="29"/>
      <x:c r="E73" s="29"/>
      <x:c r="F73" s="29"/>
      <x:c r="G73" s="30"/>
      <x:c r="H73" s="31" t="str">
        <x:f>IF(COUNTA(A73:G73,K73)=0,"",IF(AND(ISNUMBER(C73),ISNUMBER(D73),D73&gt;0,ISNUMBER(F73),F73&gt;=C73,ISNUMBER(G73),G73&gt;0,G73=INT(G73),OR(E73="",AND(ISNUMBER(E73),E73&lt;=F73))),IF(E73="",0,IF(E73&lt;C73,0,(INT(ROUND((E73-C73)/D73,8))+1)*G73)),"Pendente"))</x:f>
      </x:c>
      <x:c r="I73" s="31" t="str">
        <x:f>IF(COUNTA(A73:G73,K73)=0,"",IF(AND(ISNUMBER(C73),ISNUMBER(D73),D73&gt;0,ISNUMBER(F73),F73&gt;=C73,ISNUMBER(G73),G73&gt;0,G73=INT(G73),OR(E73="",AND(ISNUMBER(E73),E73&lt;=F73))),(INT(ROUND((F73-C73)/D73,8))+1)*G73,"Pendente"))</x:f>
      </x:c>
      <x:c r="J73" s="31" t="str">
        <x:f>IF(I73="","",IF(AND(ISNUMBER(H73),ISNUMBER(I73)),I73-H73,"Pendente"))</x:f>
      </x:c>
      <x:c r="K73" s="28"/>
    </x:row>
    <x:row r="74" ht="25" customHeight="1">
      <x:c r="A74" s="28"/>
      <x:c r="B74" s="28"/>
      <x:c r="C74" s="29"/>
      <x:c r="D74" s="29"/>
      <x:c r="E74" s="29"/>
      <x:c r="F74" s="29"/>
      <x:c r="G74" s="30"/>
      <x:c r="H74" s="31" t="str">
        <x:f>IF(COUNTA(A74:G74,K74)=0,"",IF(AND(ISNUMBER(C74),ISNUMBER(D74),D74&gt;0,ISNUMBER(F74),F74&gt;=C74,ISNUMBER(G74),G74&gt;0,G74=INT(G74),OR(E74="",AND(ISNUMBER(E74),E74&lt;=F74))),IF(E74="",0,IF(E74&lt;C74,0,(INT(ROUND((E74-C74)/D74,8))+1)*G74)),"Pendente"))</x:f>
      </x:c>
      <x:c r="I74" s="31" t="str">
        <x:f>IF(COUNTA(A74:G74,K74)=0,"",IF(AND(ISNUMBER(C74),ISNUMBER(D74),D74&gt;0,ISNUMBER(F74),F74&gt;=C74,ISNUMBER(G74),G74&gt;0,G74=INT(G74),OR(E74="",AND(ISNUMBER(E74),E74&lt;=F74))),(INT(ROUND((F74-C74)/D74,8))+1)*G74,"Pendente"))</x:f>
      </x:c>
      <x:c r="J74" s="31" t="str">
        <x:f>IF(I74="","",IF(AND(ISNUMBER(H74),ISNUMBER(I74)),I74-H74,"Pendente"))</x:f>
      </x:c>
      <x:c r="K74" s="28"/>
    </x:row>
    <x:row r="75" ht="25" customHeight="1">
      <x:c r="A75" s="28"/>
      <x:c r="B75" s="28"/>
      <x:c r="C75" s="29"/>
      <x:c r="D75" s="29"/>
      <x:c r="E75" s="29"/>
      <x:c r="F75" s="29"/>
      <x:c r="G75" s="30"/>
      <x:c r="H75" s="31" t="str">
        <x:f>IF(COUNTA(A75:G75,K75)=0,"",IF(AND(ISNUMBER(C75),ISNUMBER(D75),D75&gt;0,ISNUMBER(F75),F75&gt;=C75,ISNUMBER(G75),G75&gt;0,G75=INT(G75),OR(E75="",AND(ISNUMBER(E75),E75&lt;=F75))),IF(E75="",0,IF(E75&lt;C75,0,(INT(ROUND((E75-C75)/D75,8))+1)*G75)),"Pendente"))</x:f>
      </x:c>
      <x:c r="I75" s="31" t="str">
        <x:f>IF(COUNTA(A75:G75,K75)=0,"",IF(AND(ISNUMBER(C75),ISNUMBER(D75),D75&gt;0,ISNUMBER(F75),F75&gt;=C75,ISNUMBER(G75),G75&gt;0,G75=INT(G75),OR(E75="",AND(ISNUMBER(E75),E75&lt;=F75))),(INT(ROUND((F75-C75)/D75,8))+1)*G75,"Pendente"))</x:f>
      </x:c>
      <x:c r="J75" s="31" t="str">
        <x:f>IF(I75="","",IF(AND(ISNUMBER(H75),ISNUMBER(I75)),I75-H75,"Pendente"))</x:f>
      </x:c>
      <x:c r="K75" s="28"/>
    </x:row>
    <x:row r="76" ht="25" customHeight="1">
      <x:c r="A76" s="28"/>
      <x:c r="B76" s="28"/>
      <x:c r="C76" s="29"/>
      <x:c r="D76" s="29"/>
      <x:c r="E76" s="29"/>
      <x:c r="F76" s="29"/>
      <x:c r="G76" s="30"/>
      <x:c r="H76" s="31" t="str">
        <x:f>IF(COUNTA(A76:G76,K76)=0,"",IF(AND(ISNUMBER(C76),ISNUMBER(D76),D76&gt;0,ISNUMBER(F76),F76&gt;=C76,ISNUMBER(G76),G76&gt;0,G76=INT(G76),OR(E76="",AND(ISNUMBER(E76),E76&lt;=F76))),IF(E76="",0,IF(E76&lt;C76,0,(INT(ROUND((E76-C76)/D76,8))+1)*G76)),"Pendente"))</x:f>
      </x:c>
      <x:c r="I76" s="31" t="str">
        <x:f>IF(COUNTA(A76:G76,K76)=0,"",IF(AND(ISNUMBER(C76),ISNUMBER(D76),D76&gt;0,ISNUMBER(F76),F76&gt;=C76,ISNUMBER(G76),G76&gt;0,G76=INT(G76),OR(E76="",AND(ISNUMBER(E76),E76&lt;=F76))),(INT(ROUND((F76-C76)/D76,8))+1)*G76,"Pendente"))</x:f>
      </x:c>
      <x:c r="J76" s="31" t="str">
        <x:f>IF(I76="","",IF(AND(ISNUMBER(H76),ISNUMBER(I76)),I76-H76,"Pendente"))</x:f>
      </x:c>
      <x:c r="K76" s="28"/>
    </x:row>
    <x:row r="77" ht="25" customHeight="1">
      <x:c r="A77" s="28"/>
      <x:c r="B77" s="28"/>
      <x:c r="C77" s="29"/>
      <x:c r="D77" s="29"/>
      <x:c r="E77" s="29"/>
      <x:c r="F77" s="29"/>
      <x:c r="G77" s="30"/>
      <x:c r="H77" s="31" t="str">
        <x:f>IF(COUNTA(A77:G77,K77)=0,"",IF(AND(ISNUMBER(C77),ISNUMBER(D77),D77&gt;0,ISNUMBER(F77),F77&gt;=C77,ISNUMBER(G77),G77&gt;0,G77=INT(G77),OR(E77="",AND(ISNUMBER(E77),E77&lt;=F77))),IF(E77="",0,IF(E77&lt;C77,0,(INT(ROUND((E77-C77)/D77,8))+1)*G77)),"Pendente"))</x:f>
      </x:c>
      <x:c r="I77" s="31" t="str">
        <x:f>IF(COUNTA(A77:G77,K77)=0,"",IF(AND(ISNUMBER(C77),ISNUMBER(D77),D77&gt;0,ISNUMBER(F77),F77&gt;=C77,ISNUMBER(G77),G77&gt;0,G77=INT(G77),OR(E77="",AND(ISNUMBER(E77),E77&lt;=F77))),(INT(ROUND((F77-C77)/D77,8))+1)*G77,"Pendente"))</x:f>
      </x:c>
      <x:c r="J77" s="31" t="str">
        <x:f>IF(I77="","",IF(AND(ISNUMBER(H77),ISNUMBER(I77)),I77-H77,"Pendente"))</x:f>
      </x:c>
      <x:c r="K77" s="28"/>
    </x:row>
    <x:row r="78" ht="25" customHeight="1">
      <x:c r="A78" s="28"/>
      <x:c r="B78" s="28"/>
      <x:c r="C78" s="29"/>
      <x:c r="D78" s="29"/>
      <x:c r="E78" s="29"/>
      <x:c r="F78" s="29"/>
      <x:c r="G78" s="30"/>
      <x:c r="H78" s="31" t="str">
        <x:f>IF(COUNTA(A78:G78,K78)=0,"",IF(AND(ISNUMBER(C78),ISNUMBER(D78),D78&gt;0,ISNUMBER(F78),F78&gt;=C78,ISNUMBER(G78),G78&gt;0,G78=INT(G78),OR(E78="",AND(ISNUMBER(E78),E78&lt;=F78))),IF(E78="",0,IF(E78&lt;C78,0,(INT(ROUND((E78-C78)/D78,8))+1)*G78)),"Pendente"))</x:f>
      </x:c>
      <x:c r="I78" s="31" t="str">
        <x:f>IF(COUNTA(A78:G78,K78)=0,"",IF(AND(ISNUMBER(C78),ISNUMBER(D78),D78&gt;0,ISNUMBER(F78),F78&gt;=C78,ISNUMBER(G78),G78&gt;0,G78=INT(G78),OR(E78="",AND(ISNUMBER(E78),E78&lt;=F78))),(INT(ROUND((F78-C78)/D78,8))+1)*G78,"Pendente"))</x:f>
      </x:c>
      <x:c r="J78" s="31" t="str">
        <x:f>IF(I78="","",IF(AND(ISNUMBER(H78),ISNUMBER(I78)),I78-H78,"Pendente"))</x:f>
      </x:c>
      <x:c r="K78" s="28"/>
    </x:row>
    <x:row r="79" ht="25" customHeight="1">
      <x:c r="A79" s="28"/>
      <x:c r="B79" s="28"/>
      <x:c r="C79" s="29"/>
      <x:c r="D79" s="29"/>
      <x:c r="E79" s="29"/>
      <x:c r="F79" s="29"/>
      <x:c r="G79" s="30"/>
      <x:c r="H79" s="31" t="str">
        <x:f>IF(COUNTA(A79:G79,K79)=0,"",IF(AND(ISNUMBER(C79),ISNUMBER(D79),D79&gt;0,ISNUMBER(F79),F79&gt;=C79,ISNUMBER(G79),G79&gt;0,G79=INT(G79),OR(E79="",AND(ISNUMBER(E79),E79&lt;=F79))),IF(E79="",0,IF(E79&lt;C79,0,(INT(ROUND((E79-C79)/D79,8))+1)*G79)),"Pendente"))</x:f>
      </x:c>
      <x:c r="I79" s="31" t="str">
        <x:f>IF(COUNTA(A79:G79,K79)=0,"",IF(AND(ISNUMBER(C79),ISNUMBER(D79),D79&gt;0,ISNUMBER(F79),F79&gt;=C79,ISNUMBER(G79),G79&gt;0,G79=INT(G79),OR(E79="",AND(ISNUMBER(E79),E79&lt;=F79))),(INT(ROUND((F79-C79)/D79,8))+1)*G79,"Pendente"))</x:f>
      </x:c>
      <x:c r="J79" s="31" t="str">
        <x:f>IF(I79="","",IF(AND(ISNUMBER(H79),ISNUMBER(I79)),I79-H79,"Pendente"))</x:f>
      </x:c>
      <x:c r="K79" s="28"/>
    </x:row>
    <x:row r="80" ht="25" customHeight="1">
      <x:c r="A80" s="28"/>
      <x:c r="B80" s="28"/>
      <x:c r="C80" s="29"/>
      <x:c r="D80" s="29"/>
      <x:c r="E80" s="29"/>
      <x:c r="F80" s="29"/>
      <x:c r="G80" s="30"/>
      <x:c r="H80" s="31" t="str">
        <x:f>IF(COUNTA(A80:G80,K80)=0,"",IF(AND(ISNUMBER(C80),ISNUMBER(D80),D80&gt;0,ISNUMBER(F80),F80&gt;=C80,ISNUMBER(G80),G80&gt;0,G80=INT(G80),OR(E80="",AND(ISNUMBER(E80),E80&lt;=F80))),IF(E80="",0,IF(E80&lt;C80,0,(INT(ROUND((E80-C80)/D80,8))+1)*G80)),"Pendente"))</x:f>
      </x:c>
      <x:c r="I80" s="31" t="str">
        <x:f>IF(COUNTA(A80:G80,K80)=0,"",IF(AND(ISNUMBER(C80),ISNUMBER(D80),D80&gt;0,ISNUMBER(F80),F80&gt;=C80,ISNUMBER(G80),G80&gt;0,G80=INT(G80),OR(E80="",AND(ISNUMBER(E80),E80&lt;=F80))),(INT(ROUND((F80-C80)/D80,8))+1)*G80,"Pendente"))</x:f>
      </x:c>
      <x:c r="J80" s="31" t="str">
        <x:f>IF(I80="","",IF(AND(ISNUMBER(H80),ISNUMBER(I80)),I80-H80,"Pendente"))</x:f>
      </x:c>
      <x:c r="K80" s="28"/>
    </x:row>
    <x:row r="81" ht="25" customHeight="1">
      <x:c r="A81" s="28"/>
      <x:c r="B81" s="28"/>
      <x:c r="C81" s="29"/>
      <x:c r="D81" s="29"/>
      <x:c r="E81" s="29"/>
      <x:c r="F81" s="29"/>
      <x:c r="G81" s="30"/>
      <x:c r="H81" s="31" t="str">
        <x:f>IF(COUNTA(A81:G81,K81)=0,"",IF(AND(ISNUMBER(C81),ISNUMBER(D81),D81&gt;0,ISNUMBER(F81),F81&gt;=C81,ISNUMBER(G81),G81&gt;0,G81=INT(G81),OR(E81="",AND(ISNUMBER(E81),E81&lt;=F81))),IF(E81="",0,IF(E81&lt;C81,0,(INT(ROUND((E81-C81)/D81,8))+1)*G81)),"Pendente"))</x:f>
      </x:c>
      <x:c r="I81" s="31" t="str">
        <x:f>IF(COUNTA(A81:G81,K81)=0,"",IF(AND(ISNUMBER(C81),ISNUMBER(D81),D81&gt;0,ISNUMBER(F81),F81&gt;=C81,ISNUMBER(G81),G81&gt;0,G81=INT(G81),OR(E81="",AND(ISNUMBER(E81),E81&lt;=F81))),(INT(ROUND((F81-C81)/D81,8))+1)*G81,"Pendente"))</x:f>
      </x:c>
      <x:c r="J81" s="31" t="str">
        <x:f>IF(I81="","",IF(AND(ISNUMBER(H81),ISNUMBER(I81)),I81-H81,"Pendente"))</x:f>
      </x:c>
      <x:c r="K81" s="28"/>
    </x:row>
    <x:row r="82" ht="25" customHeight="1">
      <x:c r="A82" s="28"/>
      <x:c r="B82" s="28"/>
      <x:c r="C82" s="29"/>
      <x:c r="D82" s="29"/>
      <x:c r="E82" s="29"/>
      <x:c r="F82" s="29"/>
      <x:c r="G82" s="30"/>
      <x:c r="H82" s="31" t="str">
        <x:f>IF(COUNTA(A82:G82,K82)=0,"",IF(AND(ISNUMBER(C82),ISNUMBER(D82),D82&gt;0,ISNUMBER(F82),F82&gt;=C82,ISNUMBER(G82),G82&gt;0,G82=INT(G82),OR(E82="",AND(ISNUMBER(E82),E82&lt;=F82))),IF(E82="",0,IF(E82&lt;C82,0,(INT(ROUND((E82-C82)/D82,8))+1)*G82)),"Pendente"))</x:f>
      </x:c>
      <x:c r="I82" s="31" t="str">
        <x:f>IF(COUNTA(A82:G82,K82)=0,"",IF(AND(ISNUMBER(C82),ISNUMBER(D82),D82&gt;0,ISNUMBER(F82),F82&gt;=C82,ISNUMBER(G82),G82&gt;0,G82=INT(G82),OR(E82="",AND(ISNUMBER(E82),E82&lt;=F82))),(INT(ROUND((F82-C82)/D82,8))+1)*G82,"Pendente"))</x:f>
      </x:c>
      <x:c r="J82" s="31" t="str">
        <x:f>IF(I82="","",IF(AND(ISNUMBER(H82),ISNUMBER(I82)),I82-H82,"Pendente"))</x:f>
      </x:c>
      <x:c r="K82" s="28"/>
    </x:row>
    <x:row r="83" ht="25" customHeight="1">
      <x:c r="A83" s="28"/>
      <x:c r="B83" s="28"/>
      <x:c r="C83" s="29"/>
      <x:c r="D83" s="29"/>
      <x:c r="E83" s="29"/>
      <x:c r="F83" s="29"/>
      <x:c r="G83" s="30"/>
      <x:c r="H83" s="31" t="str">
        <x:f>IF(COUNTA(A83:G83,K83)=0,"",IF(AND(ISNUMBER(C83),ISNUMBER(D83),D83&gt;0,ISNUMBER(F83),F83&gt;=C83,ISNUMBER(G83),G83&gt;0,G83=INT(G83),OR(E83="",AND(ISNUMBER(E83),E83&lt;=F83))),IF(E83="",0,IF(E83&lt;C83,0,(INT(ROUND((E83-C83)/D83,8))+1)*G83)),"Pendente"))</x:f>
      </x:c>
      <x:c r="I83" s="31" t="str">
        <x:f>IF(COUNTA(A83:G83,K83)=0,"",IF(AND(ISNUMBER(C83),ISNUMBER(D83),D83&gt;0,ISNUMBER(F83),F83&gt;=C83,ISNUMBER(G83),G83&gt;0,G83=INT(G83),OR(E83="",AND(ISNUMBER(E83),E83&lt;=F83))),(INT(ROUND((F83-C83)/D83,8))+1)*G83,"Pendente"))</x:f>
      </x:c>
      <x:c r="J83" s="31" t="str">
        <x:f>IF(I83="","",IF(AND(ISNUMBER(H83),ISNUMBER(I83)),I83-H83,"Pendente"))</x:f>
      </x:c>
      <x:c r="K83" s="28"/>
    </x:row>
    <x:row r="84" ht="25" customHeight="1">
      <x:c r="A84" s="28"/>
      <x:c r="B84" s="28"/>
      <x:c r="C84" s="29"/>
      <x:c r="D84" s="29"/>
      <x:c r="E84" s="29"/>
      <x:c r="F84" s="29"/>
      <x:c r="G84" s="30"/>
      <x:c r="H84" s="31" t="str">
        <x:f>IF(COUNTA(A84:G84,K84)=0,"",IF(AND(ISNUMBER(C84),ISNUMBER(D84),D84&gt;0,ISNUMBER(F84),F84&gt;=C84,ISNUMBER(G84),G84&gt;0,G84=INT(G84),OR(E84="",AND(ISNUMBER(E84),E84&lt;=F84))),IF(E84="",0,IF(E84&lt;C84,0,(INT(ROUND((E84-C84)/D84,8))+1)*G84)),"Pendente"))</x:f>
      </x:c>
      <x:c r="I84" s="31" t="str">
        <x:f>IF(COUNTA(A84:G84,K84)=0,"",IF(AND(ISNUMBER(C84),ISNUMBER(D84),D84&gt;0,ISNUMBER(F84),F84&gt;=C84,ISNUMBER(G84),G84&gt;0,G84=INT(G84),OR(E84="",AND(ISNUMBER(E84),E84&lt;=F84))),(INT(ROUND((F84-C84)/D84,8))+1)*G84,"Pendente"))</x:f>
      </x:c>
      <x:c r="J84" s="31" t="str">
        <x:f>IF(I84="","",IF(AND(ISNUMBER(H84),ISNUMBER(I84)),I84-H84,"Pendente"))</x:f>
      </x:c>
      <x:c r="K84" s="28"/>
    </x:row>
    <x:row r="85" ht="25" customHeight="1">
      <x:c r="A85" s="28"/>
      <x:c r="B85" s="28"/>
      <x:c r="C85" s="29"/>
      <x:c r="D85" s="29"/>
      <x:c r="E85" s="29"/>
      <x:c r="F85" s="29"/>
      <x:c r="G85" s="30"/>
      <x:c r="H85" s="31" t="str">
        <x:f>IF(COUNTA(A85:G85,K85)=0,"",IF(AND(ISNUMBER(C85),ISNUMBER(D85),D85&gt;0,ISNUMBER(F85),F85&gt;=C85,ISNUMBER(G85),G85&gt;0,G85=INT(G85),OR(E85="",AND(ISNUMBER(E85),E85&lt;=F85))),IF(E85="",0,IF(E85&lt;C85,0,(INT(ROUND((E85-C85)/D85,8))+1)*G85)),"Pendente"))</x:f>
      </x:c>
      <x:c r="I85" s="31" t="str">
        <x:f>IF(COUNTA(A85:G85,K85)=0,"",IF(AND(ISNUMBER(C85),ISNUMBER(D85),D85&gt;0,ISNUMBER(F85),F85&gt;=C85,ISNUMBER(G85),G85&gt;0,G85=INT(G85),OR(E85="",AND(ISNUMBER(E85),E85&lt;=F85))),(INT(ROUND((F85-C85)/D85,8))+1)*G85,"Pendente"))</x:f>
      </x:c>
      <x:c r="J85" s="31" t="str">
        <x:f>IF(I85="","",IF(AND(ISNUMBER(H85),ISNUMBER(I85)),I85-H85,"Pendente"))</x:f>
      </x:c>
      <x:c r="K85" s="28"/>
    </x:row>
    <x:row r="86" ht="25" customHeight="1">
      <x:c r="A86" s="28"/>
      <x:c r="B86" s="28"/>
      <x:c r="C86" s="29"/>
      <x:c r="D86" s="29"/>
      <x:c r="E86" s="29"/>
      <x:c r="F86" s="29"/>
      <x:c r="G86" s="30"/>
      <x:c r="H86" s="31" t="str">
        <x:f>IF(COUNTA(A86:G86,K86)=0,"",IF(AND(ISNUMBER(C86),ISNUMBER(D86),D86&gt;0,ISNUMBER(F86),F86&gt;=C86,ISNUMBER(G86),G86&gt;0,G86=INT(G86),OR(E86="",AND(ISNUMBER(E86),E86&lt;=F86))),IF(E86="",0,IF(E86&lt;C86,0,(INT(ROUND((E86-C86)/D86,8))+1)*G86)),"Pendente"))</x:f>
      </x:c>
      <x:c r="I86" s="31" t="str">
        <x:f>IF(COUNTA(A86:G86,K86)=0,"",IF(AND(ISNUMBER(C86),ISNUMBER(D86),D86&gt;0,ISNUMBER(F86),F86&gt;=C86,ISNUMBER(G86),G86&gt;0,G86=INT(G86),OR(E86="",AND(ISNUMBER(E86),E86&lt;=F86))),(INT(ROUND((F86-C86)/D86,8))+1)*G86,"Pendente"))</x:f>
      </x:c>
      <x:c r="J86" s="31" t="str">
        <x:f>IF(I86="","",IF(AND(ISNUMBER(H86),ISNUMBER(I86)),I86-H86,"Pendente"))</x:f>
      </x:c>
      <x:c r="K86" s="28"/>
    </x:row>
    <x:row r="87" ht="25" customHeight="1">
      <x:c r="A87" s="28"/>
      <x:c r="B87" s="28"/>
      <x:c r="C87" s="29"/>
      <x:c r="D87" s="29"/>
      <x:c r="E87" s="29"/>
      <x:c r="F87" s="29"/>
      <x:c r="G87" s="30"/>
      <x:c r="H87" s="31" t="str">
        <x:f>IF(COUNTA(A87:G87,K87)=0,"",IF(AND(ISNUMBER(C87),ISNUMBER(D87),D87&gt;0,ISNUMBER(F87),F87&gt;=C87,ISNUMBER(G87),G87&gt;0,G87=INT(G87),OR(E87="",AND(ISNUMBER(E87),E87&lt;=F87))),IF(E87="",0,IF(E87&lt;C87,0,(INT(ROUND((E87-C87)/D87,8))+1)*G87)),"Pendente"))</x:f>
      </x:c>
      <x:c r="I87" s="31" t="str">
        <x:f>IF(COUNTA(A87:G87,K87)=0,"",IF(AND(ISNUMBER(C87),ISNUMBER(D87),D87&gt;0,ISNUMBER(F87),F87&gt;=C87,ISNUMBER(G87),G87&gt;0,G87=INT(G87),OR(E87="",AND(ISNUMBER(E87),E87&lt;=F87))),(INT(ROUND((F87-C87)/D87,8))+1)*G87,"Pendente"))</x:f>
      </x:c>
      <x:c r="J87" s="31" t="str">
        <x:f>IF(I87="","",IF(AND(ISNUMBER(H87),ISNUMBER(I87)),I87-H87,"Pendente"))</x:f>
      </x:c>
      <x:c r="K87" s="28"/>
    </x:row>
    <x:row r="88" ht="25" customHeight="1">
      <x:c r="A88" s="28"/>
      <x:c r="B88" s="28"/>
      <x:c r="C88" s="29"/>
      <x:c r="D88" s="29"/>
      <x:c r="E88" s="29"/>
      <x:c r="F88" s="29"/>
      <x:c r="G88" s="30"/>
      <x:c r="H88" s="31" t="str">
        <x:f>IF(COUNTA(A88:G88,K88)=0,"",IF(AND(ISNUMBER(C88),ISNUMBER(D88),D88&gt;0,ISNUMBER(F88),F88&gt;=C88,ISNUMBER(G88),G88&gt;0,G88=INT(G88),OR(E88="",AND(ISNUMBER(E88),E88&lt;=F88))),IF(E88="",0,IF(E88&lt;C88,0,(INT(ROUND((E88-C88)/D88,8))+1)*G88)),"Pendente"))</x:f>
      </x:c>
      <x:c r="I88" s="31" t="str">
        <x:f>IF(COUNTA(A88:G88,K88)=0,"",IF(AND(ISNUMBER(C88),ISNUMBER(D88),D88&gt;0,ISNUMBER(F88),F88&gt;=C88,ISNUMBER(G88),G88&gt;0,G88=INT(G88),OR(E88="",AND(ISNUMBER(E88),E88&lt;=F88))),(INT(ROUND((F88-C88)/D88,8))+1)*G88,"Pendente"))</x:f>
      </x:c>
      <x:c r="J88" s="31" t="str">
        <x:f>IF(I88="","",IF(AND(ISNUMBER(H88),ISNUMBER(I88)),I88-H88,"Pendente"))</x:f>
      </x:c>
      <x:c r="K88" s="28"/>
    </x:row>
    <x:row r="89" ht="25" customHeight="1">
      <x:c r="A89" s="28"/>
      <x:c r="B89" s="28"/>
      <x:c r="C89" s="29"/>
      <x:c r="D89" s="29"/>
      <x:c r="E89" s="29"/>
      <x:c r="F89" s="29"/>
      <x:c r="G89" s="30"/>
      <x:c r="H89" s="31" t="str">
        <x:f>IF(COUNTA(A89:G89,K89)=0,"",IF(AND(ISNUMBER(C89),ISNUMBER(D89),D89&gt;0,ISNUMBER(F89),F89&gt;=C89,ISNUMBER(G89),G89&gt;0,G89=INT(G89),OR(E89="",AND(ISNUMBER(E89),E89&lt;=F89))),IF(E89="",0,IF(E89&lt;C89,0,(INT(ROUND((E89-C89)/D89,8))+1)*G89)),"Pendente"))</x:f>
      </x:c>
      <x:c r="I89" s="31" t="str">
        <x:f>IF(COUNTA(A89:G89,K89)=0,"",IF(AND(ISNUMBER(C89),ISNUMBER(D89),D89&gt;0,ISNUMBER(F89),F89&gt;=C89,ISNUMBER(G89),G89&gt;0,G89=INT(G89),OR(E89="",AND(ISNUMBER(E89),E89&lt;=F89))),(INT(ROUND((F89-C89)/D89,8))+1)*G89,"Pendente"))</x:f>
      </x:c>
      <x:c r="J89" s="31" t="str">
        <x:f>IF(I89="","",IF(AND(ISNUMBER(H89),ISNUMBER(I89)),I89-H89,"Pendente"))</x:f>
      </x:c>
      <x:c r="K89" s="28"/>
    </x:row>
    <x:row r="90" ht="25" customHeight="1">
      <x:c r="A90" s="28"/>
      <x:c r="B90" s="28"/>
      <x:c r="C90" s="29"/>
      <x:c r="D90" s="29"/>
      <x:c r="E90" s="29"/>
      <x:c r="F90" s="29"/>
      <x:c r="G90" s="30"/>
      <x:c r="H90" s="31" t="str">
        <x:f>IF(COUNTA(A90:G90,K90)=0,"",IF(AND(ISNUMBER(C90),ISNUMBER(D90),D90&gt;0,ISNUMBER(F90),F90&gt;=C90,ISNUMBER(G90),G90&gt;0,G90=INT(G90),OR(E90="",AND(ISNUMBER(E90),E90&lt;=F90))),IF(E90="",0,IF(E90&lt;C90,0,(INT(ROUND((E90-C90)/D90,8))+1)*G90)),"Pendente"))</x:f>
      </x:c>
      <x:c r="I90" s="31" t="str">
        <x:f>IF(COUNTA(A90:G90,K90)=0,"",IF(AND(ISNUMBER(C90),ISNUMBER(D90),D90&gt;0,ISNUMBER(F90),F90&gt;=C90,ISNUMBER(G90),G90&gt;0,G90=INT(G90),OR(E90="",AND(ISNUMBER(E90),E90&lt;=F90))),(INT(ROUND((F90-C90)/D90,8))+1)*G90,"Pendente"))</x:f>
      </x:c>
      <x:c r="J90" s="31" t="str">
        <x:f>IF(I90="","",IF(AND(ISNUMBER(H90),ISNUMBER(I90)),I90-H90,"Pendente"))</x:f>
      </x:c>
      <x:c r="K90" s="28"/>
    </x:row>
    <x:row r="91" ht="25" customHeight="1">
      <x:c r="A91" s="28"/>
      <x:c r="B91" s="28"/>
      <x:c r="C91" s="29"/>
      <x:c r="D91" s="29"/>
      <x:c r="E91" s="29"/>
      <x:c r="F91" s="29"/>
      <x:c r="G91" s="30"/>
      <x:c r="H91" s="31" t="str">
        <x:f>IF(COUNTA(A91:G91,K91)=0,"",IF(AND(ISNUMBER(C91),ISNUMBER(D91),D91&gt;0,ISNUMBER(F91),F91&gt;=C91,ISNUMBER(G91),G91&gt;0,G91=INT(G91),OR(E91="",AND(ISNUMBER(E91),E91&lt;=F91))),IF(E91="",0,IF(E91&lt;C91,0,(INT(ROUND((E91-C91)/D91,8))+1)*G91)),"Pendente"))</x:f>
      </x:c>
      <x:c r="I91" s="31" t="str">
        <x:f>IF(COUNTA(A91:G91,K91)=0,"",IF(AND(ISNUMBER(C91),ISNUMBER(D91),D91&gt;0,ISNUMBER(F91),F91&gt;=C91,ISNUMBER(G91),G91&gt;0,G91=INT(G91),OR(E91="",AND(ISNUMBER(E91),E91&lt;=F91))),(INT(ROUND((F91-C91)/D91,8))+1)*G91,"Pendente"))</x:f>
      </x:c>
      <x:c r="J91" s="31" t="str">
        <x:f>IF(I91="","",IF(AND(ISNUMBER(H91),ISNUMBER(I91)),I91-H91,"Pendente"))</x:f>
      </x:c>
      <x:c r="K91" s="28"/>
    </x:row>
    <x:row r="92" ht="25" customHeight="1">
      <x:c r="A92" s="28"/>
      <x:c r="B92" s="28"/>
      <x:c r="C92" s="29"/>
      <x:c r="D92" s="29"/>
      <x:c r="E92" s="29"/>
      <x:c r="F92" s="29"/>
      <x:c r="G92" s="30"/>
      <x:c r="H92" s="31" t="str">
        <x:f>IF(COUNTA(A92:G92,K92)=0,"",IF(AND(ISNUMBER(C92),ISNUMBER(D92),D92&gt;0,ISNUMBER(F92),F92&gt;=C92,ISNUMBER(G92),G92&gt;0,G92=INT(G92),OR(E92="",AND(ISNUMBER(E92),E92&lt;=F92))),IF(E92="",0,IF(E92&lt;C92,0,(INT(ROUND((E92-C92)/D92,8))+1)*G92)),"Pendente"))</x:f>
      </x:c>
      <x:c r="I92" s="31" t="str">
        <x:f>IF(COUNTA(A92:G92,K92)=0,"",IF(AND(ISNUMBER(C92),ISNUMBER(D92),D92&gt;0,ISNUMBER(F92),F92&gt;=C92,ISNUMBER(G92),G92&gt;0,G92=INT(G92),OR(E92="",AND(ISNUMBER(E92),E92&lt;=F92))),(INT(ROUND((F92-C92)/D92,8))+1)*G92,"Pendente"))</x:f>
      </x:c>
      <x:c r="J92" s="31" t="str">
        <x:f>IF(I92="","",IF(AND(ISNUMBER(H92),ISNUMBER(I92)),I92-H92,"Pendente"))</x:f>
      </x:c>
      <x:c r="K92" s="28"/>
    </x:row>
    <x:row r="93" ht="25" customHeight="1">
      <x:c r="A93" s="28"/>
      <x:c r="B93" s="28"/>
      <x:c r="C93" s="29"/>
      <x:c r="D93" s="29"/>
      <x:c r="E93" s="29"/>
      <x:c r="F93" s="29"/>
      <x:c r="G93" s="30"/>
      <x:c r="H93" s="31" t="str">
        <x:f>IF(COUNTA(A93:G93,K93)=0,"",IF(AND(ISNUMBER(C93),ISNUMBER(D93),D93&gt;0,ISNUMBER(F93),F93&gt;=C93,ISNUMBER(G93),G93&gt;0,G93=INT(G93),OR(E93="",AND(ISNUMBER(E93),E93&lt;=F93))),IF(E93="",0,IF(E93&lt;C93,0,(INT(ROUND((E93-C93)/D93,8))+1)*G93)),"Pendente"))</x:f>
      </x:c>
      <x:c r="I93" s="31" t="str">
        <x:f>IF(COUNTA(A93:G93,K93)=0,"",IF(AND(ISNUMBER(C93),ISNUMBER(D93),D93&gt;0,ISNUMBER(F93),F93&gt;=C93,ISNUMBER(G93),G93&gt;0,G93=INT(G93),OR(E93="",AND(ISNUMBER(E93),E93&lt;=F93))),(INT(ROUND((F93-C93)/D93,8))+1)*G93,"Pendente"))</x:f>
      </x:c>
      <x:c r="J93" s="31" t="str">
        <x:f>IF(I93="","",IF(AND(ISNUMBER(H93),ISNUMBER(I93)),I93-H93,"Pendente"))</x:f>
      </x:c>
      <x:c r="K93" s="28"/>
    </x:row>
    <x:row r="94" ht="25" customHeight="1">
      <x:c r="A94" s="28"/>
      <x:c r="B94" s="28"/>
      <x:c r="C94" s="29"/>
      <x:c r="D94" s="29"/>
      <x:c r="E94" s="29"/>
      <x:c r="F94" s="29"/>
      <x:c r="G94" s="30"/>
      <x:c r="H94" s="31" t="str">
        <x:f>IF(COUNTA(A94:G94,K94)=0,"",IF(AND(ISNUMBER(C94),ISNUMBER(D94),D94&gt;0,ISNUMBER(F94),F94&gt;=C94,ISNUMBER(G94),G94&gt;0,G94=INT(G94),OR(E94="",AND(ISNUMBER(E94),E94&lt;=F94))),IF(E94="",0,IF(E94&lt;C94,0,(INT(ROUND((E94-C94)/D94,8))+1)*G94)),"Pendente"))</x:f>
      </x:c>
      <x:c r="I94" s="31" t="str">
        <x:f>IF(COUNTA(A94:G94,K94)=0,"",IF(AND(ISNUMBER(C94),ISNUMBER(D94),D94&gt;0,ISNUMBER(F94),F94&gt;=C94,ISNUMBER(G94),G94&gt;0,G94=INT(G94),OR(E94="",AND(ISNUMBER(E94),E94&lt;=F94))),(INT(ROUND((F94-C94)/D94,8))+1)*G94,"Pendente"))</x:f>
      </x:c>
      <x:c r="J94" s="31" t="str">
        <x:f>IF(I94="","",IF(AND(ISNUMBER(H94),ISNUMBER(I94)),I94-H94,"Pendente"))</x:f>
      </x:c>
      <x:c r="K94" s="28"/>
    </x:row>
    <x:row r="95" ht="25" customHeight="1">
      <x:c r="A95" s="28"/>
      <x:c r="B95" s="28"/>
      <x:c r="C95" s="29"/>
      <x:c r="D95" s="29"/>
      <x:c r="E95" s="29"/>
      <x:c r="F95" s="29"/>
      <x:c r="G95" s="30"/>
      <x:c r="H95" s="31" t="str">
        <x:f>IF(COUNTA(A95:G95,K95)=0,"",IF(AND(ISNUMBER(C95),ISNUMBER(D95),D95&gt;0,ISNUMBER(F95),F95&gt;=C95,ISNUMBER(G95),G95&gt;0,G95=INT(G95),OR(E95="",AND(ISNUMBER(E95),E95&lt;=F95))),IF(E95="",0,IF(E95&lt;C95,0,(INT(ROUND((E95-C95)/D95,8))+1)*G95)),"Pendente"))</x:f>
      </x:c>
      <x:c r="I95" s="31" t="str">
        <x:f>IF(COUNTA(A95:G95,K95)=0,"",IF(AND(ISNUMBER(C95),ISNUMBER(D95),D95&gt;0,ISNUMBER(F95),F95&gt;=C95,ISNUMBER(G95),G95&gt;0,G95=INT(G95),OR(E95="",AND(ISNUMBER(E95),E95&lt;=F95))),(INT(ROUND((F95-C95)/D95,8))+1)*G95,"Pendente"))</x:f>
      </x:c>
      <x:c r="J95" s="31" t="str">
        <x:f>IF(I95="","",IF(AND(ISNUMBER(H95),ISNUMBER(I95)),I95-H95,"Pendente"))</x:f>
      </x:c>
      <x:c r="K95" s="28"/>
    </x:row>
    <x:row r="96" ht="25" customHeight="1">
      <x:c r="A96" s="28"/>
      <x:c r="B96" s="28"/>
      <x:c r="C96" s="29"/>
      <x:c r="D96" s="29"/>
      <x:c r="E96" s="29"/>
      <x:c r="F96" s="29"/>
      <x:c r="G96" s="30"/>
      <x:c r="H96" s="31" t="str">
        <x:f>IF(COUNTA(A96:G96,K96)=0,"",IF(AND(ISNUMBER(C96),ISNUMBER(D96),D96&gt;0,ISNUMBER(F96),F96&gt;=C96,ISNUMBER(G96),G96&gt;0,G96=INT(G96),OR(E96="",AND(ISNUMBER(E96),E96&lt;=F96))),IF(E96="",0,IF(E96&lt;C96,0,(INT(ROUND((E96-C96)/D96,8))+1)*G96)),"Pendente"))</x:f>
      </x:c>
      <x:c r="I96" s="31" t="str">
        <x:f>IF(COUNTA(A96:G96,K96)=0,"",IF(AND(ISNUMBER(C96),ISNUMBER(D96),D96&gt;0,ISNUMBER(F96),F96&gt;=C96,ISNUMBER(G96),G96&gt;0,G96=INT(G96),OR(E96="",AND(ISNUMBER(E96),E96&lt;=F96))),(INT(ROUND((F96-C96)/D96,8))+1)*G96,"Pendente"))</x:f>
      </x:c>
      <x:c r="J96" s="31" t="str">
        <x:f>IF(I96="","",IF(AND(ISNUMBER(H96),ISNUMBER(I96)),I96-H96,"Pendente"))</x:f>
      </x:c>
      <x:c r="K96" s="28"/>
    </x:row>
    <x:row r="97" ht="25" customHeight="1">
      <x:c r="A97" s="28"/>
      <x:c r="B97" s="28"/>
      <x:c r="C97" s="29"/>
      <x:c r="D97" s="29"/>
      <x:c r="E97" s="29"/>
      <x:c r="F97" s="29"/>
      <x:c r="G97" s="30"/>
      <x:c r="H97" s="31" t="str">
        <x:f>IF(COUNTA(A97:G97,K97)=0,"",IF(AND(ISNUMBER(C97),ISNUMBER(D97),D97&gt;0,ISNUMBER(F97),F97&gt;=C97,ISNUMBER(G97),G97&gt;0,G97=INT(G97),OR(E97="",AND(ISNUMBER(E97),E97&lt;=F97))),IF(E97="",0,IF(E97&lt;C97,0,(INT(ROUND((E97-C97)/D97,8))+1)*G97)),"Pendente"))</x:f>
      </x:c>
      <x:c r="I97" s="31" t="str">
        <x:f>IF(COUNTA(A97:G97,K97)=0,"",IF(AND(ISNUMBER(C97),ISNUMBER(D97),D97&gt;0,ISNUMBER(F97),F97&gt;=C97,ISNUMBER(G97),G97&gt;0,G97=INT(G97),OR(E97="",AND(ISNUMBER(E97),E97&lt;=F97))),(INT(ROUND((F97-C97)/D97,8))+1)*G97,"Pendente"))</x:f>
      </x:c>
      <x:c r="J97" s="31" t="str">
        <x:f>IF(I97="","",IF(AND(ISNUMBER(H97),ISNUMBER(I97)),I97-H97,"Pendente"))</x:f>
      </x:c>
      <x:c r="K97" s="28"/>
    </x:row>
    <x:row r="98" ht="25" customHeight="1">
      <x:c r="A98" s="28"/>
      <x:c r="B98" s="28"/>
      <x:c r="C98" s="29"/>
      <x:c r="D98" s="29"/>
      <x:c r="E98" s="29"/>
      <x:c r="F98" s="29"/>
      <x:c r="G98" s="30"/>
      <x:c r="H98" s="31" t="str">
        <x:f>IF(COUNTA(A98:G98,K98)=0,"",IF(AND(ISNUMBER(C98),ISNUMBER(D98),D98&gt;0,ISNUMBER(F98),F98&gt;=C98,ISNUMBER(G98),G98&gt;0,G98=INT(G98),OR(E98="",AND(ISNUMBER(E98),E98&lt;=F98))),IF(E98="",0,IF(E98&lt;C98,0,(INT(ROUND((E98-C98)/D98,8))+1)*G98)),"Pendente"))</x:f>
      </x:c>
      <x:c r="I98" s="31" t="str">
        <x:f>IF(COUNTA(A98:G98,K98)=0,"",IF(AND(ISNUMBER(C98),ISNUMBER(D98),D98&gt;0,ISNUMBER(F98),F98&gt;=C98,ISNUMBER(G98),G98&gt;0,G98=INT(G98),OR(E98="",AND(ISNUMBER(E98),E98&lt;=F98))),(INT(ROUND((F98-C98)/D98,8))+1)*G98,"Pendente"))</x:f>
      </x:c>
      <x:c r="J98" s="31" t="str">
        <x:f>IF(I98="","",IF(AND(ISNUMBER(H98),ISNUMBER(I98)),I98-H98,"Pendente"))</x:f>
      </x:c>
      <x:c r="K98" s="28"/>
    </x:row>
    <x:row r="99" ht="25" customHeight="1">
      <x:c r="A99" s="28"/>
      <x:c r="B99" s="28"/>
      <x:c r="C99" s="29"/>
      <x:c r="D99" s="29"/>
      <x:c r="E99" s="29"/>
      <x:c r="F99" s="29"/>
      <x:c r="G99" s="30"/>
      <x:c r="H99" s="31" t="str">
        <x:f>IF(COUNTA(A99:G99,K99)=0,"",IF(AND(ISNUMBER(C99),ISNUMBER(D99),D99&gt;0,ISNUMBER(F99),F99&gt;=C99,ISNUMBER(G99),G99&gt;0,G99=INT(G99),OR(E99="",AND(ISNUMBER(E99),E99&lt;=F99))),IF(E99="",0,IF(E99&lt;C99,0,(INT(ROUND((E99-C99)/D99,8))+1)*G99)),"Pendente"))</x:f>
      </x:c>
      <x:c r="I99" s="31" t="str">
        <x:f>IF(COUNTA(A99:G99,K99)=0,"",IF(AND(ISNUMBER(C99),ISNUMBER(D99),D99&gt;0,ISNUMBER(F99),F99&gt;=C99,ISNUMBER(G99),G99&gt;0,G99=INT(G99),OR(E99="",AND(ISNUMBER(E99),E99&lt;=F99))),(INT(ROUND((F99-C99)/D99,8))+1)*G99,"Pendente"))</x:f>
      </x:c>
      <x:c r="J99" s="31" t="str">
        <x:f>IF(I99="","",IF(AND(ISNUMBER(H99),ISNUMBER(I99)),I99-H99,"Pendente"))</x:f>
      </x:c>
      <x:c r="K99" s="28"/>
    </x:row>
    <x:row r="100" ht="25" customHeight="1">
      <x:c r="A100" s="28"/>
      <x:c r="B100" s="28"/>
      <x:c r="C100" s="29"/>
      <x:c r="D100" s="29"/>
      <x:c r="E100" s="29"/>
      <x:c r="F100" s="29"/>
      <x:c r="G100" s="30"/>
      <x:c r="H100" s="31" t="str">
        <x:f>IF(COUNTA(A100:G100,K100)=0,"",IF(AND(ISNUMBER(C100),ISNUMBER(D100),D100&gt;0,ISNUMBER(F100),F100&gt;=C100,ISNUMBER(G100),G100&gt;0,G100=INT(G100),OR(E100="",AND(ISNUMBER(E100),E100&lt;=F100))),IF(E100="",0,IF(E100&lt;C100,0,(INT(ROUND((E100-C100)/D100,8))+1)*G100)),"Pendente"))</x:f>
      </x:c>
      <x:c r="I100" s="31" t="str">
        <x:f>IF(COUNTA(A100:G100,K100)=0,"",IF(AND(ISNUMBER(C100),ISNUMBER(D100),D100&gt;0,ISNUMBER(F100),F100&gt;=C100,ISNUMBER(G100),G100&gt;0,G100=INT(G100),OR(E100="",AND(ISNUMBER(E100),E100&lt;=F100))),(INT(ROUND((F100-C100)/D100,8))+1)*G100,"Pendente"))</x:f>
      </x:c>
      <x:c r="J100" s="31" t="str">
        <x:f>IF(I100="","",IF(AND(ISNUMBER(H100),ISNUMBER(I100)),I100-H100,"Pendente"))</x:f>
      </x:c>
      <x:c r="K100" s="28"/>
    </x:row>
    <x:row r="101" ht="25" customHeight="1">
      <x:c r="A101" s="28"/>
      <x:c r="B101" s="28"/>
      <x:c r="C101" s="29"/>
      <x:c r="D101" s="29"/>
      <x:c r="E101" s="29"/>
      <x:c r="F101" s="29"/>
      <x:c r="G101" s="30"/>
      <x:c r="H101" s="31" t="str">
        <x:f>IF(COUNTA(A101:G101,K101)=0,"",IF(AND(ISNUMBER(C101),ISNUMBER(D101),D101&gt;0,ISNUMBER(F101),F101&gt;=C101,ISNUMBER(G101),G101&gt;0,G101=INT(G101),OR(E101="",AND(ISNUMBER(E101),E101&lt;=F101))),IF(E101="",0,IF(E101&lt;C101,0,(INT(ROUND((E101-C101)/D101,8))+1)*G101)),"Pendente"))</x:f>
      </x:c>
      <x:c r="I101" s="31" t="str">
        <x:f>IF(COUNTA(A101:G101,K101)=0,"",IF(AND(ISNUMBER(C101),ISNUMBER(D101),D101&gt;0,ISNUMBER(F101),F101&gt;=C101,ISNUMBER(G101),G101&gt;0,G101=INT(G101),OR(E101="",AND(ISNUMBER(E101),E101&lt;=F101))),(INT(ROUND((F101-C101)/D101,8))+1)*G101,"Pendente"))</x:f>
      </x:c>
      <x:c r="J101" s="31" t="str">
        <x:f>IF(I101="","",IF(AND(ISNUMBER(H101),ISNUMBER(I101)),I101-H101,"Pendente"))</x:f>
      </x:c>
      <x:c r="K101" s="28"/>
    </x:row>
    <x:row r="102" ht="25" customHeight="1">
      <x:c r="A102" s="28"/>
      <x:c r="B102" s="28"/>
      <x:c r="C102" s="29"/>
      <x:c r="D102" s="29"/>
      <x:c r="E102" s="29"/>
      <x:c r="F102" s="29"/>
      <x:c r="G102" s="30"/>
      <x:c r="H102" s="31" t="str">
        <x:f>IF(COUNTA(A102:G102,K102)=0,"",IF(AND(ISNUMBER(C102),ISNUMBER(D102),D102&gt;0,ISNUMBER(F102),F102&gt;=C102,ISNUMBER(G102),G102&gt;0,G102=INT(G102),OR(E102="",AND(ISNUMBER(E102),E102&lt;=F102))),IF(E102="",0,IF(E102&lt;C102,0,(INT(ROUND((E102-C102)/D102,8))+1)*G102)),"Pendente"))</x:f>
      </x:c>
      <x:c r="I102" s="31" t="str">
        <x:f>IF(COUNTA(A102:G102,K102)=0,"",IF(AND(ISNUMBER(C102),ISNUMBER(D102),D102&gt;0,ISNUMBER(F102),F102&gt;=C102,ISNUMBER(G102),G102&gt;0,G102=INT(G102),OR(E102="",AND(ISNUMBER(E102),E102&lt;=F102))),(INT(ROUND((F102-C102)/D102,8))+1)*G102,"Pendente"))</x:f>
      </x:c>
      <x:c r="J102" s="31" t="str">
        <x:f>IF(I102="","",IF(AND(ISNUMBER(H102),ISNUMBER(I102)),I102-H102,"Pendente"))</x:f>
      </x:c>
      <x:c r="K102" s="28"/>
    </x:row>
    <x:row r="103" ht="25" customHeight="1">
      <x:c r="A103" s="28"/>
      <x:c r="B103" s="28"/>
      <x:c r="C103" s="29"/>
      <x:c r="D103" s="29"/>
      <x:c r="E103" s="29"/>
      <x:c r="F103" s="29"/>
      <x:c r="G103" s="30"/>
      <x:c r="H103" s="31" t="str">
        <x:f>IF(COUNTA(A103:G103,K103)=0,"",IF(AND(ISNUMBER(C103),ISNUMBER(D103),D103&gt;0,ISNUMBER(F103),F103&gt;=C103,ISNUMBER(G103),G103&gt;0,G103=INT(G103),OR(E103="",AND(ISNUMBER(E103),E103&lt;=F103))),IF(E103="",0,IF(E103&lt;C103,0,(INT(ROUND((E103-C103)/D103,8))+1)*G103)),"Pendente"))</x:f>
      </x:c>
      <x:c r="I103" s="31" t="str">
        <x:f>IF(COUNTA(A103:G103,K103)=0,"",IF(AND(ISNUMBER(C103),ISNUMBER(D103),D103&gt;0,ISNUMBER(F103),F103&gt;=C103,ISNUMBER(G103),G103&gt;0,G103=INT(G103),OR(E103="",AND(ISNUMBER(E103),E103&lt;=F103))),(INT(ROUND((F103-C103)/D103,8))+1)*G103,"Pendente"))</x:f>
      </x:c>
      <x:c r="J103" s="31" t="str">
        <x:f>IF(I103="","",IF(AND(ISNUMBER(H103),ISNUMBER(I103)),I103-H103,"Pendente"))</x:f>
      </x:c>
      <x:c r="K103" s="28"/>
    </x:row>
    <x:row r="104" ht="25" customHeight="1">
      <x:c r="A104" s="28"/>
      <x:c r="B104" s="28"/>
      <x:c r="C104" s="29"/>
      <x:c r="D104" s="29"/>
      <x:c r="E104" s="29"/>
      <x:c r="F104" s="29"/>
      <x:c r="G104" s="30"/>
      <x:c r="H104" s="31" t="str">
        <x:f>IF(COUNTA(A104:G104,K104)=0,"",IF(AND(ISNUMBER(C104),ISNUMBER(D104),D104&gt;0,ISNUMBER(F104),F104&gt;=C104,ISNUMBER(G104),G104&gt;0,G104=INT(G104),OR(E104="",AND(ISNUMBER(E104),E104&lt;=F104))),IF(E104="",0,IF(E104&lt;C104,0,(INT(ROUND((E104-C104)/D104,8))+1)*G104)),"Pendente"))</x:f>
      </x:c>
      <x:c r="I104" s="31" t="str">
        <x:f>IF(COUNTA(A104:G104,K104)=0,"",IF(AND(ISNUMBER(C104),ISNUMBER(D104),D104&gt;0,ISNUMBER(F104),F104&gt;=C104,ISNUMBER(G104),G104&gt;0,G104=INT(G104),OR(E104="",AND(ISNUMBER(E104),E104&lt;=F104))),(INT(ROUND((F104-C104)/D104,8))+1)*G104,"Pendente"))</x:f>
      </x:c>
      <x:c r="J104" s="31" t="str">
        <x:f>IF(I104="","",IF(AND(ISNUMBER(H104),ISNUMBER(I104)),I104-H104,"Pendente"))</x:f>
      </x:c>
      <x:c r="K104" s="28"/>
    </x:row>
    <x:row r="105" ht="25" customHeight="1">
      <x:c r="A105" s="28"/>
      <x:c r="B105" s="28"/>
      <x:c r="C105" s="29"/>
      <x:c r="D105" s="29"/>
      <x:c r="E105" s="29"/>
      <x:c r="F105" s="29"/>
      <x:c r="G105" s="30"/>
      <x:c r="H105" s="31" t="str">
        <x:f>IF(COUNTA(A105:G105,K105)=0,"",IF(AND(ISNUMBER(C105),ISNUMBER(D105),D105&gt;0,ISNUMBER(F105),F105&gt;=C105,ISNUMBER(G105),G105&gt;0,G105=INT(G105),OR(E105="",AND(ISNUMBER(E105),E105&lt;=F105))),IF(E105="",0,IF(E105&lt;C105,0,(INT(ROUND((E105-C105)/D105,8))+1)*G105)),"Pendente"))</x:f>
      </x:c>
      <x:c r="I105" s="31" t="str">
        <x:f>IF(COUNTA(A105:G105,K105)=0,"",IF(AND(ISNUMBER(C105),ISNUMBER(D105),D105&gt;0,ISNUMBER(F105),F105&gt;=C105,ISNUMBER(G105),G105&gt;0,G105=INT(G105),OR(E105="",AND(ISNUMBER(E105),E105&lt;=F105))),(INT(ROUND((F105-C105)/D105,8))+1)*G105,"Pendente"))</x:f>
      </x:c>
      <x:c r="J105" s="31" t="str">
        <x:f>IF(I105="","",IF(AND(ISNUMBER(H105),ISNUMBER(I105)),I105-H105,"Pendente"))</x:f>
      </x:c>
      <x:c r="K105" s="28"/>
    </x:row>
    <x:row r="106" ht="25" customHeight="1">
      <x:c r="A106" s="28"/>
      <x:c r="B106" s="28"/>
      <x:c r="C106" s="29"/>
      <x:c r="D106" s="29"/>
      <x:c r="E106" s="29"/>
      <x:c r="F106" s="29"/>
      <x:c r="G106" s="30"/>
      <x:c r="H106" s="31" t="str">
        <x:f>IF(COUNTA(A106:G106,K106)=0,"",IF(AND(ISNUMBER(C106),ISNUMBER(D106),D106&gt;0,ISNUMBER(F106),F106&gt;=C106,ISNUMBER(G106),G106&gt;0,G106=INT(G106),OR(E106="",AND(ISNUMBER(E106),E106&lt;=F106))),IF(E106="",0,IF(E106&lt;C106,0,(INT(ROUND((E106-C106)/D106,8))+1)*G106)),"Pendente"))</x:f>
      </x:c>
      <x:c r="I106" s="31" t="str">
        <x:f>IF(COUNTA(A106:G106,K106)=0,"",IF(AND(ISNUMBER(C106),ISNUMBER(D106),D106&gt;0,ISNUMBER(F106),F106&gt;=C106,ISNUMBER(G106),G106&gt;0,G106=INT(G106),OR(E106="",AND(ISNUMBER(E106),E106&lt;=F106))),(INT(ROUND((F106-C106)/D106,8))+1)*G106,"Pendente"))</x:f>
      </x:c>
      <x:c r="J106" s="31" t="str">
        <x:f>IF(I106="","",IF(AND(ISNUMBER(H106),ISNUMBER(I106)),I106-H106,"Pendente"))</x:f>
      </x:c>
      <x:c r="K106" s="28"/>
    </x:row>
    <x:row r="107" ht="25" customHeight="1">
      <x:c r="A107" s="28"/>
      <x:c r="B107" s="28"/>
      <x:c r="C107" s="29"/>
      <x:c r="D107" s="29"/>
      <x:c r="E107" s="29"/>
      <x:c r="F107" s="29"/>
      <x:c r="G107" s="30"/>
      <x:c r="H107" s="31" t="str">
        <x:f>IF(COUNTA(A107:G107,K107)=0,"",IF(AND(ISNUMBER(C107),ISNUMBER(D107),D107&gt;0,ISNUMBER(F107),F107&gt;=C107,ISNUMBER(G107),G107&gt;0,G107=INT(G107),OR(E107="",AND(ISNUMBER(E107),E107&lt;=F107))),IF(E107="",0,IF(E107&lt;C107,0,(INT(ROUND((E107-C107)/D107,8))+1)*G107)),"Pendente"))</x:f>
      </x:c>
      <x:c r="I107" s="31" t="str">
        <x:f>IF(COUNTA(A107:G107,K107)=0,"",IF(AND(ISNUMBER(C107),ISNUMBER(D107),D107&gt;0,ISNUMBER(F107),F107&gt;=C107,ISNUMBER(G107),G107&gt;0,G107=INT(G107),OR(E107="",AND(ISNUMBER(E107),E107&lt;=F107))),(INT(ROUND((F107-C107)/D107,8))+1)*G107,"Pendente"))</x:f>
      </x:c>
      <x:c r="J107" s="31" t="str">
        <x:f>IF(I107="","",IF(AND(ISNUMBER(H107),ISNUMBER(I107)),I107-H107,"Pendente"))</x:f>
      </x:c>
      <x:c r="K107" s="28"/>
    </x:row>
    <x:row r="108" ht="25" customHeight="1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</x:row>
    <x:row r="109" ht="25" customHeight="1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</x:row>
    <x:row r="110" ht="25" customHeight="1">
      <x:c r="A110" s="2" t="str">
        <x:v>Para acerto de peso</x:v>
      </x:c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</x:row>
    <x:row r="111" ht="25" customHeight="1">
      <x:c r="A111" s="2"/>
      <x:c r="B111" s="2" t="str">
        <x:v>Acerto = (n.º real total − n.º já incluído em aço base) × corte × kg/m. Não copiar o n.º total como acréscimo.</x:v>
      </x:c>
      <x:c r="C111" s="2"/>
      <x:c r="D111" s="2"/>
      <x:c r="E111" s="2"/>
      <x:c r="F111" s="2"/>
      <x:c r="G111" s="2"/>
      <x:c r="H111" s="2"/>
      <x:c r="I111" s="2"/>
      <x:c r="J111" s="2"/>
      <x:c r="K111" s="2"/>
    </x:row>
    <x:row r="112" ht="25" customHeight="1">
      <x:c r="A112" s="2"/>
      <x:c r="B112" s="2" t="str">
        <x:v>Base normal incluída = metros de aço medidos × conjuntos/a. Se a diferença for fracionária, justificar a reconciliação em comprimento/peso.</x:v>
      </x:c>
      <x:c r="C112" s="2"/>
      <x:c r="D112" s="2"/>
      <x:c r="E112" s="2"/>
      <x:c r="F112" s="2"/>
      <x:c r="G112" s="2"/>
      <x:c r="H112" s="2"/>
      <x:c r="I112" s="2"/>
      <x:c r="J112" s="2"/>
      <x:c r="K112" s="2"/>
    </x:row>
    <x:row r="113" ht="25" customHeight="1">
      <x:c r="A113" s="2"/>
      <x:c r="B113" s="2" t="str">
        <x:v>As zonas não podem repetir a mesma cinta de fronteira. Usar a posição real da primeira cinta de cada zona.</x:v>
      </x:c>
      <x:c r="C113" s="2"/>
      <x:c r="D113" s="2"/>
      <x:c r="E113" s="2"/>
      <x:c r="F113" s="2"/>
      <x:c r="G113" s="2"/>
      <x:c r="H113" s="2"/>
      <x:c r="I113" s="2"/>
      <x:c r="J113" s="2"/>
      <x:c r="K113" s="2"/>
    </x:row>
    <x:row r="114" ht="25" customHeight="1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</x:row>
    <x:row r="115" ht="25" customHeight="1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</x:row>
  </x:sheetData>
  <x:conditionalFormatting sqref="H8:J107">
    <x:cfRule type="containsText" dxfId="5" priority="1" operator="containsText" text="Pendente"/>
  </x:conditionalFormatting>
  <x:dataValidations count="2">
    <x:dataValidation type="list" sqref="A8:A107">
      <x:formula1>Tipos!$A$7:$A$25</x:formula1>
    </x:dataValidation>
    <x:dataValidation type="decimal" operator="between" sqref="D8:D107">
      <x:formula1>0.001</x:formula1>
      <x:formula2>1</x:formula2>
    </x:dataValidation>
  </x:dataValidations>
  <x:pageMargins left="0.7" right="0.7" top="0.75" bottom="0.75" header="0.3" footer="0.3"/>
</x:worksheet>
</file>