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MAPA_OBRA_707" sheetId="1" state="visible" r:id="rId3"/>
    <sheet name="PISOS" sheetId="2" state="visible" r:id="rId4"/>
    <sheet name="PILARES (G)" sheetId="3" state="visible" r:id="rId5"/>
    <sheet name="PILARES" sheetId="4" state="visible" r:id="rId6"/>
    <sheet name="SAPATAS" sheetId="5" state="visible" r:id="rId7"/>
    <sheet name="MUROS" sheetId="6" state="visible" r:id="rId8"/>
    <sheet name="VIGAS" sheetId="7" state="visible" r:id="rId9"/>
    <sheet name="LAJES" sheetId="8" state="visible" r:id="rId10"/>
    <sheet name="TABELA DE PESOS" sheetId="9" state="visible" r:id="rId11"/>
    <sheet name="RESUMO GERAL" sheetId="10" state="visible" r:id="rId12"/>
    <sheet name="NOTAS DO PROJETO" sheetId="11" state="visible" r:id="rId13"/>
    <sheet name="AUTO_GERAL_MEDICAO" sheetId="12" state="visible" r:id="rId14"/>
    <sheet name="SUB_COFRAGEM" sheetId="13" state="visible" r:id="rId15"/>
    <sheet name="SUB_ARMADURAS" sheetId="14" state="visible" r:id="rId16"/>
    <sheet name="SUB_BETAO" sheetId="15" state="visible" r:id="rId17"/>
    <sheet name="SUB_ESPECIAIS" sheetId="16" state="visible" r:id="rId18"/>
    <sheet name="AUTO_MARINEL" sheetId="17" state="visible" r:id="rId19"/>
    <sheet name="AUTO_SECULUM_IMPERDIVEL" sheetId="18" state="visible" r:id="rId20"/>
  </sheets>
  <definedNames>
    <definedName function="false" hidden="false" localSheetId="2" name="_xlnm.Print_Area" vbProcedure="false">'PILARES (G)'!$A$1:$AS$15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<sst xmlns="http://schemas.openxmlformats.org/spreadsheetml/2006/main" count="859" uniqueCount="479">
  <si>
    <t xml:space="preserve">Artº</t>
  </si>
  <si>
    <t xml:space="preserve">Designação de Trabalhos</t>
  </si>
  <si>
    <t xml:space="preserve">Un.</t>
  </si>
  <si>
    <t xml:space="preserve">Quant.</t>
  </si>
  <si>
    <t xml:space="preserve">4.1</t>
  </si>
  <si>
    <t xml:space="preserve">Betão de Limpeza / Cleaning concrete</t>
  </si>
  <si>
    <t xml:space="preserve">4.1.1</t>
  </si>
  <si>
    <t xml:space="preserve">Fornecimento e aplicação de betão de limpeza do tipo C16/20 X0 numa espessura de 0,10 m.</t>
  </si>
  <si>
    <t xml:space="preserve">m3</t>
  </si>
  <si>
    <t xml:space="preserve">4.2</t>
  </si>
  <si>
    <t xml:space="preserve">Fundações / Foundations</t>
  </si>
  <si>
    <t xml:space="preserve">4.2.1</t>
  </si>
  <si>
    <t xml:space="preserve">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t>
  </si>
  <si>
    <t xml:space="preserve">4.2.1.1</t>
  </si>
  <si>
    <t xml:space="preserve">Sapatas Isoladas / Isolated Foundations (90 kg/m3)</t>
  </si>
  <si>
    <t xml:space="preserve">Betão - Aplicação e Vibração</t>
  </si>
  <si>
    <t xml:space="preserve">Cofragem - Fornecimento e aplicação</t>
  </si>
  <si>
    <t xml:space="preserve">m2</t>
  </si>
  <si>
    <t xml:space="preserve">Aço - Moldagem, Corte e Aplicação</t>
  </si>
  <si>
    <t xml:space="preserve">kg</t>
  </si>
  <si>
    <t xml:space="preserve">4.2.1.2</t>
  </si>
  <si>
    <t xml:space="preserve">Sapatas Contínuas / Continuous Foundations (110 kg/m3)</t>
  </si>
  <si>
    <t xml:space="preserve">4.2.1.3</t>
  </si>
  <si>
    <t xml:space="preserve">Vigas de Fundação / Beams of Foundations (115 kg/m3)</t>
  </si>
  <si>
    <t xml:space="preserve">4.3</t>
  </si>
  <si>
    <t xml:space="preserve">Superestrutura / Superstructure</t>
  </si>
  <si>
    <t xml:space="preserve">4.3.1</t>
  </si>
  <si>
    <t xml:space="preserve">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t>
  </si>
  <si>
    <t xml:space="preserve">4.3.1.1</t>
  </si>
  <si>
    <t xml:space="preserve">Muros Enterrados / Buried Walls (115 kg/m3)</t>
  </si>
  <si>
    <t xml:space="preserve">4.3.1.2</t>
  </si>
  <si>
    <t xml:space="preserve">Pilares / Columns (290 kg/m3)</t>
  </si>
  <si>
    <t xml:space="preserve">4.3.1.3</t>
  </si>
  <si>
    <t xml:space="preserve">Paredes / Walls (200 kg/m3)</t>
  </si>
  <si>
    <t xml:space="preserve">4.3.1.3 A</t>
  </si>
  <si>
    <t xml:space="preserve">Núcleos do Elevador / Elevator Shaft (200 kg/m3)</t>
  </si>
  <si>
    <t xml:space="preserve">4.3.1.4</t>
  </si>
  <si>
    <t xml:space="preserve">Vigas / Beams (150 kg/m3)</t>
  </si>
  <si>
    <t xml:space="preserve">4.3.1.5</t>
  </si>
  <si>
    <t xml:space="preserve">Lajes Maciças / Massive Slabs (120 kg/m3)</t>
  </si>
  <si>
    <t xml:space="preserve">4.3.1.6</t>
  </si>
  <si>
    <t xml:space="preserve">Escadas / Stairs (80 kg/m3)</t>
  </si>
  <si>
    <t xml:space="preserve">4.3.1.7</t>
  </si>
  <si>
    <t xml:space="preserve">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t>
  </si>
  <si>
    <t xml:space="preserve">Aplicação Moldes CBX</t>
  </si>
  <si>
    <t xml:space="preserve">4.3.2</t>
  </si>
  <si>
    <t xml:space="preserve">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t>
  </si>
  <si>
    <t xml:space="preserve">Laje de Fundo de Piscina do Piso 0 / Pool Bottom Slab of Leve 0</t>
  </si>
  <si>
    <t xml:space="preserve">Parede de Piscina do Piso 0 / Pool Walls at Level 0</t>
  </si>
  <si>
    <t xml:space="preserve">4.3.3</t>
  </si>
  <si>
    <t xml:space="preserve">Paredes da Piscina da Cobertura</t>
  </si>
  <si>
    <t xml:space="preserve">4.4</t>
  </si>
  <si>
    <t xml:space="preserve">Pavimento Térreos / Ground Floors</t>
  </si>
  <si>
    <t xml:space="preserve">4.4.1</t>
  </si>
  <si>
    <t xml:space="preserve">Piso da Cave / Basement Level</t>
  </si>
  <si>
    <t xml:space="preserve">4.4.1.1</t>
  </si>
  <si>
    <t xml:space="preserve">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t>
  </si>
  <si>
    <t xml:space="preserve">4.1.1.1</t>
  </si>
  <si>
    <t xml:space="preserve">4.1.1.2</t>
  </si>
  <si>
    <t xml:space="preserve">Cupolex 20</t>
  </si>
  <si>
    <t xml:space="preserve">4.1.1.3</t>
  </si>
  <si>
    <t xml:space="preserve">Lâmina de compressão em betão C20/25 XC2 C0,40 D22 S3</t>
  </si>
  <si>
    <t xml:space="preserve">4.1.1.4</t>
  </si>
  <si>
    <t xml:space="preserve">Malhasol A500 AQ50</t>
  </si>
  <si>
    <t xml:space="preserve">CADASTRO DE PAVIMENTOS</t>
  </si>
  <si>
    <t xml:space="preserve">Nome do Piso</t>
  </si>
  <si>
    <t xml:space="preserve">Cota Inferior (m)</t>
  </si>
  <si>
    <t xml:space="preserve">Cota Superior (m)</t>
  </si>
  <si>
    <t xml:space="preserve">Altura do Trecho (m)</t>
  </si>
  <si>
    <t xml:space="preserve">Fund+Piso -1</t>
  </si>
  <si>
    <t xml:space="preserve">Fundações</t>
  </si>
  <si>
    <t xml:space="preserve">Piso -1</t>
  </si>
  <si>
    <t xml:space="preserve">Piso 1</t>
  </si>
  <si>
    <t xml:space="preserve">Cobertura</t>
  </si>
  <si>
    <t xml:space="preserve">O desenho 05 não fornece cotas de pisos. Introduzir cotas confirmadas nos cortes do projeto. H=3,90 m foi mantida apenas no P8-P1.</t>
  </si>
  <si>
    <t xml:space="preserve">LEVANTAMENTO DE AÇO — PILARES</t>
  </si>
  <si>
    <t xml:space="preserve">Azul=entrada | Bege=transpasse | Verde=calculado | Laranja=ferro total | Roxo=betão | Amarelo=cofragem</t>
  </si>
  <si>
    <t xml:space="preserve">GEOMETRIA / SEÇÃO</t>
  </si>
  <si>
    <t xml:space="preserve">TRANSPASSE / ARRANQUE</t>
  </si>
  <si>
    <t xml:space="preserve">ARM. LONGITUDINAL</t>
  </si>
  <si>
    <t xml:space="preserve">EST. TIPO 1</t>
  </si>
  <si>
    <t xml:space="preserve">EST. TIPO 2</t>
  </si>
  <si>
    <t xml:space="preserve">EST. TIPO 3</t>
  </si>
  <si>
    <t xml:space="preserve">AUX</t>
  </si>
  <si>
    <t xml:space="preserve">COMP./PESO LONGIT.</t>
  </si>
  <si>
    <t xml:space="preserve">PESO ESTRIBOS</t>
  </si>
  <si>
    <t xml:space="preserve">FERRO</t>
  </si>
  <si>
    <t xml:space="preserve">BETÃO</t>
  </si>
  <si>
    <t xml:space="preserve">COFRAG.</t>
  </si>
  <si>
    <t xml:space="preserve">Pilar</t>
  </si>
  <si>
    <t xml:space="preserve">Piso</t>
  </si>
  <si>
    <t xml:space="preserve">Altura
(m)</t>
  </si>
  <si>
    <t xml:space="preserve">b
(cm)</t>
  </si>
  <si>
    <t xml:space="preserve">h
(cm)</t>
  </si>
  <si>
    <t xml:space="preserve">Cobr.
(cm)</t>
  </si>
  <si>
    <t xml:space="preserve">Coef.
Transp.
(×Ø)</t>
  </si>
  <si>
    <t xml:space="preserve">Arranque
Inf. (m)</t>
  </si>
  <si>
    <t xml:space="preserve">Transp.
Sup. (m)</t>
  </si>
  <si>
    <t xml:space="preserve">Qtd
L1</t>
  </si>
  <si>
    <t xml:space="preserve">Ø L1
(mm)</t>
  </si>
  <si>
    <t xml:space="preserve">Qtd
L2</t>
  </si>
  <si>
    <t xml:space="preserve">Ø L2
(mm)</t>
  </si>
  <si>
    <t xml:space="preserve">Qtd
L3</t>
  </si>
  <si>
    <t xml:space="preserve">Ø L3
(mm)</t>
  </si>
  <si>
    <t xml:space="preserve">Conj.
E1</t>
  </si>
  <si>
    <t xml:space="preserve">Ø E1
(mm)</t>
  </si>
  <si>
    <t xml:space="preserve">Esp.E1
(m)</t>
  </si>
  <si>
    <t xml:space="preserve">Conj.
E2</t>
  </si>
  <si>
    <t xml:space="preserve">Ø E2
(mm)</t>
  </si>
  <si>
    <t xml:space="preserve">Esp.E2
(m)</t>
  </si>
  <si>
    <t xml:space="preserve">Conj.
E3</t>
  </si>
  <si>
    <t xml:space="preserve">Ø E3
(mm)</t>
  </si>
  <si>
    <t xml:space="preserve">Esp.E3
(m)</t>
  </si>
  <si>
    <t xml:space="preserve">Transp.
L2 (m)</t>
  </si>
  <si>
    <t xml:space="preserve">Transp.
L3 (m)</t>
  </si>
  <si>
    <t xml:space="preserve">Comp.
L1 (m)</t>
  </si>
  <si>
    <t xml:space="preserve">Peso
L1 (kg)</t>
  </si>
  <si>
    <t xml:space="preserve">Comp.
L2 (m)</t>
  </si>
  <si>
    <t xml:space="preserve">Peso
L2 (kg)</t>
  </si>
  <si>
    <t xml:space="preserve">Comp.
L3 (m)</t>
  </si>
  <si>
    <t xml:space="preserve">Peso
L3 (kg)</t>
  </si>
  <si>
    <t xml:space="preserve">C.U.
E1 (m)</t>
  </si>
  <si>
    <t xml:space="preserve">Qtd
E1</t>
  </si>
  <si>
    <t xml:space="preserve">Peso
E1 (kg)</t>
  </si>
  <si>
    <t xml:space="preserve">C.U.
E2 (m)</t>
  </si>
  <si>
    <t xml:space="preserve">Qtd
E2</t>
  </si>
  <si>
    <t xml:space="preserve">Peso
E2 (kg)</t>
  </si>
  <si>
    <t xml:space="preserve">C.U.
E3 (m)</t>
  </si>
  <si>
    <t xml:space="preserve">Qtd
E3</t>
  </si>
  <si>
    <t xml:space="preserve">Peso
E3 (kg)</t>
  </si>
  <si>
    <t xml:space="preserve">PESO
FERRO
(kg)</t>
  </si>
  <si>
    <t xml:space="preserve">Volume
Betão
(m³)</t>
  </si>
  <si>
    <t xml:space="preserve">Área
Cofrag.
(m²)</t>
  </si>
  <si>
    <t xml:space="preserve">Observações</t>
  </si>
  <si>
    <t xml:space="preserve">P1</t>
  </si>
  <si>
    <t xml:space="preserve">P2</t>
  </si>
  <si>
    <t xml:space="preserve">P3</t>
  </si>
  <si>
    <t xml:space="preserve">P7</t>
  </si>
  <si>
    <t xml:space="preserve">TOTAL GERAL</t>
  </si>
  <si>
    <t xml:space="preserve">P1-P0</t>
  </si>
  <si>
    <t xml:space="preserve">Piso 0</t>
  </si>
  <si>
    <t xml:space="preserve">Fundações a Piso 0. Cinta exterior e cinta interior fechada. Contagem cintas exige zonas a/2.</t>
  </si>
  <si>
    <t xml:space="preserve">P1-P1</t>
  </si>
  <si>
    <t xml:space="preserve">Piso 0 a Piso 1. Cinta exterior e cinta interior fechada. Contagem cintas exige zonas a/2.</t>
  </si>
  <si>
    <t xml:space="preserve">P1-COB</t>
  </si>
  <si>
    <t xml:space="preserve">Piso 1 a Cobertura. Cinta exterior e cinta interior fechada. Contagem cintas exige zonas a/2.</t>
  </si>
  <si>
    <t xml:space="preserve">P2-P0</t>
  </si>
  <si>
    <t xml:space="preserve">P2-P1</t>
  </si>
  <si>
    <t xml:space="preserve">P3-P0</t>
  </si>
  <si>
    <t xml:space="preserve">Fundações a Piso 0. Cinta retangular simples.</t>
  </si>
  <si>
    <t xml:space="preserve">P4-P1</t>
  </si>
  <si>
    <t xml:space="preserve">Piso 0 a Piso 1. Cinta retangular simples.</t>
  </si>
  <si>
    <t xml:space="preserve">P4-COB</t>
  </si>
  <si>
    <t xml:space="preserve">Piso 1 a Cobertura. Cinta retangular simples.</t>
  </si>
  <si>
    <t xml:space="preserve">P5-P1</t>
  </si>
  <si>
    <t xml:space="preserve">P6-P0</t>
  </si>
  <si>
    <t xml:space="preserve">Fundações a Piso 0. Cinta retangular. Encontro com parede no troço inferior.</t>
  </si>
  <si>
    <t xml:space="preserve">P6-P1</t>
  </si>
  <si>
    <t xml:space="preserve">Piso 0 a Piso 1. Cinta retangular. Encontro com parede no troço inferior.</t>
  </si>
  <si>
    <t xml:space="preserve">P7-P0</t>
  </si>
  <si>
    <t xml:space="preserve">Fundações a Piso 0. Cinta retangular. Encontro com parede. Seção base diferente (50×30).</t>
  </si>
  <si>
    <t xml:space="preserve">P7-P1</t>
  </si>
  <si>
    <t xml:space="preserve">Piso 0 a Piso 1. Cinta circular Ø30. Mapa não identifica espiral contínua.</t>
  </si>
  <si>
    <t xml:space="preserve">P7-COB</t>
  </si>
  <si>
    <t xml:space="preserve">Piso 1 a Cobertura. Cinta circular Ø30. Mapa não identifica espiral contínua.</t>
  </si>
  <si>
    <t xml:space="preserve">P8-P0</t>
  </si>
  <si>
    <t xml:space="preserve">P8-P1</t>
  </si>
  <si>
    <t xml:space="preserve">Piso 0 a Piso 1. H=3,90 m confirmada. Cinta exterior e interior fechada.</t>
  </si>
  <si>
    <t xml:space="preserve">P9-COB</t>
  </si>
  <si>
    <t xml:space="preserve">Piso 1 a Cobertura. PENDENTE – cintas sobrepostas: confirmar decomposição e cortes no mapa de dobragem.</t>
  </si>
  <si>
    <t xml:space="preserve">P10-COB</t>
  </si>
  <si>
    <t xml:space="preserve">Piso 1 a Cobertura. PENDENTE – cintas sobrepostas: confirmar decomposição.</t>
  </si>
  <si>
    <t xml:space="preserve">P11-COB</t>
  </si>
  <si>
    <t xml:space="preserve">LEVANTAMENTO DE MATERIAIS — SAPATAS</t>
  </si>
  <si>
    <t xml:space="preserve">Azul = entrada manual  |  Verde = fórmula calculada  |  Amarelo = resultado final  |  Vermelho = PENDENTE</t>
  </si>
  <si>
    <t xml:space="preserve">GEOMETRIA / DADOS</t>
  </si>
  <si>
    <t xml:space="preserve">ARMADURA — DADOS</t>
  </si>
  <si>
    <t xml:space="preserve">ARM. INFERIOR (Ai)</t>
  </si>
  <si>
    <t xml:space="preserve">ARM. SUPERIOR (As)</t>
  </si>
  <si>
    <t xml:space="preserve">ARM. BORDO (Ab)</t>
  </si>
  <si>
    <t xml:space="preserve">Tipo</t>
  </si>
  <si>
    <t xml:space="preserve">A
(m)</t>
  </si>
  <si>
    <t xml:space="preserve">B
(m)</t>
  </si>
  <si>
    <t xml:space="preserve">H
(m)</t>
  </si>
  <si>
    <t xml:space="preserve">Cob.
(m)</t>
  </si>
  <si>
    <t xml:space="preserve">Ø Ai
(mm)</t>
  </si>
  <si>
    <t xml:space="preserve">Esp. Ai
(m)</t>
  </si>
  <si>
    <t xml:space="preserve">Ø As
(mm)</t>
  </si>
  <si>
    <t xml:space="preserve">Esp. As
(m)</t>
  </si>
  <si>
    <t xml:space="preserve">Ø Ab
(mm)</t>
  </si>
  <si>
    <t xml:space="preserve">n Ab
(bar/face)</t>
  </si>
  <si>
    <t xml:space="preserve">n Ai
dir A</t>
  </si>
  <si>
    <t xml:space="preserve">L Ai A
(m)</t>
  </si>
  <si>
    <t xml:space="preserve">n Ai
dir B</t>
  </si>
  <si>
    <t xml:space="preserve">L Ai B
(m)</t>
  </si>
  <si>
    <t xml:space="preserve">Comp.
Ai (m)</t>
  </si>
  <si>
    <t xml:space="preserve">Peso
Ai (kg)</t>
  </si>
  <si>
    <t xml:space="preserve">n As
dir A</t>
  </si>
  <si>
    <t xml:space="preserve">L As A
(m)</t>
  </si>
  <si>
    <t xml:space="preserve">n As
dir B</t>
  </si>
  <si>
    <t xml:space="preserve">L As B
(m)</t>
  </si>
  <si>
    <t xml:space="preserve">Comp.
As (m)</t>
  </si>
  <si>
    <t xml:space="preserve">Peso
As (kg)</t>
  </si>
  <si>
    <t xml:space="preserve">Comp.
Ab (m)</t>
  </si>
  <si>
    <t xml:space="preserve">Peso
Ab (kg)</t>
  </si>
  <si>
    <t xml:space="preserve">Betão
(m³)</t>
  </si>
  <si>
    <t xml:space="preserve">Bet.
Limp.
(m³)</t>
  </si>
  <si>
    <t xml:space="preserve">Cofrag.
(m²)</t>
  </si>
  <si>
    <t xml:space="preserve">S1</t>
  </si>
  <si>
    <t xml:space="preserve">S2</t>
  </si>
  <si>
    <t xml:space="preserve">S3</t>
  </si>
  <si>
    <t xml:space="preserve">S4</t>
  </si>
  <si>
    <t xml:space="preserve">S5</t>
  </si>
  <si>
    <t xml:space="preserve">S6</t>
  </si>
  <si>
    <t xml:space="preserve">S7</t>
  </si>
  <si>
    <t xml:space="preserve">Pb1</t>
  </si>
  <si>
    <t xml:space="preserve">RESUMO POR BITOLA</t>
  </si>
  <si>
    <t xml:space="preserve">Bitola
(mm)</t>
  </si>
  <si>
    <t xml:space="preserve">Peso Total
(kg)</t>
  </si>
  <si>
    <t xml:space="preserve">% do Total</t>
  </si>
  <si>
    <t xml:space="preserve">Peso/m
(kg/m)</t>
  </si>
  <si>
    <t xml:space="preserve">TOTAL</t>
  </si>
  <si>
    <t xml:space="preserve">NOTA: Cobrimento 5 cm em todas as faces (contacto com solo). Betão de limpeza 5 cm não incluído no betão estrutural. S1 — dimensões em planta "VER PLANTA" (preencher quando disponível). Transpasse = 50×Ø (A500 NR SD) — só se comprimento de barra &gt; 12,00 m. Betão fundações C25/30, XC2. Aço A500 NR SD.</t>
  </si>
  <si>
    <t xml:space="preserve">LEVANTAMENTO — MUROS DE SUPORTE / PAREDES</t>
  </si>
  <si>
    <t xml:space="preserve">Azul=entrada | Preto=fórmula | Amarelo=ferro | Azul claro=betão | Verde=cofragem | Vermelho=PENDENTE</t>
  </si>
  <si>
    <t xml:space="preserve">MUROS DE SUPORTE E PAREDES BÁSICAS (com sapata)</t>
  </si>
  <si>
    <t xml:space="preserve">Elem.</t>
  </si>
  <si>
    <t xml:space="preserve">L
(m)</t>
  </si>
  <si>
    <t xml:space="preserve">n</t>
  </si>
  <si>
    <t xml:space="preserve">e
(m)</t>
  </si>
  <si>
    <t xml:space="preserve">h_muro
(m)</t>
  </si>
  <si>
    <t xml:space="preserve">h_sap
(m)</t>
  </si>
  <si>
    <t xml:space="preserve">b_total
(m)</t>
  </si>
  <si>
    <t xml:space="preserve">øV
(mm)</t>
  </si>
  <si>
    <t xml:space="preserve">espV
(m)</t>
  </si>
  <si>
    <t xml:space="preserve">øH
(mm)</t>
  </si>
  <si>
    <t xml:space="preserve">espH
(m)</t>
  </si>
  <si>
    <t xml:space="preserve">øs.inf
(mm)</t>
  </si>
  <si>
    <t xml:space="preserve">esp.inf
(m)</t>
  </si>
  <si>
    <t xml:space="preserve">øs.sup
(mm)</t>
  </si>
  <si>
    <t xml:space="preserve">esp.sup
(m)</t>
  </si>
  <si>
    <t xml:space="preserve">øcinta
(mm)</t>
  </si>
  <si>
    <t xml:space="preserve">esp.ct
(m)</t>
  </si>
  <si>
    <t xml:space="preserve">Peso V
(kg)</t>
  </si>
  <si>
    <t xml:space="preserve">Peso H
(kg)</t>
  </si>
  <si>
    <t xml:space="preserve">Peso
Sap.Inf
(kg)</t>
  </si>
  <si>
    <t xml:space="preserve">Peso
Sap.Sup
(kg)</t>
  </si>
  <si>
    <t xml:space="preserve">Peso
Cintas
(kg)</t>
  </si>
  <si>
    <t xml:space="preserve">Betão
Muro
(m³)</t>
  </si>
  <si>
    <t xml:space="preserve">Betão
Sap.
(m³)</t>
  </si>
  <si>
    <t xml:space="preserve">Betão
Limp.
(m³)</t>
  </si>
  <si>
    <t xml:space="preserve">Obs.</t>
  </si>
  <si>
    <t xml:space="preserve">MS.1</t>
  </si>
  <si>
    <t xml:space="preserve">Com cintas ø8//0.15</t>
  </si>
  <si>
    <t xml:space="preserve">MS.2</t>
  </si>
  <si>
    <t xml:space="preserve">PENDENTE</t>
  </si>
  <si>
    <t xml:space="preserve">L pendente</t>
  </si>
  <si>
    <t xml:space="preserve">MS.3</t>
  </si>
  <si>
    <t xml:space="preserve">MS.4</t>
  </si>
  <si>
    <t xml:space="preserve">Pb.1</t>
  </si>
  <si>
    <t xml:space="preserve">Pb.2</t>
  </si>
  <si>
    <t xml:space="preserve">SUBTOTAL MS+Pb</t>
  </si>
  <si>
    <t xml:space="preserve">PAREDES ESTRUTURAIS (sem sapata própria)</t>
  </si>
  <si>
    <t xml:space="preserve">h
(m)</t>
  </si>
  <si>
    <t xml:space="preserve">ølong
(mm)</t>
  </si>
  <si>
    <t xml:space="preserve">esp.l
(m)</t>
  </si>
  <si>
    <t xml:space="preserve">ødistr
(mm)</t>
  </si>
  <si>
    <t xml:space="preserve">esp.d
(m)</t>
  </si>
  <si>
    <t xml:space="preserve">cob
(m)</t>
  </si>
  <si>
    <t xml:space="preserve">Peso
Long.
(kg)</t>
  </si>
  <si>
    <t xml:space="preserve">Peso
Distr.
(kg)</t>
  </si>
  <si>
    <t xml:space="preserve">Pa.2</t>
  </si>
  <si>
    <t xml:space="preserve">Piso 0→Cob</t>
  </si>
  <si>
    <t xml:space="preserve">h pendente (pisos)</t>
  </si>
  <si>
    <t xml:space="preserve">Piso -1→0</t>
  </si>
  <si>
    <t xml:space="preserve">SUBTOTAL Pa</t>
  </si>
  <si>
    <t xml:space="preserve">Ferro
(kg)</t>
  </si>
  <si>
    <t xml:space="preserve">Betão
Muro (m³)</t>
  </si>
  <si>
    <t xml:space="preserve">Betão
Sap. (m³)</t>
  </si>
  <si>
    <t xml:space="preserve">Betão
Limp. (m³)</t>
  </si>
  <si>
    <t xml:space="preserve">Betão
Total (m³)</t>
  </si>
  <si>
    <t xml:space="preserve">TOTAL GERAL MUROS</t>
  </si>
  <si>
    <t xml:space="preserve">NOTAS:</t>
  </si>
  <si>
    <t xml:space="preserve">1. L = comprimento do muro em planta — PENDENTE (a medir em desenho de planta).</t>
  </si>
  <si>
    <t xml:space="preserve">2. Armadura vertical do muro: 2 faces, espaçamento espV, ancoragem 75d (50d base + 25d topo).</t>
  </si>
  <si>
    <t xml:space="preserve">3. Armadura horizontal do muro: 2 faces, espaçamento espH; empalme 50d se L &gt; 12 m.</t>
  </si>
  <si>
    <t xml:space="preserve">4. Sapata: armadura inferior e superior em malha (transv. + longit.) com mesmo ø e espaçamento.</t>
  </si>
  <si>
    <t xml:space="preserve">5. Cintas na sapata apenas em MS.1 (ø8//0.15) — perímetro = 2×(b-0.10)+2×(h_sap-0.10)+ganchos.</t>
  </si>
  <si>
    <t xml:space="preserve">6. Paredes estruturais Pa.2: 2 pisos, h pendente (definido pelas cotas dos pisos).</t>
  </si>
  <si>
    <t xml:space="preserve">7. Betão limpeza: 0.05 m sob sapata. Cofragem: 2 faces do paramento vertical.</t>
  </si>
  <si>
    <t xml:space="preserve">8. Todos os pesos calculados por fórmula — valores a 0 enquanto L ou h forem PENDENTE.</t>
  </si>
  <si>
    <t xml:space="preserve">LEVANTAMENTO — VIGAS</t>
  </si>
  <si>
    <t xml:space="preserve">Azul=entrada | Verde=calculado | Laranja=ferro | Roxo=betão | Amarelo=cofragem</t>
  </si>
  <si>
    <t xml:space="preserve">GEOMETRIA</t>
  </si>
  <si>
    <t xml:space="preserve">ARMADURA</t>
  </si>
  <si>
    <t xml:space="preserve">PESO AÇO CALCULADO</t>
  </si>
  <si>
    <t xml:space="preserve">BETÃO / COFRAG.</t>
  </si>
  <si>
    <t xml:space="preserve">Viga</t>
  </si>
  <si>
    <t xml:space="preserve">Comp.
(m)</t>
  </si>
  <si>
    <t xml:space="preserve">bw
(cm)</t>
  </si>
  <si>
    <t xml:space="preserve">Coef.
Transp.</t>
  </si>
  <si>
    <t xml:space="preserve">Qtd
Inf.</t>
  </si>
  <si>
    <t xml:space="preserve">Ø Inf
(mm)</t>
  </si>
  <si>
    <t xml:space="preserve">Qtd
Sup.</t>
  </si>
  <si>
    <t xml:space="preserve">Ø Sup
(mm)</t>
  </si>
  <si>
    <t xml:space="preserve">Qtd
Pele</t>
  </si>
  <si>
    <t xml:space="preserve">Ø Pele
(mm)</t>
  </si>
  <si>
    <t xml:space="preserve">Conj.
Est.</t>
  </si>
  <si>
    <t xml:space="preserve">Ø Est
(mm)</t>
  </si>
  <si>
    <t xml:space="preserve">Esp.Est
(m)</t>
  </si>
  <si>
    <t xml:space="preserve">Comp.
Inf. (m)</t>
  </si>
  <si>
    <t xml:space="preserve">Peso
Inf. (kg)</t>
  </si>
  <si>
    <t xml:space="preserve">Comp.
Sup. (m)</t>
  </si>
  <si>
    <t xml:space="preserve">Peso
Sup. (kg)</t>
  </si>
  <si>
    <t xml:space="preserve">Peso
Pele (kg)</t>
  </si>
  <si>
    <t xml:space="preserve">C.U.
Est. (m)</t>
  </si>
  <si>
    <t xml:space="preserve">Qtd
Est.</t>
  </si>
  <si>
    <t xml:space="preserve">Peso
Est. (kg)</t>
  </si>
  <si>
    <t xml:space="preserve">Obs</t>
  </si>
  <si>
    <t xml:space="preserve">V1</t>
  </si>
  <si>
    <t xml:space="preserve">V2</t>
  </si>
  <si>
    <t xml:space="preserve">Piso 2</t>
  </si>
  <si>
    <t xml:space="preserve">LEVANTAMENTO — LAJES</t>
  </si>
  <si>
    <t xml:space="preserve">Azul=entrada | Verde=calculado (perímetro) | Laranja=ferro | Roxo=betão | Amarelo=cofragem</t>
  </si>
  <si>
    <t xml:space="preserve">IDENTIFICAÇÃO</t>
  </si>
  <si>
    <t xml:space="preserve">ARM. INF. POSITIVA</t>
  </si>
  <si>
    <t xml:space="preserve">ARM. SUP. NEGATIVA (BORDO)</t>
  </si>
  <si>
    <t xml:space="preserve">TEMPERATURA</t>
  </si>
  <si>
    <t xml:space="preserve">ALIGEIRADA</t>
  </si>
  <si>
    <t xml:space="preserve">PERÍM.</t>
  </si>
  <si>
    <t xml:space="preserve">PESO ARM. INFERIOR</t>
  </si>
  <si>
    <t xml:space="preserve">PESO ARM. SUP. (BORDO)</t>
  </si>
  <si>
    <t xml:space="preserve">PESO TEMPERATURA</t>
  </si>
  <si>
    <t xml:space="preserve">Laje</t>
  </si>
  <si>
    <t xml:space="preserve">Descrição</t>
  </si>
  <si>
    <t xml:space="preserve">Lx
(m)</t>
  </si>
  <si>
    <t xml:space="preserve">Ly
(m)</t>
  </si>
  <si>
    <t xml:space="preserve">d útil
(cm)</t>
  </si>
  <si>
    <t xml:space="preserve">Ø X inf
(mm)</t>
  </si>
  <si>
    <t xml:space="preserve">Esp. X inf
(m)</t>
  </si>
  <si>
    <t xml:space="preserve">Ø Y inf
(mm)</t>
  </si>
  <si>
    <t xml:space="preserve">Esp. Y inf
(m)</t>
  </si>
  <si>
    <t xml:space="preserve">Ø X sup
(mm)</t>
  </si>
  <si>
    <t xml:space="preserve">Esp. X sup
(m)</t>
  </si>
  <si>
    <t xml:space="preserve">Comp.
X sup (m)</t>
  </si>
  <si>
    <t xml:space="preserve">Ø Y sup
(mm)</t>
  </si>
  <si>
    <t xml:space="preserve">Esp. Y sup
(m)</t>
  </si>
  <si>
    <t xml:space="preserve">Comp.
Y sup (m)</t>
  </si>
  <si>
    <t xml:space="preserve">Ø Temp
(mm)</t>
  </si>
  <si>
    <t xml:space="preserve">Esp. Temp
(m)</t>
  </si>
  <si>
    <t xml:space="preserve">bw nerv.
(cm)</t>
  </si>
  <si>
    <t xml:space="preserve">Esp. nerv.
(m)</t>
  </si>
  <si>
    <t xml:space="preserve">Qtd
fiadas</t>
  </si>
  <si>
    <t xml:space="preserve">Perímetro
(m)</t>
  </si>
  <si>
    <t xml:space="preserve">Qtd
X inf</t>
  </si>
  <si>
    <t xml:space="preserve">Comp.barra
X inf (m)</t>
  </si>
  <si>
    <t xml:space="preserve">Empalme
X inf (m)</t>
  </si>
  <si>
    <t xml:space="preserve">Peso
X inf (kg)</t>
  </si>
  <si>
    <t xml:space="preserve">Qtd
Y inf</t>
  </si>
  <si>
    <t xml:space="preserve">Comp.barra
Y inf (m)</t>
  </si>
  <si>
    <t xml:space="preserve">Empalme
Y inf (m)</t>
  </si>
  <si>
    <t xml:space="preserve">Peso
Y inf (kg)</t>
  </si>
  <si>
    <t xml:space="preserve">Qtd
X sup</t>
  </si>
  <si>
    <t xml:space="preserve">Peso
X sup (kg)</t>
  </si>
  <si>
    <t xml:space="preserve">Qtd
Y sup</t>
  </si>
  <si>
    <t xml:space="preserve">Peso
Y sup (kg)</t>
  </si>
  <si>
    <t xml:space="preserve">Qtd
Temp</t>
  </si>
  <si>
    <t xml:space="preserve">Comp.barra
Temp (m)</t>
  </si>
  <si>
    <t xml:space="preserve">Peso
Temp (kg)</t>
  </si>
  <si>
    <t xml:space="preserve">L1</t>
  </si>
  <si>
    <t xml:space="preserve">Maciça</t>
  </si>
  <si>
    <t xml:space="preserve">Laje sala piso 1</t>
  </si>
  <si>
    <t xml:space="preserve">L2</t>
  </si>
  <si>
    <t xml:space="preserve">Aligeirada</t>
  </si>
  <si>
    <t xml:space="preserve">Laje nervurada sala piso 0</t>
  </si>
  <si>
    <t xml:space="preserve">L3</t>
  </si>
  <si>
    <t xml:space="preserve">Laje cobertura</t>
  </si>
  <si>
    <t xml:space="preserve">PESO POR METRO LINEAR — AÇO CA-50/CA-60</t>
  </si>
  <si>
    <t xml:space="preserve">Diâmetro (mm)</t>
  </si>
  <si>
    <t xml:space="preserve">Peso (kg/m)</t>
  </si>
  <si>
    <t xml:space="preserve">RESUMO GERAL — LEVANTAMENTO DE MATERIAIS</t>
  </si>
  <si>
    <t xml:space="preserve">SEÇÃO 1 — RESUMO POR ELEMENTO</t>
  </si>
  <si>
    <t xml:space="preserve">Elemento</t>
  </si>
  <si>
    <t xml:space="preserve">Qtd</t>
  </si>
  <si>
    <t xml:space="preserve">Ferro Total
(kg)</t>
  </si>
  <si>
    <t xml:space="preserve">Betão Total
(m³)</t>
  </si>
  <si>
    <t xml:space="preserve">Cofragem Total
(m²)</t>
  </si>
  <si>
    <t xml:space="preserve">Pilares</t>
  </si>
  <si>
    <t xml:space="preserve">Sapatas</t>
  </si>
  <si>
    <t xml:space="preserve">Muros</t>
  </si>
  <si>
    <t xml:space="preserve">Vigas</t>
  </si>
  <si>
    <t xml:space="preserve">Lajes</t>
  </si>
  <si>
    <t xml:space="preserve">SEÇÃO 2 — RESUMO DE FERRO POR BITOLA</t>
  </si>
  <si>
    <t xml:space="preserve">Bitola (mm)</t>
  </si>
  <si>
    <t xml:space="preserve">Comp. Estimado
(m)</t>
  </si>
  <si>
    <t xml:space="preserve">NOTAS TÉCNICAS DO PROJETO — DESENHO 05</t>
  </si>
  <si>
    <t xml:space="preserve">FERCA, L-337/21, Desenho 05, revisão –, abril 2025</t>
  </si>
  <si>
    <t xml:space="preserve">Tema</t>
  </si>
  <si>
    <t xml:space="preserve">Valor / Nota</t>
  </si>
  <si>
    <t xml:space="preserve">Observação</t>
  </si>
  <si>
    <t xml:space="preserve">Fonte</t>
  </si>
  <si>
    <t xml:space="preserve">Materiais gerais</t>
  </si>
  <si>
    <t xml:space="preserve">Varões A500 NR SD (LNEC E460). Betão C30/37, XC1(P), Cl0.20, D22, S3.</t>
  </si>
  <si>
    <t xml:space="preserve">Fundações: C30/37, XC2(P), Cl0.40, D22, S3. Aplicar especificação ao elemento.</t>
  </si>
  <si>
    <t xml:space="preserve">Desenho 05, Materiais</t>
  </si>
  <si>
    <t xml:space="preserve">Recobrimento</t>
  </si>
  <si>
    <t xml:space="preserve">3 cm geral. 5 cm faces em contacto com solo.</t>
  </si>
  <si>
    <t xml:space="preserve">Troço Fundações–Piso 0 não está necessariamente enterrado. Confirmar faces expostas ao solo.</t>
  </si>
  <si>
    <t xml:space="preserve">Desenho 05, Recobrimentos</t>
  </si>
  <si>
    <t xml:space="preserve">Espaçamento cintas</t>
  </si>
  <si>
    <t xml:space="preserve">a = 0,20 m no mapa. Zonas a/2 indicadas nos pormenores junto a nós (0,60 m).</t>
  </si>
  <si>
    <t xml:space="preserve">Contagem final exige distinguir zonas densificadas. Não usar H/0,20 como contagem total.</t>
  </si>
  <si>
    <t xml:space="preserve">Desenho 05, Pormenores de pilares</t>
  </si>
  <si>
    <t xml:space="preserve">Emendas / continuidade</t>
  </si>
  <si>
    <t xml:space="preserve">Detalhe de continuidade: 50Ø. Último troço: dobra de 0,30 m.</t>
  </si>
  <si>
    <t xml:space="preserve">Registar emenda por troço após atribuir nó/extremidade. Não somar 50Ø a todas as barras.</t>
  </si>
  <si>
    <t xml:space="preserve">Dobragens das cintas</t>
  </si>
  <si>
    <t xml:space="preserve">Diâmetro interior de dobragem: 5Ø. Caudas cotadas em função de Ø.</t>
  </si>
  <si>
    <t xml:space="preserve">Faltam dimensões desenvolvidas das cintas interiores. Não medir pela escala gráfica do PDF.</t>
  </si>
  <si>
    <t xml:space="preserve">Desenho 05, Fecho das cintas</t>
  </si>
  <si>
    <t xml:space="preserve">Trechos identificados</t>
  </si>
  <si>
    <t xml:space="preserve">P1:3; P2:2; P3:1; P4:2; P5:1; P6:2; P7:3; P8:2; P9/P10/P11:1. Total=19.</t>
  </si>
  <si>
    <t xml:space="preserve">Uma linha por intervalo entre níveis. 19 registos ≠ 19 pilares distintos.</t>
  </si>
  <si>
    <t xml:space="preserve">Desenho 05, Quadro de pilares</t>
  </si>
  <si>
    <t xml:space="preserve">P8 confirmado</t>
  </si>
  <si>
    <t xml:space="preserve">Secção 30×60 cm, 6Ø16+10Ø12. P8-Piso1: H=3,90 m. Betão ≈0,702 m³, cofragem ≈7,02 m² (4 faces).</t>
  </si>
  <si>
    <t xml:space="preserve">Aço aguarda cortes e contagens finais por zonas.</t>
  </si>
  <si>
    <t xml:space="preserve">Utilizador + Desenho 05</t>
  </si>
  <si>
    <t xml:space="preserve">P7 — pilar circular</t>
  </si>
  <si>
    <t xml:space="preserve">Representado por cinta circular no mapa. Ø30 cm.</t>
  </si>
  <si>
    <t xml:space="preserve">Mapa não identifica espiral contínua. Confirmar com engenheiro responsável.</t>
  </si>
  <si>
    <t xml:space="preserve">Desenho 05</t>
  </si>
  <si>
    <t xml:space="preserve">P9 / P10 / P11</t>
  </si>
  <si>
    <t xml:space="preserve">Cintas fechadas sobrepostas. Seções: P9=130×20, P10=20×100, P11=20×80.</t>
  </si>
  <si>
    <t xml:space="preserve">Confirmar decomposição e cortes no mapa de dobragem. Grampos não confirmados.</t>
  </si>
  <si>
    <t xml:space="preserve">Dados em falta para fechar</t>
  </si>
  <si>
    <t xml:space="preserve">Cotas de pisos (cortes); alturas dos 18 trechos; mapa de corte e dobragem.</t>
  </si>
  <si>
    <t xml:space="preserve">Sapatas, Muros e Vigas não identificados neste mapa. Não são levantamento confirmado.</t>
  </si>
  <si>
    <t xml:space="preserve">Pendências do levantamento</t>
  </si>
  <si>
    <t xml:space="preserve">AUTO DE MEDIÇÃO MENSAL — EMPREITEIRO GERAL / ESTRUTURA — 707_VILA_MODERNA</t>
  </si>
  <si>
    <t xml:space="preserve">OBRA:</t>
  </si>
  <si>
    <t xml:space="preserve">707_Vila_Moderna</t>
  </si>
  <si>
    <t xml:space="preserve">SUBEMPREITEIRO:</t>
  </si>
  <si>
    <t xml:space="preserve">Empreiteiro Geral / Estrutura</t>
  </si>
  <si>
    <t xml:space="preserve">AUTO N.º:</t>
  </si>
  <si>
    <t xml:space="preserve">01</t>
  </si>
  <si>
    <t xml:space="preserve">DONO DE OBRA:</t>
  </si>
  <si>
    <t xml:space="preserve">NORASIL S.A.</t>
  </si>
  <si>
    <t xml:space="preserve">ESPECIALIDADE:</t>
  </si>
  <si>
    <t xml:space="preserve">Estruturas de Betão Armado (Geral)</t>
  </si>
  <si>
    <t xml:space="preserve">DATA:</t>
  </si>
  <si>
    <t xml:space="preserve">30/09/2026</t>
  </si>
  <si>
    <t xml:space="preserve">Quant. Contrato</t>
  </si>
  <si>
    <t xml:space="preserve">Qtd. Anterior</t>
  </si>
  <si>
    <t xml:space="preserve">Qtd. no Mês</t>
  </si>
  <si>
    <t xml:space="preserve">Qtd. Acumulada</t>
  </si>
  <si>
    <t xml:space="preserve">% Execução</t>
  </si>
  <si>
    <t xml:space="preserve">Saldo a Executar</t>
  </si>
  <si>
    <t xml:space="preserve">P.U. (€)</t>
  </si>
  <si>
    <t xml:space="preserve">Valor no Mês (€)</t>
  </si>
  <si>
    <t xml:space="preserve">AUTO DE MEDIÇÃO MENSAL — SUBEMPREITEIRO DE COFRAGEM — 707_VILA_MODERNA</t>
  </si>
  <si>
    <t xml:space="preserve">Subempreiteiro de Cofragem</t>
  </si>
  <si>
    <t xml:space="preserve">Cofragens e Descofragens</t>
  </si>
  <si>
    <t xml:space="preserve">AUTO DE MEDIÇÃO MENSAL — SUBEMPREITEIRO DE ARMADURAS — 707_VILA_MODERNA</t>
  </si>
  <si>
    <t xml:space="preserve">Subempreiteiro de Armaduras</t>
  </si>
  <si>
    <t xml:space="preserve">Corte, Moldagem e Aplicação de Aço</t>
  </si>
  <si>
    <t xml:space="preserve">AUTO DE MEDIÇÃO MENSAL — SUBEMPREITEIRO DE BETÃO — 707_VILA_MODERNA</t>
  </si>
  <si>
    <t xml:space="preserve">Subempreiteiro de Betão</t>
  </si>
  <si>
    <t xml:space="preserve">Fornecimento, Aplicação e Vibração de Betão</t>
  </si>
  <si>
    <t xml:space="preserve">AUTO DE MEDIÇÃO MENSAL — SUBEMPREITEIRO DE PISOS ESPECIAIS — 707_VILA_MODERNA</t>
  </si>
  <si>
    <t xml:space="preserve">Subempreiteiro de Pisos Especiais</t>
  </si>
  <si>
    <t xml:space="preserve">Módulos Cobiax e Piso Térreo Cupolex</t>
  </si>
  <si>
    <t xml:space="preserve">AUTO DE MEDIÇÃO MENSAL — MARINEL — 707_VILA_MODERNA</t>
  </si>
  <si>
    <t xml:space="preserve">MARINEL</t>
  </si>
  <si>
    <t xml:space="preserve">PERÍODO / MÊS:</t>
  </si>
  <si>
    <t xml:space="preserve">Setembro / 2026</t>
  </si>
  <si>
    <t xml:space="preserve">TOTAL GERAL A FATURAR:</t>
  </si>
  <si>
    <t xml:space="preserve">AUTO DE MEDIÇÃO MENSAL — SECULUM IMPERDIVEL — 707_VILA_MODERNA</t>
  </si>
  <si>
    <t xml:space="preserve">Seculum Imperdivel</t>
  </si>
</sst>
</file>

<file path=xl/styles.xml><?xml version="1.0" encoding="utf-8"?>
<styleSheet xmlns="http://schemas.openxmlformats.org/spreadsheetml/2006/main">
  <numFmts count="10">
    <numFmt numFmtId="164" formatCode="General"/>
    <numFmt numFmtId="165" formatCode="#,##0.00"/>
    <numFmt numFmtId="166" formatCode="0.00"/>
    <numFmt numFmtId="167" formatCode="0.000"/>
    <numFmt numFmtId="168" formatCode="0"/>
    <numFmt numFmtId="169" formatCode="0.0%"/>
    <numFmt numFmtId="170" formatCode="0.0"/>
    <numFmt numFmtId="171" formatCode="0.00%"/>
    <numFmt numFmtId="172" formatCode="#,##0.00&quot; €&quot;"/>
    <numFmt numFmtId="173" formatCode="#,##0.00&quot; €&quot;"/>
  </numFmts>
  <fonts count="37">
    <font>
      <sz val="11"/>
      <color theme="1"/>
      <name val="Calibri"/>
      <family val="2"/>
      <charset val="1"/>
    </font>
    <font>
      <sz val="10"/>
      <name val="Arial"/>
      <family val="0"/>
    </font>
    <font>
      <sz val="10"/>
      <name val="Arial"/>
      <family val="0"/>
    </font>
    <font>
      <sz val="10"/>
      <name val="Arial"/>
      <family val="0"/>
    </font>
    <font>
      <b val="true"/>
      <sz val="11"/>
      <name val="Calibri"/>
      <family val="2"/>
      <charset val="1"/>
    </font>
    <font>
      <b val="true"/>
      <sz val="10"/>
      <name val="Calibri"/>
      <family val="2"/>
      <charset val="1"/>
    </font>
    <font>
      <sz val="10"/>
      <name val="Calibri"/>
      <family val="2"/>
      <charset val="1"/>
    </font>
    <font>
      <b val="true"/>
      <sz val="14"/>
      <color rgb="FFFFFFFF"/>
      <name val="Arial"/>
      <family val="2"/>
      <charset val="1"/>
    </font>
    <font>
      <b val="true"/>
      <sz val="9"/>
      <color rgb="FF000000"/>
      <name val="Arial"/>
      <family val="2"/>
      <charset val="1"/>
    </font>
    <font>
      <sz val="9"/>
      <color rgb="FF0000FF"/>
      <name val="Arial"/>
      <family val="2"/>
      <charset val="1"/>
    </font>
    <font>
      <sz val="9"/>
      <color rgb="FF000000"/>
      <name val="Arial"/>
      <family val="2"/>
      <charset val="1"/>
    </font>
    <font>
      <i val="true"/>
      <sz val="9"/>
      <color rgb="FF996600"/>
      <name val="Arial"/>
      <family val="2"/>
      <charset val="1"/>
    </font>
    <font>
      <sz val="10"/>
      <color rgb="FFFFFFFF"/>
      <name val="Arial"/>
      <family val="2"/>
      <charset val="1"/>
    </font>
    <font>
      <b val="true"/>
      <sz val="9"/>
      <color rgb="FFFFFFFF"/>
      <name val="Arial"/>
      <family val="2"/>
      <charset val="1"/>
    </font>
    <font>
      <i val="true"/>
      <sz val="8"/>
      <name val="Arial"/>
      <family val="2"/>
      <charset val="1"/>
    </font>
    <font>
      <i val="true"/>
      <sz val="9"/>
      <color rgb="FF0000FF"/>
      <name val="Arial"/>
      <family val="2"/>
      <charset val="1"/>
    </font>
    <font>
      <b val="true"/>
      <sz val="10"/>
      <color rgb="FFFFFFFF"/>
      <name val="Arial"/>
      <family val="2"/>
      <charset val="1"/>
    </font>
    <font>
      <i val="true"/>
      <sz val="9"/>
      <color rgb="FF333333"/>
      <name val="Arial"/>
      <family val="2"/>
      <charset val="1"/>
    </font>
    <font>
      <sz val="10"/>
      <color rgb="FF000000"/>
      <name val="Arial"/>
      <family val="2"/>
      <charset val="1"/>
    </font>
    <font>
      <sz val="10"/>
      <color rgb="FF0000FF"/>
      <name val="Arial"/>
      <family val="2"/>
      <charset val="1"/>
    </font>
    <font>
      <sz val="10"/>
      <color rgb="FF006100"/>
      <name val="Arial"/>
      <family val="2"/>
      <charset val="1"/>
    </font>
    <font>
      <b val="true"/>
      <sz val="10"/>
      <color rgb="FF000000"/>
      <name val="Arial"/>
      <family val="2"/>
      <charset val="1"/>
    </font>
    <font>
      <b val="true"/>
      <sz val="11"/>
      <name val="Arial"/>
      <family val="2"/>
      <charset val="1"/>
    </font>
    <font>
      <i val="true"/>
      <sz val="8"/>
      <color rgb="FF555555"/>
      <name val="Arial"/>
      <family val="2"/>
      <charset val="1"/>
    </font>
    <font>
      <b val="true"/>
      <sz val="12"/>
      <name val="Arial"/>
      <family val="2"/>
      <charset val="1"/>
    </font>
    <font>
      <i val="true"/>
      <sz val="9"/>
      <name val="Arial"/>
      <family val="2"/>
      <charset val="1"/>
    </font>
    <font>
      <sz val="10"/>
      <name val="Arial"/>
      <family val="2"/>
      <charset val="1"/>
    </font>
    <font>
      <b val="true"/>
      <sz val="9"/>
      <name val="Arial"/>
      <family val="2"/>
      <charset val="1"/>
    </font>
    <font>
      <i val="true"/>
      <sz val="10"/>
      <color rgb="FFFF0000"/>
      <name val="Arial"/>
      <family val="2"/>
      <charset val="1"/>
    </font>
    <font>
      <b val="true"/>
      <sz val="10"/>
      <name val="Arial"/>
      <family val="2"/>
      <charset val="1"/>
    </font>
    <font>
      <sz val="9"/>
      <name val="Arial"/>
      <family val="2"/>
      <charset val="1"/>
    </font>
    <font>
      <b val="true"/>
      <sz val="11"/>
      <color rgb="FFFFFFFF"/>
      <name val="Arial"/>
      <family val="2"/>
      <charset val="1"/>
    </font>
    <font>
      <i val="true"/>
      <sz val="10"/>
      <color rgb="FF333333"/>
      <name val="Arial"/>
      <family val="2"/>
      <charset val="1"/>
    </font>
    <font>
      <b val="true"/>
      <sz val="13"/>
      <color rgb="FFFFFFFF"/>
      <name val="Calibri"/>
      <family val="2"/>
      <charset val="1"/>
    </font>
    <font>
      <b val="true"/>
      <sz val="13"/>
      <color rgb="FFFFFFFF"/>
      <name val="Calibri"/>
      <family val="0"/>
      <charset val="1"/>
    </font>
    <font>
      <b val="true"/>
      <sz val="10"/>
      <name val="Calibri"/>
      <family val="0"/>
      <charset val="1"/>
    </font>
    <font>
      <sz val="10"/>
      <name val="Calibri"/>
      <family val="0"/>
      <charset val="1"/>
    </font>
  </fonts>
  <fills count="60">
    <fill>
      <patternFill patternType="none"/>
    </fill>
    <fill>
      <patternFill patternType="gray125"/>
    </fill>
    <fill>
      <patternFill patternType="solid">
        <fgColor rgb="FFFFC000"/>
        <bgColor rgb="FFE0A32D"/>
      </patternFill>
    </fill>
    <fill>
      <patternFill patternType="solid">
        <fgColor rgb="FFFFFF00"/>
        <bgColor rgb="FFFFC000"/>
      </patternFill>
    </fill>
    <fill>
      <patternFill patternType="darkGray">
        <fgColor rgb="FF154A49"/>
        <bgColor rgb="FF234F71"/>
      </patternFill>
    </fill>
    <fill>
      <patternFill patternType="solid">
        <fgColor rgb="FFBDD7EE"/>
        <bgColor rgb="FFB4DEED"/>
      </patternFill>
    </fill>
    <fill>
      <patternFill patternType="solid">
        <fgColor rgb="FFF2F2F2"/>
        <bgColor rgb="FFF0F0F0"/>
      </patternFill>
    </fill>
    <fill>
      <patternFill patternType="solid">
        <fgColor rgb="FFFFFFFF"/>
        <bgColor rgb="FFFFFDE7"/>
      </patternFill>
    </fill>
    <fill>
      <patternFill patternType="solid">
        <fgColor rgb="FFFFF9C4"/>
        <bgColor rgb="FFFFF2CC"/>
      </patternFill>
    </fill>
    <fill>
      <patternFill patternType="solid">
        <fgColor rgb="FF2E75B6"/>
        <bgColor rgb="FF4472C4"/>
      </patternFill>
    </fill>
    <fill>
      <patternFill patternType="darkGray">
        <fgColor rgb="FFE0A32D"/>
        <bgColor rgb="FFF4B084"/>
      </patternFill>
    </fill>
    <fill>
      <patternFill patternType="solid">
        <fgColor rgb="FF9DC3E6"/>
        <bgColor rgb="FFB4C6E7"/>
      </patternFill>
    </fill>
    <fill>
      <patternFill patternType="solid">
        <fgColor rgb="FFC8AEDE"/>
        <bgColor rgb="FFB2B2B2"/>
      </patternFill>
    </fill>
    <fill>
      <patternFill patternType="solid">
        <fgColor rgb="FF8FD1D1"/>
        <bgColor rgb="FF9DC3E6"/>
      </patternFill>
    </fill>
    <fill>
      <patternFill patternType="solid">
        <fgColor rgb="FFADAAAF"/>
        <bgColor rgb="FFB2B2B2"/>
      </patternFill>
    </fill>
    <fill>
      <patternFill patternType="solid">
        <fgColor rgb="FF78B650"/>
        <bgColor rgb="FFADAAAF"/>
      </patternFill>
    </fill>
    <fill>
      <patternFill patternType="darkGray">
        <fgColor rgb="FFCC7906"/>
        <bgColor rgb="FFE0A32D"/>
      </patternFill>
    </fill>
    <fill>
      <patternFill patternType="solid">
        <fgColor rgb="FF9370DB"/>
        <bgColor rgb="FF4472C4"/>
      </patternFill>
    </fill>
    <fill>
      <patternFill patternType="solid">
        <fgColor rgb="FFE0A32D"/>
        <bgColor rgb="FFFFC000"/>
      </patternFill>
    </fill>
    <fill>
      <patternFill patternType="solid">
        <fgColor rgb="FFF4D9A0"/>
        <bgColor rgb="FFFCE4CC"/>
      </patternFill>
    </fill>
    <fill>
      <patternFill patternType="darkGray">
        <fgColor rgb="FFBDD7EE"/>
        <bgColor rgb="FFB4DEED"/>
      </patternFill>
    </fill>
    <fill>
      <patternFill patternType="solid">
        <fgColor rgb="FFDECCEE"/>
        <bgColor rgb="FFE8D5F5"/>
      </patternFill>
    </fill>
    <fill>
      <patternFill patternType="solid">
        <fgColor rgb="FFB4DEED"/>
        <bgColor rgb="FFBDD7EE"/>
      </patternFill>
    </fill>
    <fill>
      <patternFill patternType="solid">
        <fgColor rgb="FFD9D8D7"/>
        <bgColor rgb="FFD6DCE4"/>
      </patternFill>
    </fill>
    <fill>
      <patternFill patternType="solid">
        <fgColor rgb="FFD3F0CD"/>
        <bgColor rgb="FFD5F0F0"/>
      </patternFill>
    </fill>
    <fill>
      <patternFill patternType="solid">
        <fgColor rgb="FFF4B084"/>
        <bgColor rgb="FFF0D060"/>
      </patternFill>
    </fill>
    <fill>
      <patternFill patternType="solid">
        <fgColor rgb="FFC8AEDE"/>
        <bgColor rgb="FFB2B2B2"/>
      </patternFill>
    </fill>
    <fill>
      <patternFill patternType="solid">
        <fgColor rgb="FFF0D060"/>
        <bgColor rgb="FFF4D9A0"/>
      </patternFill>
    </fill>
    <fill>
      <patternFill patternType="solid">
        <fgColor rgb="FFEBF1F8"/>
        <bgColor rgb="FFF0F0F0"/>
      </patternFill>
    </fill>
    <fill>
      <patternFill patternType="solid">
        <fgColor rgb="FFFFF4E5"/>
        <bgColor rgb="FFFFF9E6"/>
      </patternFill>
    </fill>
    <fill>
      <patternFill patternType="solid">
        <fgColor rgb="FFF3ECFA"/>
        <bgColor rgb="FFF0F0F0"/>
      </patternFill>
    </fill>
    <fill>
      <patternFill patternType="solid">
        <fgColor rgb="FFE8F7F7"/>
        <bgColor rgb="FFEBF1F8"/>
      </patternFill>
    </fill>
    <fill>
      <patternFill patternType="solid">
        <fgColor rgb="FFF0F0F0"/>
        <bgColor rgb="FFF2F2F2"/>
      </patternFill>
    </fill>
    <fill>
      <patternFill patternType="solid">
        <fgColor rgb="FFF0F7EC"/>
        <bgColor rgb="FFF2F2F2"/>
      </patternFill>
    </fill>
    <fill>
      <patternFill patternType="solid">
        <fgColor rgb="FFFDEBD6"/>
        <bgColor rgb="FFFDECD0"/>
      </patternFill>
    </fill>
    <fill>
      <patternFill patternType="solid">
        <fgColor rgb="FFEDE4F5"/>
        <bgColor rgb="FFE8E8E8"/>
      </patternFill>
    </fill>
    <fill>
      <patternFill patternType="solid">
        <fgColor rgb="FFFFF9E6"/>
        <bgColor rgb="FFFFFDE7"/>
      </patternFill>
    </fill>
    <fill>
      <patternFill patternType="solid">
        <fgColor rgb="FFFFFDE7"/>
        <bgColor rgb="FFFFF9E6"/>
      </patternFill>
    </fill>
    <fill>
      <patternFill patternType="solid">
        <fgColor rgb="FFD6E4F0"/>
        <bgColor rgb="FFD9E2F3"/>
      </patternFill>
    </fill>
    <fill>
      <patternFill patternType="solid">
        <fgColor rgb="FFFDECD0"/>
        <bgColor rgb="FFFDEBD6"/>
      </patternFill>
    </fill>
    <fill>
      <patternFill patternType="solid">
        <fgColor rgb="FFE8D5F5"/>
        <bgColor rgb="FFDECCEE"/>
      </patternFill>
    </fill>
    <fill>
      <patternFill patternType="solid">
        <fgColor rgb="FFD5F0F0"/>
        <bgColor rgb="FFDDEBF7"/>
      </patternFill>
    </fill>
    <fill>
      <patternFill patternType="solid">
        <fgColor rgb="FFE8E8E8"/>
        <bgColor rgb="FFEDE4F5"/>
      </patternFill>
    </fill>
    <fill>
      <patternFill patternType="solid">
        <fgColor rgb="FFE2EFDA"/>
        <bgColor rgb="FFE8E8E8"/>
      </patternFill>
    </fill>
    <fill>
      <patternFill patternType="solid">
        <fgColor rgb="FFFCE4CC"/>
        <bgColor rgb="FFFCE4D6"/>
      </patternFill>
    </fill>
    <fill>
      <patternFill patternType="darkGray">
        <fgColor rgb="FFDECCEE"/>
        <bgColor rgb="FFE8D5F5"/>
      </patternFill>
    </fill>
    <fill>
      <patternFill patternType="solid">
        <fgColor rgb="FFFFF2CC"/>
        <bgColor rgb="FFFDECD0"/>
      </patternFill>
    </fill>
    <fill>
      <patternFill patternType="solid">
        <fgColor rgb="FF4472C4"/>
        <bgColor rgb="FF2E75B6"/>
      </patternFill>
    </fill>
    <fill>
      <patternFill patternType="solid">
        <fgColor rgb="FFFCE4D6"/>
        <bgColor rgb="FFFCE4CC"/>
      </patternFill>
    </fill>
    <fill>
      <patternFill patternType="solid">
        <fgColor rgb="FFB4C6E7"/>
        <bgColor rgb="FF9DC3E6"/>
      </patternFill>
    </fill>
    <fill>
      <patternFill patternType="solid">
        <fgColor rgb="FFD6DCE4"/>
        <bgColor rgb="FFD9D8D7"/>
      </patternFill>
    </fill>
    <fill>
      <patternFill patternType="solid">
        <fgColor theme="2" tint="-0.1"/>
        <bgColor rgb="FFD6DCE4"/>
      </patternFill>
    </fill>
    <fill>
      <patternFill patternType="solid">
        <fgColor rgb="FFD9E2F3"/>
        <bgColor rgb="FFD9E1F2"/>
      </patternFill>
    </fill>
    <fill>
      <patternFill patternType="solid">
        <fgColor rgb="FFC5E0B4"/>
        <bgColor rgb="FFD3F0CD"/>
      </patternFill>
    </fill>
    <fill>
      <patternFill patternType="darkGray">
        <fgColor rgb="FFADAAAF"/>
        <bgColor rgb="FFB2B2B2"/>
      </patternFill>
    </fill>
    <fill>
      <patternFill patternType="darkGray">
        <fgColor rgb="FF78B650"/>
        <bgColor rgb="FFADAAAF"/>
      </patternFill>
    </fill>
    <fill>
      <patternFill patternType="mediumGray">
        <fgColor rgb="FFD3F0CD"/>
        <bgColor rgb="FFE2EFDA"/>
      </patternFill>
    </fill>
    <fill>
      <patternFill patternType="solid">
        <fgColor rgb="FF234F71"/>
        <bgColor rgb="FF154A49"/>
      </patternFill>
    </fill>
    <fill>
      <patternFill patternType="solid">
        <fgColor rgb="FFD9E1F2"/>
        <bgColor rgb="FFD9E2F3"/>
      </patternFill>
    </fill>
    <fill>
      <patternFill patternType="solid">
        <fgColor rgb="FFDDEBF7"/>
        <bgColor rgb="FFD5F0F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4472C4"/>
      </left>
      <right/>
      <top style="thin">
        <color rgb="FF4472C4"/>
      </top>
      <bottom style="thin">
        <color rgb="FF4472C4"/>
      </bottom>
      <diagonal/>
    </border>
    <border diagonalUp="false" diagonalDown="false">
      <left style="thin">
        <color rgb="FF4472C4"/>
      </left>
      <right style="thin">
        <color rgb="FF4472C4"/>
      </right>
      <top style="thin">
        <color rgb="FF4472C4"/>
      </top>
      <bottom style="thin">
        <color rgb="FF4472C4"/>
      </bottom>
      <diagonal/>
    </border>
    <border diagonalUp="false" diagonalDown="false">
      <left style="thin">
        <color rgb="FFD9D8D7"/>
      </left>
      <right style="thin">
        <color rgb="FFD9D8D7"/>
      </right>
      <top style="thin">
        <color rgb="FFD9D8D7"/>
      </top>
      <bottom style="thin">
        <color rgb="FFD9D8D7"/>
      </bottom>
      <diagonal/>
    </border>
    <border diagonalUp="false" diagonalDown="false">
      <left style="thin">
        <color rgb="FFD9D8D7"/>
      </left>
      <right style="thin">
        <color rgb="FFD9D8D7"/>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right"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5" fontId="6" fillId="0" borderId="2" xfId="0" applyFont="true" applyBorder="true" applyAlignment="true" applyProtection="false">
      <alignment horizontal="right" vertical="center" textRotation="0" wrapText="false" indent="0" shrinkToFit="false"/>
      <protection locked="true" hidden="false"/>
    </xf>
    <xf numFmtId="164" fontId="6" fillId="0" borderId="2" xfId="0" applyFont="true" applyBorder="true" applyAlignment="true" applyProtection="false">
      <alignment horizontal="right"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6" fontId="9" fillId="6" borderId="1" xfId="0" applyFont="true" applyBorder="true" applyAlignment="true" applyProtection="false">
      <alignment horizontal="center" vertical="center" textRotation="0" wrapText="true" indent="0" shrinkToFit="false"/>
      <protection locked="true" hidden="false"/>
    </xf>
    <xf numFmtId="166" fontId="10"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6" fontId="9" fillId="7" borderId="1" xfId="0" applyFont="true" applyBorder="true" applyAlignment="true" applyProtection="false">
      <alignment horizontal="center" vertical="center" textRotation="0" wrapText="true" indent="0" shrinkToFit="false"/>
      <protection locked="true" hidden="false"/>
    </xf>
    <xf numFmtId="166" fontId="10"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4" fontId="13" fillId="12" borderId="1" xfId="0" applyFont="true" applyBorder="true" applyAlignment="true" applyProtection="false">
      <alignment horizontal="center" vertical="center" textRotation="0" wrapText="true" indent="0" shrinkToFit="false"/>
      <protection locked="true" hidden="false"/>
    </xf>
    <xf numFmtId="164" fontId="13" fillId="13" borderId="1" xfId="0" applyFont="true" applyBorder="true" applyAlignment="true" applyProtection="false">
      <alignment horizontal="center" vertical="center" textRotation="0" wrapText="tru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13" fillId="15" borderId="1" xfId="0" applyFont="true" applyBorder="true" applyAlignment="true" applyProtection="false">
      <alignment horizontal="center" vertical="center" textRotation="0" wrapText="true" indent="0" shrinkToFit="false"/>
      <protection locked="true" hidden="false"/>
    </xf>
    <xf numFmtId="164" fontId="13" fillId="16" borderId="1" xfId="0" applyFont="true" applyBorder="true" applyAlignment="true" applyProtection="false">
      <alignment horizontal="center" vertical="center" textRotation="0" wrapText="true" indent="0" shrinkToFit="false"/>
      <protection locked="true" hidden="false"/>
    </xf>
    <xf numFmtId="164" fontId="13" fillId="17" borderId="1" xfId="0" applyFont="true" applyBorder="true" applyAlignment="true" applyProtection="false">
      <alignment horizontal="center" vertical="center" textRotation="0" wrapText="true" indent="0" shrinkToFit="false"/>
      <protection locked="true" hidden="false"/>
    </xf>
    <xf numFmtId="164" fontId="13" fillId="18"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4" fontId="8" fillId="23" borderId="1" xfId="0" applyFont="true" applyBorder="true" applyAlignment="true" applyProtection="false">
      <alignment horizontal="center" vertical="center" textRotation="0" wrapText="true" indent="0" shrinkToFit="false"/>
      <protection locked="true" hidden="false"/>
    </xf>
    <xf numFmtId="164" fontId="8" fillId="24" borderId="1" xfId="0" applyFont="true" applyBorder="true" applyAlignment="true" applyProtection="false">
      <alignment horizontal="center" vertical="center" textRotation="0" wrapText="true" indent="0" shrinkToFit="false"/>
      <protection locked="true" hidden="false"/>
    </xf>
    <xf numFmtId="164" fontId="8" fillId="25" borderId="1" xfId="0" applyFont="true" applyBorder="true" applyAlignment="true" applyProtection="false">
      <alignment horizontal="center" vertical="center" textRotation="0" wrapText="true" indent="0" shrinkToFit="false"/>
      <protection locked="true" hidden="false"/>
    </xf>
    <xf numFmtId="164" fontId="8" fillId="26" borderId="1" xfId="0" applyFont="true" applyBorder="true" applyAlignment="true" applyProtection="false">
      <alignment horizontal="center" vertical="center" textRotation="0" wrapText="true" indent="0" shrinkToFit="false"/>
      <protection locked="true" hidden="false"/>
    </xf>
    <xf numFmtId="164" fontId="8" fillId="27"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28" borderId="1" xfId="0" applyFont="true" applyBorder="true" applyAlignment="true" applyProtection="false">
      <alignment horizontal="center" vertical="center" textRotation="0" wrapText="true" indent="0" shrinkToFit="false"/>
      <protection locked="true" hidden="false"/>
    </xf>
    <xf numFmtId="166" fontId="9" fillId="28" borderId="1" xfId="0" applyFont="true" applyBorder="true" applyAlignment="true" applyProtection="false">
      <alignment horizontal="center" vertical="center" textRotation="0" wrapText="true" indent="0" shrinkToFit="false"/>
      <protection locked="true" hidden="false"/>
    </xf>
    <xf numFmtId="164" fontId="9" fillId="29" borderId="1" xfId="0" applyFont="true" applyBorder="true" applyAlignment="true" applyProtection="false">
      <alignment horizontal="center" vertical="center" textRotation="0" wrapText="true" indent="0" shrinkToFit="false"/>
      <protection locked="true" hidden="false"/>
    </xf>
    <xf numFmtId="166" fontId="9" fillId="29" borderId="1" xfId="0" applyFont="true" applyBorder="true" applyAlignment="true" applyProtection="false">
      <alignment horizontal="center" vertical="center" textRotation="0" wrapText="true" indent="0" shrinkToFit="false"/>
      <protection locked="true" hidden="false"/>
    </xf>
    <xf numFmtId="164" fontId="9" fillId="30" borderId="1" xfId="0" applyFont="true" applyBorder="true" applyAlignment="true" applyProtection="false">
      <alignment horizontal="center" vertical="center" textRotation="0" wrapText="true" indent="0" shrinkToFit="false"/>
      <protection locked="true" hidden="false"/>
    </xf>
    <xf numFmtId="166" fontId="9" fillId="30" borderId="1" xfId="0" applyFont="true" applyBorder="true" applyAlignment="true" applyProtection="false">
      <alignment horizontal="center" vertical="center" textRotation="0" wrapText="true" indent="0" shrinkToFit="false"/>
      <protection locked="true" hidden="false"/>
    </xf>
    <xf numFmtId="164" fontId="9" fillId="31" borderId="1" xfId="0" applyFont="true" applyBorder="true" applyAlignment="true" applyProtection="false">
      <alignment horizontal="center" vertical="center" textRotation="0" wrapText="true" indent="0" shrinkToFit="false"/>
      <protection locked="true" hidden="false"/>
    </xf>
    <xf numFmtId="166" fontId="9" fillId="31" borderId="1" xfId="0" applyFont="true" applyBorder="true" applyAlignment="true" applyProtection="false">
      <alignment horizontal="center" vertical="center" textRotation="0" wrapText="true" indent="0" shrinkToFit="false"/>
      <protection locked="true" hidden="false"/>
    </xf>
    <xf numFmtId="166" fontId="10" fillId="32" borderId="1" xfId="0" applyFont="true" applyBorder="true" applyAlignment="true" applyProtection="false">
      <alignment horizontal="center" vertical="center" textRotation="0" wrapText="true" indent="0" shrinkToFit="false"/>
      <protection locked="true" hidden="false"/>
    </xf>
    <xf numFmtId="166" fontId="10" fillId="33" borderId="1" xfId="0" applyFont="true" applyBorder="true" applyAlignment="true" applyProtection="false">
      <alignment horizontal="center" vertical="center" textRotation="0" wrapText="true" indent="0" shrinkToFit="false"/>
      <protection locked="true" hidden="false"/>
    </xf>
    <xf numFmtId="167" fontId="10" fillId="33" borderId="1" xfId="0" applyFont="true" applyBorder="true" applyAlignment="true" applyProtection="false">
      <alignment horizontal="center" vertical="center" textRotation="0" wrapText="true" indent="0" shrinkToFit="false"/>
      <protection locked="true" hidden="false"/>
    </xf>
    <xf numFmtId="168" fontId="10" fillId="33" borderId="1" xfId="0" applyFont="true" applyBorder="true" applyAlignment="true" applyProtection="false">
      <alignment horizontal="center" vertical="center" textRotation="0" wrapText="true" indent="0" shrinkToFit="false"/>
      <protection locked="true" hidden="false"/>
    </xf>
    <xf numFmtId="166" fontId="8" fillId="34" borderId="1" xfId="0" applyFont="true" applyBorder="true" applyAlignment="true" applyProtection="false">
      <alignment horizontal="center" vertical="center" textRotation="0" wrapText="true" indent="0" shrinkToFit="false"/>
      <protection locked="true" hidden="false"/>
    </xf>
    <xf numFmtId="167" fontId="10" fillId="35" borderId="1" xfId="0" applyFont="true" applyBorder="true" applyAlignment="true" applyProtection="false">
      <alignment horizontal="center" vertical="center" textRotation="0" wrapText="true" indent="0" shrinkToFit="false"/>
      <protection locked="true" hidden="false"/>
    </xf>
    <xf numFmtId="166" fontId="10" fillId="36" borderId="1" xfId="0" applyFont="true" applyBorder="true" applyAlignment="true" applyProtection="false">
      <alignment horizontal="center" vertical="center" textRotation="0" wrapText="true" indent="0" shrinkToFit="false"/>
      <protection locked="true" hidden="false"/>
    </xf>
    <xf numFmtId="164" fontId="14" fillId="37" borderId="1" xfId="0" applyFont="true" applyBorder="true" applyAlignment="true" applyProtection="false">
      <alignment horizontal="left" vertical="center" textRotation="0" wrapText="true" indent="0" shrinkToFit="false"/>
      <protection locked="true" hidden="false"/>
    </xf>
    <xf numFmtId="164" fontId="9" fillId="38" borderId="1" xfId="0" applyFont="true" applyBorder="true" applyAlignment="true" applyProtection="false">
      <alignment horizontal="center" vertical="center" textRotation="0" wrapText="true" indent="0" shrinkToFit="false"/>
      <protection locked="true" hidden="false"/>
    </xf>
    <xf numFmtId="166" fontId="9" fillId="38" borderId="1" xfId="0" applyFont="true" applyBorder="true" applyAlignment="true" applyProtection="false">
      <alignment horizontal="center" vertical="center" textRotation="0" wrapText="true" indent="0" shrinkToFit="false"/>
      <protection locked="true" hidden="false"/>
    </xf>
    <xf numFmtId="164" fontId="9" fillId="39" borderId="1" xfId="0" applyFont="true" applyBorder="true" applyAlignment="true" applyProtection="false">
      <alignment horizontal="center" vertical="center" textRotation="0" wrapText="true" indent="0" shrinkToFit="false"/>
      <protection locked="true" hidden="false"/>
    </xf>
    <xf numFmtId="166" fontId="9" fillId="39" borderId="1" xfId="0" applyFont="true" applyBorder="true" applyAlignment="true" applyProtection="false">
      <alignment horizontal="center" vertical="center" textRotation="0" wrapText="true" indent="0" shrinkToFit="false"/>
      <protection locked="true" hidden="false"/>
    </xf>
    <xf numFmtId="164" fontId="9" fillId="40" borderId="1" xfId="0" applyFont="true" applyBorder="true" applyAlignment="true" applyProtection="false">
      <alignment horizontal="center" vertical="center" textRotation="0" wrapText="true" indent="0" shrinkToFit="false"/>
      <protection locked="true" hidden="false"/>
    </xf>
    <xf numFmtId="166" fontId="9" fillId="40" borderId="1" xfId="0" applyFont="true" applyBorder="true" applyAlignment="true" applyProtection="false">
      <alignment horizontal="center" vertical="center" textRotation="0" wrapText="true" indent="0" shrinkToFit="false"/>
      <protection locked="true" hidden="false"/>
    </xf>
    <xf numFmtId="164" fontId="9" fillId="41" borderId="1" xfId="0" applyFont="true" applyBorder="true" applyAlignment="true" applyProtection="false">
      <alignment horizontal="center" vertical="center" textRotation="0" wrapText="true" indent="0" shrinkToFit="false"/>
      <protection locked="true" hidden="false"/>
    </xf>
    <xf numFmtId="166" fontId="9" fillId="41" borderId="1" xfId="0" applyFont="true" applyBorder="true" applyAlignment="true" applyProtection="false">
      <alignment horizontal="center" vertical="center" textRotation="0" wrapText="true" indent="0" shrinkToFit="false"/>
      <protection locked="true" hidden="false"/>
    </xf>
    <xf numFmtId="166" fontId="10" fillId="42" borderId="1" xfId="0" applyFont="true" applyBorder="true" applyAlignment="true" applyProtection="false">
      <alignment horizontal="center" vertical="center" textRotation="0" wrapText="true" indent="0" shrinkToFit="false"/>
      <protection locked="true" hidden="false"/>
    </xf>
    <xf numFmtId="166" fontId="10" fillId="43" borderId="1" xfId="0" applyFont="true" applyBorder="true" applyAlignment="true" applyProtection="false">
      <alignment horizontal="center" vertical="center" textRotation="0" wrapText="true" indent="0" shrinkToFit="false"/>
      <protection locked="true" hidden="false"/>
    </xf>
    <xf numFmtId="167" fontId="10" fillId="43" borderId="1" xfId="0" applyFont="true" applyBorder="true" applyAlignment="true" applyProtection="false">
      <alignment horizontal="center" vertical="center" textRotation="0" wrapText="true" indent="0" shrinkToFit="false"/>
      <protection locked="true" hidden="false"/>
    </xf>
    <xf numFmtId="168" fontId="10" fillId="43" borderId="1" xfId="0" applyFont="true" applyBorder="true" applyAlignment="true" applyProtection="false">
      <alignment horizontal="center" vertical="center" textRotation="0" wrapText="true" indent="0" shrinkToFit="false"/>
      <protection locked="true" hidden="false"/>
    </xf>
    <xf numFmtId="166" fontId="8" fillId="44" borderId="1" xfId="0" applyFont="true" applyBorder="true" applyAlignment="true" applyProtection="false">
      <alignment horizontal="center" vertical="center" textRotation="0" wrapText="true" indent="0" shrinkToFit="false"/>
      <protection locked="true" hidden="false"/>
    </xf>
    <xf numFmtId="167" fontId="10" fillId="45" borderId="1" xfId="0" applyFont="true" applyBorder="true" applyAlignment="true" applyProtection="false">
      <alignment horizontal="center" vertical="center" textRotation="0" wrapText="true" indent="0" shrinkToFit="false"/>
      <protection locked="true" hidden="false"/>
    </xf>
    <xf numFmtId="166" fontId="10" fillId="46" borderId="1" xfId="0" applyFont="true" applyBorder="true" applyAlignment="true" applyProtection="false">
      <alignment horizontal="center" vertical="center" textRotation="0" wrapText="true" indent="0" shrinkToFit="false"/>
      <protection locked="true" hidden="false"/>
    </xf>
    <xf numFmtId="164" fontId="15" fillId="38" borderId="1" xfId="0" applyFont="true" applyBorder="true" applyAlignment="true" applyProtection="false">
      <alignment horizontal="center" vertical="center" textRotation="0" wrapText="true" indent="0" shrinkToFit="false"/>
      <protection locked="true" hidden="false"/>
    </xf>
    <xf numFmtId="164" fontId="14" fillId="38"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right"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16" fillId="4"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3" fillId="47" borderId="3" xfId="0" applyFont="true" applyBorder="true" applyAlignment="true" applyProtection="false">
      <alignment horizontal="center" vertical="center" textRotation="0" wrapText="true" indent="0" shrinkToFit="false"/>
      <protection locked="true" hidden="false"/>
    </xf>
    <xf numFmtId="164" fontId="13" fillId="47" borderId="4" xfId="0" applyFont="true" applyBorder="true" applyAlignment="true" applyProtection="false">
      <alignment horizontal="center" vertical="center" textRotation="0" wrapText="true" indent="0" shrinkToFit="false"/>
      <protection locked="true" hidden="false"/>
    </xf>
    <xf numFmtId="164" fontId="8" fillId="38" borderId="4" xfId="0" applyFont="true" applyBorder="true" applyAlignment="true" applyProtection="false">
      <alignment horizontal="center" vertical="center" textRotation="0" wrapText="true" indent="0" shrinkToFit="false"/>
      <protection locked="true" hidden="false"/>
    </xf>
    <xf numFmtId="164" fontId="18" fillId="6" borderId="4" xfId="0" applyFont="true" applyBorder="true" applyAlignment="true" applyProtection="false">
      <alignment horizontal="center" vertical="center" textRotation="0" wrapText="true" indent="0" shrinkToFit="false"/>
      <protection locked="true" hidden="false"/>
    </xf>
    <xf numFmtId="166" fontId="19" fillId="7" borderId="4" xfId="0" applyFont="true" applyBorder="true" applyAlignment="true" applyProtection="false">
      <alignment horizontal="center" vertical="center" textRotation="0" wrapText="true" indent="0" shrinkToFit="false"/>
      <protection locked="true" hidden="false"/>
    </xf>
    <xf numFmtId="166" fontId="19" fillId="6" borderId="4" xfId="0" applyFont="true" applyBorder="true" applyAlignment="true" applyProtection="false">
      <alignment horizontal="center" vertical="center" textRotation="0" wrapText="true" indent="0" shrinkToFit="false"/>
      <protection locked="true" hidden="false"/>
    </xf>
    <xf numFmtId="164" fontId="19" fillId="6" borderId="4" xfId="0" applyFont="true" applyBorder="true" applyAlignment="true" applyProtection="false">
      <alignment horizontal="center" vertical="center" textRotation="0" wrapText="true" indent="0" shrinkToFit="false"/>
      <protection locked="true" hidden="false"/>
    </xf>
    <xf numFmtId="168" fontId="20" fillId="6" borderId="4" xfId="0" applyFont="true" applyBorder="true" applyAlignment="true" applyProtection="false">
      <alignment horizontal="center" vertical="center" textRotation="0" wrapText="true" indent="0" shrinkToFit="false"/>
      <protection locked="true" hidden="false"/>
    </xf>
    <xf numFmtId="166" fontId="20" fillId="6" borderId="4" xfId="0" applyFont="true" applyBorder="true" applyAlignment="true" applyProtection="false">
      <alignment horizontal="right" vertical="center" textRotation="0" wrapText="false" indent="0" shrinkToFit="false"/>
      <protection locked="true" hidden="false"/>
    </xf>
    <xf numFmtId="166" fontId="21" fillId="46" borderId="4" xfId="0" applyFont="true" applyBorder="true" applyAlignment="true" applyProtection="false">
      <alignment horizontal="right" vertical="center" textRotation="0" wrapText="false" indent="0" shrinkToFit="false"/>
      <protection locked="true" hidden="false"/>
    </xf>
    <xf numFmtId="167" fontId="21" fillId="46" borderId="4" xfId="0" applyFont="true" applyBorder="true" applyAlignment="true" applyProtection="false">
      <alignment horizontal="right" vertical="center" textRotation="0" wrapText="false" indent="0" shrinkToFit="false"/>
      <protection locked="true" hidden="false"/>
    </xf>
    <xf numFmtId="164" fontId="18" fillId="7" borderId="4" xfId="0" applyFont="true" applyBorder="true" applyAlignment="true" applyProtection="false">
      <alignment horizontal="center" vertical="center" textRotation="0" wrapText="true" indent="0" shrinkToFit="false"/>
      <protection locked="true" hidden="false"/>
    </xf>
    <xf numFmtId="164" fontId="19" fillId="7" borderId="4" xfId="0" applyFont="true" applyBorder="true" applyAlignment="true" applyProtection="false">
      <alignment horizontal="center" vertical="center" textRotation="0" wrapText="true" indent="0" shrinkToFit="false"/>
      <protection locked="true" hidden="false"/>
    </xf>
    <xf numFmtId="168" fontId="20" fillId="7" borderId="4" xfId="0" applyFont="true" applyBorder="true" applyAlignment="true" applyProtection="false">
      <alignment horizontal="center" vertical="center" textRotation="0" wrapText="true" indent="0" shrinkToFit="false"/>
      <protection locked="true" hidden="false"/>
    </xf>
    <xf numFmtId="166" fontId="20" fillId="7" borderId="4" xfId="0" applyFont="true" applyBorder="true" applyAlignment="true" applyProtection="false">
      <alignment horizontal="right" vertical="center" textRotation="0" wrapText="false" indent="0" shrinkToFit="false"/>
      <protection locked="true" hidden="false"/>
    </xf>
    <xf numFmtId="164" fontId="21" fillId="48" borderId="4" xfId="0" applyFont="true" applyBorder="true" applyAlignment="true" applyProtection="false">
      <alignment horizontal="right" vertical="center" textRotation="0" wrapText="false" indent="0" shrinkToFit="false"/>
      <protection locked="true" hidden="false"/>
    </xf>
    <xf numFmtId="166" fontId="21" fillId="48" borderId="4" xfId="0" applyFont="true" applyBorder="true" applyAlignment="true" applyProtection="false">
      <alignment horizontal="right" vertical="center" textRotation="0" wrapText="false" indent="0" shrinkToFit="false"/>
      <protection locked="true" hidden="false"/>
    </xf>
    <xf numFmtId="167" fontId="21" fillId="48" borderId="4" xfId="0" applyFont="true" applyBorder="true" applyAlignment="true" applyProtection="false">
      <alignment horizontal="right" vertical="center" textRotation="0" wrapText="false" indent="0" shrinkToFit="false"/>
      <protection locked="true" hidden="false"/>
    </xf>
    <xf numFmtId="164" fontId="22" fillId="49" borderId="0" xfId="0" applyFont="true" applyBorder="true" applyAlignment="true" applyProtection="false">
      <alignment horizontal="center" vertical="center" textRotation="0" wrapText="true" indent="0" shrinkToFit="false"/>
      <protection locked="true" hidden="false"/>
    </xf>
    <xf numFmtId="164" fontId="18" fillId="0" borderId="4" xfId="0" applyFont="true" applyBorder="true" applyAlignment="true" applyProtection="false">
      <alignment horizontal="center" vertical="center" textRotation="0" wrapText="true" indent="0" shrinkToFit="false"/>
      <protection locked="true" hidden="false"/>
    </xf>
    <xf numFmtId="166" fontId="18" fillId="0" borderId="4" xfId="0" applyFont="true" applyBorder="true" applyAlignment="true" applyProtection="false">
      <alignment horizontal="right" vertical="center" textRotation="0" wrapText="false" indent="0" shrinkToFit="false"/>
      <protection locked="true" hidden="false"/>
    </xf>
    <xf numFmtId="169" fontId="18" fillId="0" borderId="4" xfId="0" applyFont="true" applyBorder="true" applyAlignment="true" applyProtection="false">
      <alignment horizontal="right" vertical="center" textRotation="0" wrapText="false" indent="0" shrinkToFit="false"/>
      <protection locked="true" hidden="false"/>
    </xf>
    <xf numFmtId="167" fontId="18" fillId="0" borderId="4" xfId="0" applyFont="true" applyBorder="true" applyAlignment="true" applyProtection="false">
      <alignment horizontal="right" vertical="center" textRotation="0" wrapText="false" indent="0" shrinkToFit="false"/>
      <protection locked="true" hidden="false"/>
    </xf>
    <xf numFmtId="164" fontId="21" fillId="48" borderId="4" xfId="0" applyFont="true" applyBorder="true" applyAlignment="true" applyProtection="false">
      <alignment horizontal="center" vertical="center" textRotation="0" wrapText="true" indent="0" shrinkToFit="false"/>
      <protection locked="true" hidden="false"/>
    </xf>
    <xf numFmtId="169" fontId="21" fillId="48" borderId="4" xfId="0" applyFont="true" applyBorder="true" applyAlignment="true" applyProtection="false">
      <alignment horizontal="righ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2" fillId="49" borderId="1" xfId="0" applyFont="true" applyBorder="true" applyAlignment="true" applyProtection="false">
      <alignment horizontal="left" vertical="center" textRotation="0" wrapText="false" indent="0" shrinkToFit="false"/>
      <protection locked="true" hidden="false"/>
    </xf>
    <xf numFmtId="164" fontId="27" fillId="50" borderId="1" xfId="0" applyFont="true" applyBorder="true" applyAlignment="true" applyProtection="false">
      <alignment horizontal="center" vertical="center" textRotation="0" wrapText="true" indent="0" shrinkToFit="false"/>
      <protection locked="true" hidden="false"/>
    </xf>
    <xf numFmtId="164" fontId="27" fillId="51"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false" indent="0" shrinkToFit="tru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8" fontId="19" fillId="0" borderId="1" xfId="0" applyFont="true" applyBorder="true" applyAlignment="true" applyProtection="false">
      <alignment horizontal="center" vertical="center" textRotation="0" wrapText="true" indent="0" shrinkToFit="false"/>
      <protection locked="true" hidden="false"/>
    </xf>
    <xf numFmtId="166" fontId="19" fillId="0" borderId="1" xfId="0" applyFont="true" applyBorder="true" applyAlignment="true" applyProtection="false">
      <alignment horizontal="center" vertical="center" textRotation="0" wrapText="true" indent="0" shrinkToFit="false"/>
      <protection locked="true" hidden="false"/>
    </xf>
    <xf numFmtId="170" fontId="18" fillId="46" borderId="1" xfId="0" applyFont="true" applyBorder="true" applyAlignment="true" applyProtection="false">
      <alignment horizontal="center" vertical="center" textRotation="0" wrapText="true" indent="0" shrinkToFit="false"/>
      <protection locked="true" hidden="false"/>
    </xf>
    <xf numFmtId="170" fontId="29" fillId="46" borderId="1" xfId="0" applyFont="true" applyBorder="true" applyAlignment="true" applyProtection="false">
      <alignment horizontal="center" vertical="center" textRotation="0" wrapText="true" indent="0" shrinkToFit="false"/>
      <protection locked="true" hidden="false"/>
    </xf>
    <xf numFmtId="167" fontId="18" fillId="52" borderId="1" xfId="0" applyFont="true" applyBorder="true" applyAlignment="true" applyProtection="false">
      <alignment horizontal="center" vertical="center" textRotation="0" wrapText="true" indent="0" shrinkToFit="false"/>
      <protection locked="true" hidden="false"/>
    </xf>
    <xf numFmtId="166" fontId="18" fillId="43"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9" fillId="6" borderId="1" xfId="0" applyFont="true" applyBorder="true" applyAlignment="true" applyProtection="false">
      <alignment horizontal="left" vertical="center" textRotation="0" wrapText="true" indent="0" shrinkToFit="true"/>
      <protection locked="true" hidden="false"/>
    </xf>
    <xf numFmtId="164" fontId="26" fillId="6" borderId="1" xfId="0" applyFont="true" applyBorder="true" applyAlignment="false" applyProtection="false">
      <alignment horizontal="general" vertical="bottom" textRotation="0" wrapText="false" indent="0" shrinkToFit="false"/>
      <protection locked="true" hidden="false"/>
    </xf>
    <xf numFmtId="167" fontId="29" fillId="52" borderId="1" xfId="0" applyFont="true" applyBorder="true" applyAlignment="true" applyProtection="false">
      <alignment horizontal="center" vertical="center" textRotation="0" wrapText="true" indent="0" shrinkToFit="false"/>
      <protection locked="true" hidden="false"/>
    </xf>
    <xf numFmtId="166" fontId="29" fillId="43"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22" fillId="53" borderId="1" xfId="0" applyFont="true" applyBorder="true" applyAlignment="true" applyProtection="false">
      <alignment horizontal="left" vertical="center" textRotation="0" wrapText="false" indent="0" shrinkToFit="false"/>
      <protection locked="true" hidden="false"/>
    </xf>
    <xf numFmtId="164" fontId="29" fillId="6" borderId="1" xfId="0" applyFont="true" applyBorder="true" applyAlignment="true" applyProtection="false">
      <alignment horizontal="left" vertical="center" textRotation="0" wrapText="true" indent="0" shrinkToFit="false"/>
      <protection locked="true" hidden="false"/>
    </xf>
    <xf numFmtId="164" fontId="22" fillId="43" borderId="1" xfId="0" applyFont="true" applyBorder="true" applyAlignment="true" applyProtection="false">
      <alignment horizontal="left" vertical="center" textRotation="0" wrapText="true" indent="0" shrinkToFit="false"/>
      <protection locked="true" hidden="false"/>
    </xf>
    <xf numFmtId="170" fontId="22" fillId="46" borderId="1" xfId="0" applyFont="true" applyBorder="true" applyAlignment="true" applyProtection="false">
      <alignment horizontal="center" vertical="center" textRotation="0" wrapText="true" indent="0" shrinkToFit="false"/>
      <protection locked="true" hidden="false"/>
    </xf>
    <xf numFmtId="167" fontId="22" fillId="52" borderId="1" xfId="0" applyFont="true" applyBorder="true" applyAlignment="true" applyProtection="false">
      <alignment horizontal="center" vertical="center" textRotation="0" wrapText="true" indent="0" shrinkToFit="false"/>
      <protection locked="true" hidden="false"/>
    </xf>
    <xf numFmtId="166" fontId="22" fillId="43" borderId="1"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30" fillId="0" borderId="0" xfId="0" applyFont="true" applyBorder="true" applyAlignment="true" applyProtection="false">
      <alignment horizontal="left" vertical="bottom" textRotation="0" wrapText="false" indent="0" shrinkToFit="false"/>
      <protection locked="true" hidden="false"/>
    </xf>
    <xf numFmtId="164" fontId="14" fillId="28" borderId="1" xfId="0" applyFont="true" applyBorder="true" applyAlignment="true" applyProtection="false">
      <alignment horizontal="left" vertical="center" textRotation="0" wrapText="true" indent="0" shrinkToFit="false"/>
      <protection locked="true" hidden="false"/>
    </xf>
    <xf numFmtId="164" fontId="13" fillId="54" borderId="1" xfId="0" applyFont="true" applyBorder="true" applyAlignment="true" applyProtection="false">
      <alignment horizontal="center" vertical="center" textRotation="0" wrapText="true" indent="0" shrinkToFit="false"/>
      <protection locked="true" hidden="false"/>
    </xf>
    <xf numFmtId="164" fontId="8" fillId="55" borderId="1" xfId="0" applyFont="true" applyBorder="true" applyAlignment="true" applyProtection="false">
      <alignment horizontal="center" vertical="center" textRotation="0" wrapText="true" indent="0" shrinkToFit="false"/>
      <protection locked="true" hidden="false"/>
    </xf>
    <xf numFmtId="170" fontId="10" fillId="33" borderId="1" xfId="0" applyFont="true" applyBorder="true" applyAlignment="true" applyProtection="false">
      <alignment horizontal="center" vertical="center" textRotation="0" wrapText="true" indent="0" shrinkToFit="false"/>
      <protection locked="true" hidden="false"/>
    </xf>
    <xf numFmtId="164" fontId="9" fillId="32" borderId="1" xfId="0" applyFont="true" applyBorder="true" applyAlignment="true" applyProtection="false">
      <alignment horizontal="center" vertical="center" textRotation="0" wrapText="true" indent="0" shrinkToFit="false"/>
      <protection locked="true" hidden="false"/>
    </xf>
    <xf numFmtId="166" fontId="9" fillId="32" borderId="1" xfId="0" applyFont="true" applyBorder="true" applyAlignment="true" applyProtection="false">
      <alignment horizontal="center" vertical="center" textRotation="0" wrapText="true" indent="0" shrinkToFit="false"/>
      <protection locked="true" hidden="false"/>
    </xf>
    <xf numFmtId="166" fontId="10" fillId="56" borderId="1" xfId="0" applyFont="true" applyBorder="true" applyAlignment="true" applyProtection="false">
      <alignment horizontal="center" vertical="center" textRotation="0" wrapText="true" indent="0" shrinkToFit="false"/>
      <protection locked="true" hidden="false"/>
    </xf>
    <xf numFmtId="170" fontId="10" fillId="43" borderId="1" xfId="0" applyFont="true" applyBorder="true" applyAlignment="true" applyProtection="false">
      <alignment horizontal="center" vertical="center" textRotation="0" wrapText="true" indent="0" shrinkToFit="false"/>
      <protection locked="true" hidden="false"/>
    </xf>
    <xf numFmtId="164" fontId="9" fillId="42" borderId="1" xfId="0" applyFont="true" applyBorder="true" applyAlignment="true" applyProtection="false">
      <alignment horizontal="center" vertical="center" textRotation="0" wrapText="true" indent="0" shrinkToFit="false"/>
      <protection locked="true" hidden="false"/>
    </xf>
    <xf numFmtId="166" fontId="9" fillId="42" borderId="1" xfId="0" applyFont="true" applyBorder="true" applyAlignment="true" applyProtection="false">
      <alignment horizontal="center" vertical="center" textRotation="0" wrapText="true" indent="0" shrinkToFit="false"/>
      <protection locked="true" hidden="false"/>
    </xf>
    <xf numFmtId="166" fontId="10" fillId="53" borderId="1" xfId="0" applyFont="true" applyBorder="true" applyAlignment="true" applyProtection="false">
      <alignment horizontal="center" vertical="center" textRotation="0" wrapText="true" indent="0" shrinkToFit="false"/>
      <protection locked="true" hidden="false"/>
    </xf>
    <xf numFmtId="167" fontId="16" fillId="4" borderId="1" xfId="0" applyFont="true" applyBorder="true" applyAlignment="true" applyProtection="false">
      <alignment horizontal="center" vertical="center" textRotation="0" wrapText="true" indent="0" shrinkToFit="false"/>
      <protection locked="true" hidden="false"/>
    </xf>
    <xf numFmtId="164" fontId="30" fillId="7" borderId="1" xfId="0" applyFont="true" applyBorder="true" applyAlignment="true" applyProtection="false">
      <alignment horizontal="center" vertical="center" textRotation="0" wrapText="true" indent="0" shrinkToFit="false"/>
      <protection locked="true" hidden="false"/>
    </xf>
    <xf numFmtId="167" fontId="30" fillId="7" borderId="1" xfId="0" applyFont="true" applyBorder="true" applyAlignment="true" applyProtection="false">
      <alignment horizontal="center" vertical="center" textRotation="0" wrapText="true" indent="0" shrinkToFit="false"/>
      <protection locked="true" hidden="false"/>
    </xf>
    <xf numFmtId="164" fontId="30" fillId="6" borderId="1" xfId="0" applyFont="true" applyBorder="true" applyAlignment="true" applyProtection="false">
      <alignment horizontal="center" vertical="center" textRotation="0" wrapText="true" indent="0" shrinkToFit="false"/>
      <protection locked="true" hidden="false"/>
    </xf>
    <xf numFmtId="167" fontId="30" fillId="6" borderId="1" xfId="0" applyFont="true" applyBorder="true" applyAlignment="true" applyProtection="false">
      <alignment horizontal="center" vertical="center" textRotation="0" wrapText="true" indent="0" shrinkToFit="false"/>
      <protection locked="true" hidden="false"/>
    </xf>
    <xf numFmtId="164" fontId="31" fillId="9"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8" fontId="10" fillId="6" borderId="1" xfId="0" applyFont="true" applyBorder="true" applyAlignment="true" applyProtection="false">
      <alignment horizontal="center" vertical="center" textRotation="0" wrapText="true" indent="0" shrinkToFit="false"/>
      <protection locked="true" hidden="false"/>
    </xf>
    <xf numFmtId="167" fontId="10"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8" fontId="10" fillId="7" borderId="1" xfId="0" applyFont="true" applyBorder="true" applyAlignment="true" applyProtection="false">
      <alignment horizontal="center" vertical="center" textRotation="0" wrapText="true" indent="0" shrinkToFit="false"/>
      <protection locked="true" hidden="false"/>
    </xf>
    <xf numFmtId="167" fontId="10" fillId="7"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8" fontId="16" fillId="4" borderId="1"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center" vertical="center"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center" vertical="center" textRotation="0" wrapText="true" indent="0" shrinkToFit="false"/>
      <protection locked="true" hidden="false"/>
    </xf>
    <xf numFmtId="169" fontId="8"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9" fontId="10" fillId="6" borderId="1" xfId="0" applyFont="true" applyBorder="true" applyAlignment="true" applyProtection="false">
      <alignment horizontal="center" vertical="center" textRotation="0" wrapText="true" indent="0" shrinkToFit="false"/>
      <protection locked="true" hidden="false"/>
    </xf>
    <xf numFmtId="169" fontId="10" fillId="7" borderId="1" xfId="0" applyFont="true" applyBorder="true" applyAlignment="true" applyProtection="false">
      <alignment horizontal="center" vertical="center" textRotation="0" wrapText="true" indent="0" shrinkToFit="false"/>
      <protection locked="true" hidden="false"/>
    </xf>
    <xf numFmtId="169" fontId="16" fillId="4" borderId="1" xfId="0" applyFont="true" applyBorder="true" applyAlignment="true" applyProtection="false">
      <alignment horizontal="center" vertical="center" textRotation="0" wrapText="true" indent="0" shrinkToFit="false"/>
      <protection locked="true" hidden="false"/>
    </xf>
    <xf numFmtId="164" fontId="30" fillId="4" borderId="1" xfId="0" applyFont="true" applyBorder="true" applyAlignment="false" applyProtection="false">
      <alignment horizontal="general" vertical="bottom" textRotation="0" wrapText="fals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33" fillId="57"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58" borderId="1" xfId="0" applyFont="true" applyBorder="true" applyAlignment="true" applyProtection="false">
      <alignment horizontal="center" vertical="center" textRotation="0" wrapText="true" indent="0" shrinkToFit="false"/>
      <protection locked="true" hidden="false"/>
    </xf>
    <xf numFmtId="164" fontId="5" fillId="6" borderId="5" xfId="0" applyFont="true" applyBorder="true" applyAlignment="true" applyProtection="false">
      <alignment horizontal="center" vertical="center" textRotation="0" wrapText="false" indent="0" shrinkToFit="false"/>
      <protection locked="true" hidden="false"/>
    </xf>
    <xf numFmtId="164" fontId="5" fillId="6" borderId="5" xfId="0" applyFont="true" applyBorder="true" applyAlignment="true" applyProtection="false">
      <alignment horizontal="left" vertical="center" textRotation="0" wrapText="true" indent="0" shrinkToFit="false"/>
      <protection locked="true" hidden="false"/>
    </xf>
    <xf numFmtId="164" fontId="5" fillId="6" borderId="5"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right" vertical="center" textRotation="0" wrapText="true" indent="0" shrinkToFit="false"/>
      <protection locked="true" hidden="false"/>
    </xf>
    <xf numFmtId="165" fontId="6" fillId="0" borderId="5" xfId="0" applyFont="true" applyBorder="true" applyAlignment="true" applyProtection="false">
      <alignment horizontal="right" vertical="center" textRotation="0" wrapText="false" indent="0" shrinkToFit="false"/>
      <protection locked="true" hidden="false"/>
    </xf>
    <xf numFmtId="165" fontId="6" fillId="46" borderId="5" xfId="0" applyFont="true" applyBorder="true" applyAlignment="true" applyProtection="false">
      <alignment horizontal="right" vertical="center" textRotation="0" wrapText="false" indent="0" shrinkToFit="false"/>
      <protection locked="true" hidden="false"/>
    </xf>
    <xf numFmtId="171" fontId="6" fillId="0" borderId="5" xfId="0" applyFont="true" applyBorder="true" applyAlignment="true" applyProtection="false">
      <alignment horizontal="right" vertical="center" textRotation="0" wrapText="false" indent="0" shrinkToFit="false"/>
      <protection locked="true" hidden="false"/>
    </xf>
    <xf numFmtId="172" fontId="6" fillId="0" borderId="5" xfId="0" applyFont="true" applyBorder="true" applyAlignment="true" applyProtection="false">
      <alignment horizontal="right" vertical="center" textRotation="0" wrapText="false" indent="0" shrinkToFit="false"/>
      <protection locked="true" hidden="false"/>
    </xf>
    <xf numFmtId="164" fontId="5" fillId="59" borderId="6" xfId="0" applyFont="true" applyBorder="true" applyAlignment="true" applyProtection="false">
      <alignment horizontal="right" vertical="center" textRotation="0" wrapText="false" indent="0" shrinkToFit="false"/>
      <protection locked="true" hidden="false"/>
    </xf>
    <xf numFmtId="164" fontId="0" fillId="59" borderId="6" xfId="0" applyFont="false" applyBorder="true" applyAlignment="false" applyProtection="false">
      <alignment horizontal="general" vertical="bottom" textRotation="0" wrapText="false" indent="0" shrinkToFit="false"/>
      <protection locked="true" hidden="false"/>
    </xf>
    <xf numFmtId="172" fontId="5" fillId="59" borderId="6" xfId="0" applyFont="true" applyBorder="true" applyAlignment="true" applyProtection="false">
      <alignment horizontal="right" vertical="center" textRotation="0" wrapText="false" indent="0" shrinkToFit="false"/>
      <protection locked="true" hidden="false"/>
    </xf>
    <xf numFmtId="164" fontId="34" fillId="57" borderId="0" xfId="0" applyFont="true" applyBorder="true" applyAlignment="true" applyProtection="false">
      <alignment horizontal="center" vertical="center"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5" fillId="2" borderId="1" xfId="0" applyFont="true" applyBorder="true" applyAlignment="true" applyProtection="false">
      <alignment horizontal="center" vertical="center" textRotation="0" wrapText="true" indent="0" shrinkToFit="false"/>
      <protection locked="true" hidden="false"/>
    </xf>
    <xf numFmtId="164" fontId="35" fillId="58" borderId="1" xfId="0" applyFont="true" applyBorder="true" applyAlignment="true" applyProtection="false">
      <alignment horizontal="center" vertical="center" textRotation="0" wrapText="true" indent="0" shrinkToFit="false"/>
      <protection locked="true" hidden="false"/>
    </xf>
    <xf numFmtId="164" fontId="35" fillId="6" borderId="5" xfId="0" applyFont="true" applyBorder="true" applyAlignment="true" applyProtection="false">
      <alignment horizontal="center" vertical="center" textRotation="0" wrapText="false" indent="0" shrinkToFit="false"/>
      <protection locked="true" hidden="false"/>
    </xf>
    <xf numFmtId="164" fontId="35" fillId="6" borderId="5" xfId="0" applyFont="true" applyBorder="true" applyAlignment="true" applyProtection="false">
      <alignment horizontal="left" vertical="center" textRotation="0" wrapText="true" indent="0" shrinkToFit="false"/>
      <protection locked="true" hidden="false"/>
    </xf>
    <xf numFmtId="164" fontId="35" fillId="6" borderId="5" xfId="0" applyFont="true" applyBorder="true" applyAlignment="false" applyProtection="false">
      <alignment horizontal="general" vertical="bottom" textRotation="0" wrapText="false" indent="0" shrinkToFit="false"/>
      <protection locked="true" hidden="false"/>
    </xf>
    <xf numFmtId="164" fontId="36" fillId="0" borderId="5" xfId="0" applyFont="true" applyBorder="true" applyAlignment="true" applyProtection="false">
      <alignment horizontal="center" vertical="center" textRotation="0" wrapText="false" indent="0" shrinkToFit="false"/>
      <protection locked="true" hidden="false"/>
    </xf>
    <xf numFmtId="164" fontId="36" fillId="0" borderId="5" xfId="0" applyFont="true" applyBorder="true" applyAlignment="true" applyProtection="false">
      <alignment horizontal="right" vertical="center" textRotation="0" wrapText="true" indent="0" shrinkToFit="false"/>
      <protection locked="true" hidden="false"/>
    </xf>
    <xf numFmtId="165" fontId="36" fillId="0" borderId="5" xfId="0" applyFont="true" applyBorder="true" applyAlignment="true" applyProtection="false">
      <alignment horizontal="right" vertical="center" textRotation="0" wrapText="false" indent="0" shrinkToFit="false"/>
      <protection locked="true" hidden="false"/>
    </xf>
    <xf numFmtId="165" fontId="36" fillId="46" borderId="5" xfId="0" applyFont="true" applyBorder="true" applyAlignment="true" applyProtection="false">
      <alignment horizontal="right" vertical="center" textRotation="0" wrapText="false" indent="0" shrinkToFit="false"/>
      <protection locked="true" hidden="false"/>
    </xf>
    <xf numFmtId="171" fontId="36" fillId="0" borderId="5" xfId="0" applyFont="true" applyBorder="true" applyAlignment="true" applyProtection="false">
      <alignment horizontal="right" vertical="center" textRotation="0" wrapText="false" indent="0" shrinkToFit="false"/>
      <protection locked="true" hidden="false"/>
    </xf>
    <xf numFmtId="173" fontId="36" fillId="0" borderId="5" xfId="0" applyFont="true" applyBorder="true" applyAlignment="true" applyProtection="false">
      <alignment horizontal="right" vertical="center" textRotation="0" wrapText="false" indent="0" shrinkToFit="false"/>
      <protection locked="true" hidden="false"/>
    </xf>
    <xf numFmtId="164" fontId="35" fillId="59" borderId="6" xfId="0" applyFont="true" applyBorder="true" applyAlignment="true" applyProtection="false">
      <alignment horizontal="right" vertical="center" textRotation="0" wrapText="false" indent="0" shrinkToFit="false"/>
      <protection locked="true" hidden="false"/>
    </xf>
    <xf numFmtId="173" fontId="35" fillId="59" borderId="6"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9C0006"/>
      </font>
      <fill>
        <patternFill>
          <bgColor rgb="FFFFC7CE"/>
        </patternFill>
      </fill>
    </dxf>
    <dxf>
      <font>
        <name val="Arial"/>
        <charset val="1"/>
        <family val="0"/>
        <b val="1"/>
        <color rgb="FF9C0006"/>
        <sz val="10"/>
      </font>
      <fill>
        <patternFill>
          <bgColor rgb="FFFFC7CE"/>
        </patternFill>
      </fill>
    </dxf>
  </dxfs>
  <colors>
    <indexedColors>
      <rgbColor rgb="FF000000"/>
      <rgbColor rgb="FFFFFFFF"/>
      <rgbColor rgb="FFFF0000"/>
      <rgbColor rgb="FFE2EFDA"/>
      <rgbColor rgb="FF0000FF"/>
      <rgbColor rgb="FFFFFF00"/>
      <rgbColor rgb="FFEDE4F5"/>
      <rgbColor rgb="FFD6E4F0"/>
      <rgbColor rgb="FF9C0006"/>
      <rgbColor rgb="FFE8E8E8"/>
      <rgbColor rgb="FFFFF9E6"/>
      <rgbColor rgb="FFC5E0B4"/>
      <rgbColor rgb="FFF3ECFA"/>
      <rgbColor rgb="FFD9E1F2"/>
      <rgbColor rgb="FFB2B2B2"/>
      <rgbColor rgb="FFB4C6E7"/>
      <rgbColor rgb="FF9370DB"/>
      <rgbColor rgb="FFD9D8D7"/>
      <rgbColor rgb="FFFFF9C4"/>
      <rgbColor rgb="FFD5F0F0"/>
      <rgbColor rgb="FFEBF1F8"/>
      <rgbColor rgb="FFFFC7CE"/>
      <rgbColor rgb="FF2E75B6"/>
      <rgbColor rgb="FFDECCEE"/>
      <rgbColor rgb="FFFFFDE7"/>
      <rgbColor rgb="FFFCE4D6"/>
      <rgbColor rgb="FFF0D060"/>
      <rgbColor rgb="FFD9E2F3"/>
      <rgbColor rgb="FFF0F0F0"/>
      <rgbColor rgb="FFF2F2F2"/>
      <rgbColor rgb="FFDDEBF7"/>
      <rgbColor rgb="FFFFF4E5"/>
      <rgbColor rgb="FFD6DCE4"/>
      <rgbColor rgb="FFE8F7F7"/>
      <rgbColor rgb="FFD3F0CD"/>
      <rgbColor rgb="FFFFF2CC"/>
      <rgbColor rgb="FF9DC3E6"/>
      <rgbColor rgb="FFF4B084"/>
      <rgbColor rgb="FFC8AEDE"/>
      <rgbColor rgb="FFF4D9A0"/>
      <rgbColor rgb="FF4472C4"/>
      <rgbColor rgb="FF8FD1D1"/>
      <rgbColor rgb="FF78B650"/>
      <rgbColor rgb="FFFFC000"/>
      <rgbColor rgb="FFE0A32D"/>
      <rgbColor rgb="FFCC7906"/>
      <rgbColor rgb="FFBDD7EE"/>
      <rgbColor rgb="FFADAAAF"/>
      <rgbColor rgb="FF154A49"/>
      <rgbColor rgb="FFB4DEED"/>
      <rgbColor rgb="FFF0F7EC"/>
      <rgbColor rgb="FFFDECD0"/>
      <rgbColor rgb="FFFCE4CC"/>
      <rgbColor rgb="FFE8D5F5"/>
      <rgbColor rgb="FF234F71"/>
      <rgbColor rgb="FFFDEBD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4"/>
    <col collapsed="false" customWidth="true" hidden="false" outlineLevel="0" max="2" min="2" style="0" width="75"/>
    <col collapsed="false" customWidth="true" hidden="false" outlineLevel="0" max="3" min="3" style="0" width="8"/>
    <col collapsed="false" customWidth="true" hidden="false" outlineLevel="0" max="4" min="4" style="0" width="16"/>
  </cols>
  <sheetData>
    <row r="1" customFormat="false" ht="24" hidden="false" customHeight="true" outlineLevel="0" collapsed="false">
      <c r="A1" s="1" t="s">
        <v>0</v>
      </c>
      <c r="B1" s="1" t="s">
        <v>1</v>
      </c>
      <c r="C1" s="1" t="s">
        <v>2</v>
      </c>
      <c r="D1" s="1" t="s">
        <v>3</v>
      </c>
    </row>
    <row r="2" customFormat="false" ht="19.5" hidden="false" customHeight="true" outlineLevel="0" collapsed="false">
      <c r="A2" s="2" t="s">
        <v>4</v>
      </c>
      <c r="B2" s="3" t="s">
        <v>5</v>
      </c>
      <c r="C2" s="2"/>
      <c r="D2" s="4"/>
    </row>
    <row r="3" customFormat="false" ht="36" hidden="false" customHeight="true" outlineLevel="0" collapsed="false">
      <c r="A3" s="5" t="s">
        <v>6</v>
      </c>
      <c r="B3" s="6" t="s">
        <v>7</v>
      </c>
      <c r="C3" s="5" t="s">
        <v>8</v>
      </c>
      <c r="D3" s="7" t="n">
        <v>172.56</v>
      </c>
    </row>
    <row r="4" customFormat="false" ht="19.5" hidden="false" customHeight="true" outlineLevel="0" collapsed="false">
      <c r="A4" s="2" t="s">
        <v>9</v>
      </c>
      <c r="B4" s="3" t="s">
        <v>10</v>
      </c>
      <c r="C4" s="2"/>
      <c r="D4" s="4"/>
    </row>
    <row r="5" customFormat="false" ht="51.75" hidden="false" customHeight="true" outlineLevel="0" collapsed="false">
      <c r="A5" s="2" t="s">
        <v>11</v>
      </c>
      <c r="B5" s="3" t="s">
        <v>12</v>
      </c>
      <c r="C5" s="2"/>
      <c r="D5" s="4"/>
    </row>
    <row r="6" customFormat="false" ht="19.5" hidden="false" customHeight="true" outlineLevel="0" collapsed="false">
      <c r="A6" s="2" t="s">
        <v>13</v>
      </c>
      <c r="B6" s="3" t="s">
        <v>14</v>
      </c>
      <c r="C6" s="2"/>
      <c r="D6" s="4"/>
    </row>
    <row r="7" customFormat="false" ht="19.5" hidden="false" customHeight="true" outlineLevel="0" collapsed="false">
      <c r="A7" s="5"/>
      <c r="B7" s="8" t="s">
        <v>15</v>
      </c>
      <c r="C7" s="5" t="s">
        <v>8</v>
      </c>
      <c r="D7" s="7" t="n">
        <v>163.87</v>
      </c>
    </row>
    <row r="8" customFormat="false" ht="19.5" hidden="false" customHeight="true" outlineLevel="0" collapsed="false">
      <c r="A8" s="5"/>
      <c r="B8" s="8" t="s">
        <v>16</v>
      </c>
      <c r="C8" s="5" t="s">
        <v>17</v>
      </c>
      <c r="D8" s="7" t="n">
        <v>409.68</v>
      </c>
    </row>
    <row r="9" customFormat="false" ht="19.5" hidden="false" customHeight="true" outlineLevel="0" collapsed="false">
      <c r="A9" s="5"/>
      <c r="B9" s="8" t="s">
        <v>18</v>
      </c>
      <c r="C9" s="5" t="s">
        <v>19</v>
      </c>
      <c r="D9" s="7" t="n">
        <v>16960.55</v>
      </c>
    </row>
    <row r="10" customFormat="false" ht="19.5" hidden="false" customHeight="true" outlineLevel="0" collapsed="false">
      <c r="A10" s="2" t="s">
        <v>20</v>
      </c>
      <c r="B10" s="3" t="s">
        <v>21</v>
      </c>
      <c r="C10" s="2"/>
      <c r="D10" s="4"/>
    </row>
    <row r="11" customFormat="false" ht="19.5" hidden="false" customHeight="true" outlineLevel="0" collapsed="false">
      <c r="A11" s="5"/>
      <c r="B11" s="8" t="s">
        <v>15</v>
      </c>
      <c r="C11" s="5" t="s">
        <v>8</v>
      </c>
      <c r="D11" s="7" t="n">
        <v>155.53</v>
      </c>
    </row>
    <row r="12" customFormat="false" ht="19.5" hidden="false" customHeight="true" outlineLevel="0" collapsed="false">
      <c r="A12" s="5"/>
      <c r="B12" s="8" t="s">
        <v>16</v>
      </c>
      <c r="C12" s="5" t="s">
        <v>17</v>
      </c>
      <c r="D12" s="7" t="n">
        <v>388.83</v>
      </c>
    </row>
    <row r="13" customFormat="false" ht="19.5" hidden="false" customHeight="true" outlineLevel="0" collapsed="false">
      <c r="A13" s="5"/>
      <c r="B13" s="8" t="s">
        <v>18</v>
      </c>
      <c r="C13" s="5" t="s">
        <v>19</v>
      </c>
      <c r="D13" s="7" t="n">
        <v>19674.67</v>
      </c>
    </row>
    <row r="14" customFormat="false" ht="19.5" hidden="false" customHeight="true" outlineLevel="0" collapsed="false">
      <c r="A14" s="2" t="s">
        <v>22</v>
      </c>
      <c r="B14" s="3" t="s">
        <v>23</v>
      </c>
      <c r="C14" s="2"/>
      <c r="D14" s="4"/>
    </row>
    <row r="15" customFormat="false" ht="19.5" hidden="false" customHeight="true" outlineLevel="0" collapsed="false">
      <c r="A15" s="5"/>
      <c r="B15" s="8" t="s">
        <v>15</v>
      </c>
      <c r="C15" s="5" t="s">
        <v>8</v>
      </c>
      <c r="D15" s="7" t="n">
        <v>61.44</v>
      </c>
    </row>
    <row r="16" customFormat="false" ht="19.5" hidden="false" customHeight="true" outlineLevel="0" collapsed="false">
      <c r="A16" s="5"/>
      <c r="B16" s="8" t="s">
        <v>16</v>
      </c>
      <c r="C16" s="5" t="s">
        <v>17</v>
      </c>
      <c r="D16" s="7" t="n">
        <v>688.74</v>
      </c>
    </row>
    <row r="17" customFormat="false" ht="19.5" hidden="false" customHeight="true" outlineLevel="0" collapsed="false">
      <c r="A17" s="5"/>
      <c r="B17" s="8" t="s">
        <v>18</v>
      </c>
      <c r="C17" s="5" t="s">
        <v>19</v>
      </c>
      <c r="D17" s="7" t="n">
        <v>8125.44</v>
      </c>
    </row>
    <row r="18" customFormat="false" ht="19.5" hidden="false" customHeight="true" outlineLevel="0" collapsed="false">
      <c r="A18" s="2" t="s">
        <v>24</v>
      </c>
      <c r="B18" s="3" t="s">
        <v>25</v>
      </c>
      <c r="C18" s="2"/>
      <c r="D18" s="4"/>
    </row>
    <row r="19" customFormat="false" ht="51.75" hidden="false" customHeight="true" outlineLevel="0" collapsed="false">
      <c r="A19" s="2" t="s">
        <v>26</v>
      </c>
      <c r="B19" s="3" t="s">
        <v>27</v>
      </c>
      <c r="C19" s="2"/>
      <c r="D19" s="4"/>
    </row>
    <row r="20" customFormat="false" ht="19.5" hidden="false" customHeight="true" outlineLevel="0" collapsed="false">
      <c r="A20" s="2" t="s">
        <v>28</v>
      </c>
      <c r="B20" s="3" t="s">
        <v>29</v>
      </c>
      <c r="C20" s="2"/>
      <c r="D20" s="4"/>
    </row>
    <row r="21" customFormat="false" ht="19.5" hidden="false" customHeight="true" outlineLevel="0" collapsed="false">
      <c r="A21" s="5"/>
      <c r="B21" s="8" t="s">
        <v>15</v>
      </c>
      <c r="C21" s="5" t="s">
        <v>8</v>
      </c>
      <c r="D21" s="7" t="n">
        <v>357.21</v>
      </c>
    </row>
    <row r="22" customFormat="false" ht="19.5" hidden="false" customHeight="true" outlineLevel="0" collapsed="false">
      <c r="A22" s="5"/>
      <c r="B22" s="8" t="s">
        <v>16</v>
      </c>
      <c r="C22" s="5" t="s">
        <v>17</v>
      </c>
      <c r="D22" s="7" t="n">
        <v>3597.09</v>
      </c>
    </row>
    <row r="23" customFormat="false" ht="19.5" hidden="false" customHeight="true" outlineLevel="0" collapsed="false">
      <c r="A23" s="5"/>
      <c r="B23" s="8" t="s">
        <v>18</v>
      </c>
      <c r="C23" s="5" t="s">
        <v>19</v>
      </c>
      <c r="D23" s="7" t="n">
        <v>53583.49</v>
      </c>
    </row>
    <row r="24" customFormat="false" ht="19.5" hidden="false" customHeight="true" outlineLevel="0" collapsed="false">
      <c r="A24" s="2" t="s">
        <v>30</v>
      </c>
      <c r="B24" s="3" t="s">
        <v>31</v>
      </c>
      <c r="C24" s="2"/>
      <c r="D24" s="4"/>
    </row>
    <row r="25" customFormat="false" ht="19.5" hidden="false" customHeight="true" outlineLevel="0" collapsed="false">
      <c r="A25" s="5"/>
      <c r="B25" s="8" t="s">
        <v>15</v>
      </c>
      <c r="C25" s="5" t="s">
        <v>8</v>
      </c>
      <c r="D25" s="7" t="n">
        <v>175.75</v>
      </c>
    </row>
    <row r="26" customFormat="false" ht="19.5" hidden="false" customHeight="true" outlineLevel="0" collapsed="false">
      <c r="A26" s="5"/>
      <c r="B26" s="8" t="s">
        <v>16</v>
      </c>
      <c r="C26" s="5" t="s">
        <v>17</v>
      </c>
      <c r="D26" s="7" t="n">
        <v>1933.25</v>
      </c>
    </row>
    <row r="27" customFormat="false" ht="19.5" hidden="false" customHeight="true" outlineLevel="0" collapsed="false">
      <c r="A27" s="5"/>
      <c r="B27" s="8" t="s">
        <v>18</v>
      </c>
      <c r="C27" s="5" t="s">
        <v>19</v>
      </c>
      <c r="D27" s="7" t="n">
        <v>58612.63</v>
      </c>
    </row>
    <row r="28" customFormat="false" ht="19.5" hidden="false" customHeight="true" outlineLevel="0" collapsed="false">
      <c r="A28" s="2" t="s">
        <v>32</v>
      </c>
      <c r="B28" s="3" t="s">
        <v>33</v>
      </c>
      <c r="C28" s="2"/>
      <c r="D28" s="4"/>
    </row>
    <row r="29" customFormat="false" ht="19.5" hidden="false" customHeight="true" outlineLevel="0" collapsed="false">
      <c r="A29" s="5"/>
      <c r="B29" s="8" t="s">
        <v>15</v>
      </c>
      <c r="C29" s="5" t="s">
        <v>8</v>
      </c>
      <c r="D29" s="7" t="n">
        <v>55.41</v>
      </c>
    </row>
    <row r="30" customFormat="false" ht="19.5" hidden="false" customHeight="true" outlineLevel="0" collapsed="false">
      <c r="A30" s="5"/>
      <c r="B30" s="8" t="s">
        <v>16</v>
      </c>
      <c r="C30" s="5" t="s">
        <v>17</v>
      </c>
      <c r="D30" s="7" t="n">
        <v>554.1</v>
      </c>
    </row>
    <row r="31" customFormat="false" ht="19.5" hidden="false" customHeight="true" outlineLevel="0" collapsed="false">
      <c r="A31" s="5"/>
      <c r="B31" s="8" t="s">
        <v>18</v>
      </c>
      <c r="C31" s="5" t="s">
        <v>19</v>
      </c>
      <c r="D31" s="7" t="n">
        <v>12744.3</v>
      </c>
    </row>
    <row r="32" customFormat="false" ht="19.5" hidden="false" customHeight="true" outlineLevel="0" collapsed="false">
      <c r="A32" s="9" t="s">
        <v>34</v>
      </c>
      <c r="B32" s="10" t="s">
        <v>35</v>
      </c>
      <c r="C32" s="9"/>
      <c r="D32" s="11"/>
    </row>
    <row r="33" customFormat="false" ht="19.5" hidden="false" customHeight="true" outlineLevel="0" collapsed="false">
      <c r="A33" s="5"/>
      <c r="B33" s="8" t="s">
        <v>15</v>
      </c>
      <c r="C33" s="5" t="s">
        <v>8</v>
      </c>
      <c r="D33" s="7" t="n">
        <v>168.52</v>
      </c>
    </row>
    <row r="34" customFormat="false" ht="19.5" hidden="false" customHeight="true" outlineLevel="0" collapsed="false">
      <c r="A34" s="5"/>
      <c r="B34" s="8" t="s">
        <v>16</v>
      </c>
      <c r="C34" s="5" t="s">
        <v>17</v>
      </c>
      <c r="D34" s="7" t="n">
        <v>1862.19</v>
      </c>
    </row>
    <row r="35" customFormat="false" ht="19.5" hidden="false" customHeight="true" outlineLevel="0" collapsed="false">
      <c r="A35" s="5"/>
      <c r="B35" s="8" t="s">
        <v>18</v>
      </c>
      <c r="C35" s="5" t="s">
        <v>19</v>
      </c>
      <c r="D35" s="7" t="n">
        <v>38760.52</v>
      </c>
    </row>
    <row r="36" customFormat="false" ht="19.5" hidden="false" customHeight="true" outlineLevel="0" collapsed="false">
      <c r="A36" s="2" t="s">
        <v>36</v>
      </c>
      <c r="B36" s="3" t="s">
        <v>37</v>
      </c>
      <c r="C36" s="2"/>
      <c r="D36" s="4"/>
    </row>
    <row r="37" customFormat="false" ht="19.5" hidden="false" customHeight="true" outlineLevel="0" collapsed="false">
      <c r="A37" s="5"/>
      <c r="B37" s="8" t="s">
        <v>15</v>
      </c>
      <c r="C37" s="5" t="s">
        <v>8</v>
      </c>
      <c r="D37" s="7" t="n">
        <v>384.7</v>
      </c>
    </row>
    <row r="38" customFormat="false" ht="19.5" hidden="false" customHeight="true" outlineLevel="0" collapsed="false">
      <c r="A38" s="5"/>
      <c r="B38" s="8" t="s">
        <v>16</v>
      </c>
      <c r="C38" s="5" t="s">
        <v>17</v>
      </c>
      <c r="D38" s="7" t="n">
        <v>3847</v>
      </c>
    </row>
    <row r="39" customFormat="false" ht="19.5" hidden="false" customHeight="true" outlineLevel="0" collapsed="false">
      <c r="A39" s="5"/>
      <c r="B39" s="8" t="s">
        <v>18</v>
      </c>
      <c r="C39" s="5" t="s">
        <v>19</v>
      </c>
      <c r="D39" s="7" t="n">
        <v>66360.75</v>
      </c>
    </row>
    <row r="40" customFormat="false" ht="19.5" hidden="false" customHeight="true" outlineLevel="0" collapsed="false">
      <c r="A40" s="2" t="s">
        <v>38</v>
      </c>
      <c r="B40" s="3" t="s">
        <v>39</v>
      </c>
      <c r="C40" s="2"/>
      <c r="D40" s="4"/>
    </row>
    <row r="41" customFormat="false" ht="19.5" hidden="false" customHeight="true" outlineLevel="0" collapsed="false">
      <c r="A41" s="5"/>
      <c r="B41" s="8" t="s">
        <v>15</v>
      </c>
      <c r="C41" s="5" t="s">
        <v>8</v>
      </c>
      <c r="D41" s="7" t="n">
        <v>145.35</v>
      </c>
    </row>
    <row r="42" customFormat="false" ht="19.5" hidden="false" customHeight="true" outlineLevel="0" collapsed="false">
      <c r="A42" s="5"/>
      <c r="B42" s="8" t="s">
        <v>16</v>
      </c>
      <c r="C42" s="5" t="s">
        <v>17</v>
      </c>
      <c r="D42" s="7" t="n">
        <v>726.75</v>
      </c>
    </row>
    <row r="43" customFormat="false" ht="19.5" hidden="false" customHeight="true" outlineLevel="0" collapsed="false">
      <c r="A43" s="5"/>
      <c r="B43" s="8" t="s">
        <v>18</v>
      </c>
      <c r="C43" s="5" t="s">
        <v>19</v>
      </c>
      <c r="D43" s="7" t="n">
        <v>20058.3</v>
      </c>
    </row>
    <row r="44" customFormat="false" ht="19.5" hidden="false" customHeight="true" outlineLevel="0" collapsed="false">
      <c r="A44" s="2" t="s">
        <v>40</v>
      </c>
      <c r="B44" s="3" t="s">
        <v>41</v>
      </c>
      <c r="C44" s="2"/>
      <c r="D44" s="4"/>
    </row>
    <row r="45" customFormat="false" ht="19.5" hidden="false" customHeight="true" outlineLevel="0" collapsed="false">
      <c r="A45" s="5"/>
      <c r="B45" s="8" t="s">
        <v>15</v>
      </c>
      <c r="C45" s="5" t="s">
        <v>8</v>
      </c>
      <c r="D45" s="7" t="n">
        <v>60</v>
      </c>
    </row>
    <row r="46" customFormat="false" ht="19.5" hidden="false" customHeight="true" outlineLevel="0" collapsed="false">
      <c r="A46" s="5"/>
      <c r="B46" s="8" t="s">
        <v>16</v>
      </c>
      <c r="C46" s="5" t="s">
        <v>17</v>
      </c>
      <c r="D46" s="7" t="n">
        <v>600</v>
      </c>
    </row>
    <row r="47" customFormat="false" ht="19.5" hidden="false" customHeight="true" outlineLevel="0" collapsed="false">
      <c r="A47" s="5"/>
      <c r="B47" s="8" t="s">
        <v>18</v>
      </c>
      <c r="C47" s="5" t="s">
        <v>19</v>
      </c>
      <c r="D47" s="7" t="n">
        <v>5520</v>
      </c>
    </row>
    <row r="48" customFormat="false" ht="51.75" hidden="false" customHeight="true" outlineLevel="0" collapsed="false">
      <c r="A48" s="2" t="s">
        <v>42</v>
      </c>
      <c r="B48" s="3" t="s">
        <v>43</v>
      </c>
      <c r="C48" s="2"/>
      <c r="D48" s="4"/>
    </row>
    <row r="49" customFormat="false" ht="19.5" hidden="false" customHeight="true" outlineLevel="0" collapsed="false">
      <c r="A49" s="5"/>
      <c r="B49" s="8" t="s">
        <v>15</v>
      </c>
      <c r="C49" s="5" t="s">
        <v>8</v>
      </c>
      <c r="D49" s="7" t="n">
        <v>685.93</v>
      </c>
    </row>
    <row r="50" customFormat="false" ht="19.5" hidden="false" customHeight="true" outlineLevel="0" collapsed="false">
      <c r="A50" s="5"/>
      <c r="B50" s="8" t="s">
        <v>16</v>
      </c>
      <c r="C50" s="5" t="s">
        <v>17</v>
      </c>
      <c r="D50" s="7" t="n">
        <v>5900.33</v>
      </c>
    </row>
    <row r="51" customFormat="false" ht="19.5" hidden="false" customHeight="true" outlineLevel="0" collapsed="false">
      <c r="A51" s="5"/>
      <c r="B51" s="8" t="s">
        <v>18</v>
      </c>
      <c r="C51" s="5" t="s">
        <v>19</v>
      </c>
      <c r="D51" s="7" t="n">
        <v>162796.88</v>
      </c>
    </row>
    <row r="52" customFormat="false" ht="19.5" hidden="false" customHeight="true" outlineLevel="0" collapsed="false">
      <c r="A52" s="5"/>
      <c r="B52" s="8" t="s">
        <v>44</v>
      </c>
      <c r="C52" s="5" t="s">
        <v>17</v>
      </c>
      <c r="D52" s="7" t="n">
        <v>2723.06</v>
      </c>
    </row>
    <row r="53" customFormat="false" ht="51.75" hidden="false" customHeight="true" outlineLevel="0" collapsed="false">
      <c r="A53" s="2" t="s">
        <v>45</v>
      </c>
      <c r="B53" s="3" t="s">
        <v>46</v>
      </c>
      <c r="C53" s="2"/>
      <c r="D53" s="4"/>
    </row>
    <row r="54" customFormat="false" ht="36" hidden="false" customHeight="true" outlineLevel="0" collapsed="false">
      <c r="A54" s="2" t="s">
        <v>26</v>
      </c>
      <c r="B54" s="3" t="s">
        <v>47</v>
      </c>
      <c r="C54" s="2"/>
      <c r="D54" s="4"/>
    </row>
    <row r="55" customFormat="false" ht="19.5" hidden="false" customHeight="true" outlineLevel="0" collapsed="false">
      <c r="A55" s="5"/>
      <c r="B55" s="8" t="s">
        <v>15</v>
      </c>
      <c r="C55" s="5" t="s">
        <v>8</v>
      </c>
      <c r="D55" s="7" t="n">
        <v>187.85</v>
      </c>
    </row>
    <row r="56" customFormat="false" ht="19.5" hidden="false" customHeight="true" outlineLevel="0" collapsed="false">
      <c r="A56" s="5"/>
      <c r="B56" s="8" t="s">
        <v>16</v>
      </c>
      <c r="C56" s="5" t="s">
        <v>17</v>
      </c>
      <c r="D56" s="7" t="n">
        <v>469.62</v>
      </c>
    </row>
    <row r="57" customFormat="false" ht="19.5" hidden="false" customHeight="true" outlineLevel="0" collapsed="false">
      <c r="A57" s="5"/>
      <c r="B57" s="8" t="s">
        <v>18</v>
      </c>
      <c r="C57" s="5" t="s">
        <v>19</v>
      </c>
      <c r="D57" s="7" t="n">
        <v>23762.77</v>
      </c>
    </row>
    <row r="58" customFormat="false" ht="19.5" hidden="false" customHeight="true" outlineLevel="0" collapsed="false">
      <c r="A58" s="2" t="s">
        <v>45</v>
      </c>
      <c r="B58" s="3" t="s">
        <v>48</v>
      </c>
      <c r="C58" s="2"/>
      <c r="D58" s="4"/>
    </row>
    <row r="59" customFormat="false" ht="19.5" hidden="false" customHeight="true" outlineLevel="0" collapsed="false">
      <c r="A59" s="5"/>
      <c r="B59" s="8" t="s">
        <v>15</v>
      </c>
      <c r="C59" s="5" t="s">
        <v>8</v>
      </c>
      <c r="D59" s="7" t="n">
        <v>215.23</v>
      </c>
    </row>
    <row r="60" customFormat="false" ht="19.5" hidden="false" customHeight="true" outlineLevel="0" collapsed="false">
      <c r="A60" s="5"/>
      <c r="B60" s="8" t="s">
        <v>16</v>
      </c>
      <c r="C60" s="5" t="s">
        <v>17</v>
      </c>
      <c r="D60" s="7" t="n">
        <v>2152.3</v>
      </c>
    </row>
    <row r="61" customFormat="false" ht="19.5" hidden="false" customHeight="true" outlineLevel="0" collapsed="false">
      <c r="A61" s="5"/>
      <c r="B61" s="8" t="s">
        <v>18</v>
      </c>
      <c r="C61" s="5" t="s">
        <v>19</v>
      </c>
      <c r="D61" s="7" t="n">
        <v>35956.43</v>
      </c>
    </row>
    <row r="62" customFormat="false" ht="19.5" hidden="false" customHeight="true" outlineLevel="0" collapsed="false">
      <c r="A62" s="9" t="s">
        <v>49</v>
      </c>
      <c r="B62" s="10" t="s">
        <v>50</v>
      </c>
      <c r="C62" s="9"/>
      <c r="D62" s="11"/>
    </row>
    <row r="63" customFormat="false" ht="19.5" hidden="false" customHeight="true" outlineLevel="0" collapsed="false">
      <c r="A63" s="5"/>
      <c r="B63" s="8" t="s">
        <v>15</v>
      </c>
      <c r="C63" s="5" t="s">
        <v>8</v>
      </c>
      <c r="D63" s="7" t="n">
        <v>29.76</v>
      </c>
    </row>
    <row r="64" customFormat="false" ht="19.5" hidden="false" customHeight="true" outlineLevel="0" collapsed="false">
      <c r="A64" s="5"/>
      <c r="B64" s="8" t="s">
        <v>16</v>
      </c>
      <c r="C64" s="5" t="s">
        <v>17</v>
      </c>
      <c r="D64" s="7" t="n">
        <v>267.84</v>
      </c>
    </row>
    <row r="65" customFormat="false" ht="19.5" hidden="false" customHeight="true" outlineLevel="0" collapsed="false">
      <c r="A65" s="5"/>
      <c r="B65" s="8" t="s">
        <v>18</v>
      </c>
      <c r="C65" s="5" t="s">
        <v>19</v>
      </c>
      <c r="D65" s="7" t="n">
        <v>4791.36</v>
      </c>
    </row>
    <row r="66" customFormat="false" ht="19.5" hidden="false" customHeight="true" outlineLevel="0" collapsed="false">
      <c r="A66" s="2" t="s">
        <v>51</v>
      </c>
      <c r="B66" s="3" t="s">
        <v>52</v>
      </c>
      <c r="C66" s="2"/>
      <c r="D66" s="4"/>
    </row>
    <row r="67" customFormat="false" ht="19.5" hidden="false" customHeight="true" outlineLevel="0" collapsed="false">
      <c r="A67" s="2" t="s">
        <v>53</v>
      </c>
      <c r="B67" s="3" t="s">
        <v>54</v>
      </c>
      <c r="C67" s="2"/>
      <c r="D67" s="4"/>
    </row>
    <row r="68" customFormat="false" ht="51.75" hidden="false" customHeight="true" outlineLevel="0" collapsed="false">
      <c r="A68" s="2" t="s">
        <v>55</v>
      </c>
      <c r="B68" s="3" t="s">
        <v>56</v>
      </c>
      <c r="C68" s="2"/>
      <c r="D68" s="4"/>
    </row>
    <row r="69" customFormat="false" ht="19.5" hidden="false" customHeight="true" outlineLevel="0" collapsed="false">
      <c r="A69" s="5" t="s">
        <v>57</v>
      </c>
      <c r="B69" s="8" t="s">
        <v>5</v>
      </c>
      <c r="C69" s="5" t="s">
        <v>8</v>
      </c>
      <c r="D69" s="7" t="n">
        <v>108.75</v>
      </c>
    </row>
    <row r="70" customFormat="false" ht="19.5" hidden="false" customHeight="true" outlineLevel="0" collapsed="false">
      <c r="A70" s="5" t="s">
        <v>58</v>
      </c>
      <c r="B70" s="6" t="s">
        <v>59</v>
      </c>
      <c r="C70" s="5" t="s">
        <v>17</v>
      </c>
      <c r="D70" s="7" t="n">
        <v>2175</v>
      </c>
    </row>
    <row r="71" customFormat="false" ht="19.5" hidden="false" customHeight="true" outlineLevel="0" collapsed="false">
      <c r="A71" s="5" t="s">
        <v>60</v>
      </c>
      <c r="B71" s="6" t="s">
        <v>61</v>
      </c>
      <c r="C71" s="5" t="s">
        <v>8</v>
      </c>
      <c r="D71" s="7" t="n">
        <v>108.75</v>
      </c>
    </row>
    <row r="72" customFormat="false" ht="19.5" hidden="false" customHeight="true" outlineLevel="0" collapsed="false">
      <c r="A72" s="5" t="s">
        <v>62</v>
      </c>
      <c r="B72" s="6" t="s">
        <v>63</v>
      </c>
      <c r="C72" s="5" t="s">
        <v>17</v>
      </c>
      <c r="D72" s="7" t="n">
        <v>2175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5" activeCellId="0" sqref="A5"/>
    </sheetView>
  </sheetViews>
  <sheetFormatPr defaultColWidth="8.507812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20"/>
  </cols>
  <sheetData>
    <row r="1" customFormat="false" ht="17.25" hidden="false" customHeight="true" outlineLevel="0" collapsed="false">
      <c r="A1" s="12" t="s">
        <v>64</v>
      </c>
      <c r="B1" s="12"/>
      <c r="C1" s="12"/>
      <c r="D1" s="12"/>
    </row>
    <row r="2" customFormat="false" ht="15" hidden="false" customHeight="true" outlineLevel="0" collapsed="false">
      <c r="A2" s="13" t="s">
        <v>65</v>
      </c>
      <c r="B2" s="13" t="s">
        <v>66</v>
      </c>
      <c r="C2" s="13" t="s">
        <v>67</v>
      </c>
      <c r="D2" s="13" t="s">
        <v>68</v>
      </c>
    </row>
    <row r="3" customFormat="false" ht="15" hidden="false" customHeight="true" outlineLevel="0" collapsed="false">
      <c r="A3" s="13" t="s">
        <v>69</v>
      </c>
      <c r="B3" s="14" t="n">
        <v>-5.1</v>
      </c>
      <c r="C3" s="14" t="n">
        <v>-1.2</v>
      </c>
      <c r="D3" s="15" t="n">
        <f aca="false">IF(COUNT(B3,C3)=2,C3-B3,"PENDENTE")</f>
        <v>3.9</v>
      </c>
    </row>
    <row r="4" customFormat="false" ht="15" hidden="false" customHeight="true" outlineLevel="0" collapsed="false">
      <c r="A4" s="16" t="s">
        <v>70</v>
      </c>
      <c r="B4" s="14" t="n">
        <v>-5.1</v>
      </c>
      <c r="C4" s="14" t="n">
        <v>-4.7</v>
      </c>
      <c r="D4" s="15" t="n">
        <f aca="false">IF(COUNT(B4,C4)=2,C4-B4,"PENDENTE")</f>
        <v>0.399999999999999</v>
      </c>
      <c r="E4" s="15" t="n">
        <f aca="false">IF(COUNT(C4,D4)=2,D4-C4,"PENDENTE")</f>
        <v>5.1</v>
      </c>
    </row>
    <row r="5" customFormat="false" ht="15" hidden="false" customHeight="true" outlineLevel="0" collapsed="false">
      <c r="A5" s="17" t="s">
        <v>71</v>
      </c>
      <c r="B5" s="18" t="n">
        <v>-4.7</v>
      </c>
      <c r="C5" s="18" t="n">
        <v>-1.2</v>
      </c>
      <c r="D5" s="15" t="n">
        <f aca="false">IF(COUNT(B5,C5)=2,C5-B5,"PENDENTE")</f>
        <v>3.5</v>
      </c>
      <c r="E5" s="19" t="n">
        <f aca="false">IF(COUNT(C5,D5)=2,D5-C5,"PENDENTE")</f>
        <v>4.7</v>
      </c>
    </row>
    <row r="6" customFormat="false" ht="15" hidden="false" customHeight="true" outlineLevel="0" collapsed="false">
      <c r="A6" s="16" t="s">
        <v>72</v>
      </c>
      <c r="B6" s="14" t="n">
        <v>-1.43</v>
      </c>
      <c r="C6" s="14" t="n">
        <v>2.5</v>
      </c>
      <c r="D6" s="15" t="n">
        <f aca="false">IF(COUNT(B6,C6)=2,C6-B6,"PENDENTE")</f>
        <v>3.93</v>
      </c>
      <c r="E6" s="15" t="n">
        <f aca="false">IF(COUNT(C6,D6)=2,D6-C6,"PENDENTE")</f>
        <v>1.43</v>
      </c>
    </row>
    <row r="7" customFormat="false" ht="15" hidden="false" customHeight="true" outlineLevel="0" collapsed="false">
      <c r="A7" s="17" t="s">
        <v>73</v>
      </c>
      <c r="B7" s="18"/>
      <c r="C7" s="18"/>
      <c r="D7" s="19" t="str">
        <f aca="false">IF(COUNT(B7,C7)=2,C7-B7,"PENDENTE")</f>
        <v>PENDENTE</v>
      </c>
      <c r="E7" s="19" t="str">
        <f aca="false">IF(COUNT(C7,D7)=2,D7-C7,"PENDENTE")</f>
        <v>PENDENTE</v>
      </c>
    </row>
    <row r="9" customFormat="false" ht="21.75" hidden="false" customHeight="true" outlineLevel="0" collapsed="false">
      <c r="A9" s="20" t="s">
        <v>74</v>
      </c>
      <c r="B9" s="20"/>
      <c r="C9" s="20"/>
      <c r="D9" s="20"/>
    </row>
  </sheetData>
  <mergeCells count="2">
    <mergeCell ref="A1:D1"/>
    <mergeCell ref="A9:D9"/>
  </mergeCells>
  <conditionalFormatting sqref="D3">
    <cfRule type="cellIs" priority="2" operator="equal" aboveAverage="0" equalAverage="0" bottom="0" percent="0" rank="0" text="" dxfId="0">
      <formula>"PENDENTE"</formula>
    </cfRule>
  </conditionalFormatting>
  <conditionalFormatting sqref="D4:E7">
    <cfRule type="cellIs" priority="3" operator="equal" aboveAverage="0" equalAverage="0" bottom="0" percent="0" rank="0" text="" dxfId="0">
      <formula>"PENDENTE"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U15"/>
  <sheetViews>
    <sheetView showFormulas="false" showGridLines="true" showRowColHeaders="true" showZeros="true" rightToLeft="false" tabSelected="false" showOutlineSymbols="true" defaultGridColor="true" view="normal" topLeftCell="G1" colorId="64" zoomScale="150" zoomScaleNormal="150" zoomScalePageLayoutView="400" workbookViewId="0">
      <selection pane="topLeft" activeCell="AA6" activeCellId="0" sqref="AA6"/>
    </sheetView>
  </sheetViews>
  <sheetFormatPr defaultColWidth="8.83203125" defaultRowHeight="15" zeroHeight="false" outlineLevelRow="0" outlineLevelCol="0"/>
  <cols>
    <col collapsed="false" customWidth="true" hidden="false" outlineLevel="0" max="1" min="1" style="0" width="4.67"/>
    <col collapsed="false" customWidth="true" hidden="false" outlineLevel="0" max="2" min="2" style="0" width="8.67"/>
    <col collapsed="false" customWidth="true" hidden="false" outlineLevel="0" max="3" min="3" style="0" width="5.51"/>
    <col collapsed="false" customWidth="true" hidden="false" outlineLevel="0" max="5" min="4" style="0" width="4.33"/>
    <col collapsed="false" customWidth="true" hidden="false" outlineLevel="0" max="6" min="6" style="0" width="5"/>
    <col collapsed="false" customWidth="true" hidden="false" outlineLevel="0" max="7" min="7" style="0" width="6.67"/>
    <col collapsed="false" customWidth="true" hidden="false" outlineLevel="0" max="8" min="8" style="0" width="7.83"/>
    <col collapsed="false" customWidth="true" hidden="false" outlineLevel="0" max="9" min="9" style="0" width="7.16"/>
    <col collapsed="false" customWidth="true" hidden="false" outlineLevel="0" max="10" min="10" style="0" width="3.67"/>
    <col collapsed="false" customWidth="true" hidden="false" outlineLevel="0" max="11" min="11" style="0" width="4.83"/>
    <col collapsed="false" customWidth="true" hidden="false" outlineLevel="0" max="12" min="12" style="0" width="3.67"/>
    <col collapsed="false" customWidth="true" hidden="false" outlineLevel="0" max="13" min="13" style="0" width="4.83"/>
    <col collapsed="false" customWidth="true" hidden="false" outlineLevel="0" max="14" min="14" style="0" width="3.67"/>
    <col collapsed="false" customWidth="true" hidden="false" outlineLevel="0" max="17" min="15" style="0" width="4.83"/>
    <col collapsed="false" customWidth="true" hidden="false" outlineLevel="0" max="18" min="18" style="0" width="6.16"/>
    <col collapsed="false" customWidth="true" hidden="false" outlineLevel="0" max="20" min="19" style="0" width="4.83"/>
    <col collapsed="false" customWidth="true" hidden="false" outlineLevel="0" max="21" min="21" style="0" width="6.16"/>
    <col collapsed="false" customWidth="true" hidden="false" outlineLevel="0" max="23" min="22" style="0" width="4.83"/>
    <col collapsed="false" customWidth="true" hidden="false" outlineLevel="0" max="24" min="24" style="0" width="6.16"/>
    <col collapsed="false" customWidth="true" hidden="false" outlineLevel="0" max="26" min="25" style="0" width="6.67"/>
    <col collapsed="false" customWidth="true" hidden="false" outlineLevel="0" max="27" min="27" style="0" width="5.66"/>
    <col collapsed="false" customWidth="true" hidden="false" outlineLevel="0" max="28" min="28" style="0" width="6.67"/>
    <col collapsed="false" customWidth="true" hidden="false" outlineLevel="0" max="29" min="29" style="0" width="5.66"/>
    <col collapsed="false" customWidth="true" hidden="false" outlineLevel="0" max="30" min="30" style="0" width="6.16"/>
    <col collapsed="false" customWidth="true" hidden="false" outlineLevel="0" max="31" min="31" style="0" width="5.66"/>
    <col collapsed="false" customWidth="true" hidden="false" outlineLevel="0" max="32" min="32" style="0" width="6.16"/>
    <col collapsed="false" customWidth="true" hidden="false" outlineLevel="0" max="33" min="33" style="0" width="5.83"/>
    <col collapsed="false" customWidth="true" hidden="false" outlineLevel="0" max="34" min="34" style="0" width="3.67"/>
    <col collapsed="false" customWidth="true" hidden="false" outlineLevel="0" max="35" min="35" style="0" width="6.16"/>
    <col collapsed="false" customWidth="true" hidden="false" outlineLevel="0" max="36" min="36" style="0" width="5.83"/>
    <col collapsed="false" customWidth="true" hidden="false" outlineLevel="0" max="37" min="37" style="0" width="3.67"/>
    <col collapsed="false" customWidth="true" hidden="false" outlineLevel="0" max="38" min="38" style="0" width="6.16"/>
    <col collapsed="false" customWidth="true" hidden="false" outlineLevel="0" max="39" min="39" style="0" width="5.83"/>
    <col collapsed="false" customWidth="true" hidden="false" outlineLevel="0" max="40" min="40" style="0" width="3.67"/>
    <col collapsed="false" customWidth="true" hidden="false" outlineLevel="0" max="41" min="41" style="0" width="6.16"/>
    <col collapsed="false" customWidth="true" hidden="false" outlineLevel="0" max="42" min="42" style="0" width="6.67"/>
    <col collapsed="false" customWidth="true" hidden="false" outlineLevel="0" max="43" min="43" style="0" width="6.51"/>
    <col collapsed="false" customWidth="true" hidden="false" outlineLevel="0" max="44" min="44" style="0" width="8"/>
    <col collapsed="false" customWidth="true" hidden="false" outlineLevel="0" max="45" min="45" style="0" width="10.51"/>
  </cols>
  <sheetData>
    <row r="1" customFormat="false" ht="17.25" hidden="false" customHeight="true" outlineLevel="0" collapsed="false">
      <c r="A1" s="12" t="s">
        <v>75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row>
    <row r="2" customFormat="false" ht="15" hidden="false" customHeight="true" outlineLevel="0" collapsed="false">
      <c r="A2" s="21" t="s">
        <v>76</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row>
    <row r="3" customFormat="false" ht="6" hidden="false" customHeight="true" outlineLevel="0" collapsed="false"/>
    <row r="4" customFormat="false" ht="19.5" hidden="false" customHeight="true" outlineLevel="0" collapsed="false">
      <c r="A4" s="22" t="s">
        <v>77</v>
      </c>
      <c r="B4" s="22"/>
      <c r="C4" s="22"/>
      <c r="D4" s="22"/>
      <c r="E4" s="22"/>
      <c r="F4" s="22"/>
      <c r="G4" s="23" t="s">
        <v>78</v>
      </c>
      <c r="H4" s="23"/>
      <c r="I4" s="23"/>
      <c r="J4" s="22" t="s">
        <v>79</v>
      </c>
      <c r="K4" s="22"/>
      <c r="L4" s="22"/>
      <c r="M4" s="22"/>
      <c r="N4" s="22"/>
      <c r="O4" s="22"/>
      <c r="P4" s="24" t="s">
        <v>80</v>
      </c>
      <c r="Q4" s="24"/>
      <c r="R4" s="24"/>
      <c r="S4" s="25" t="s">
        <v>81</v>
      </c>
      <c r="T4" s="25"/>
      <c r="U4" s="25"/>
      <c r="V4" s="26" t="s">
        <v>82</v>
      </c>
      <c r="W4" s="26"/>
      <c r="X4" s="26"/>
      <c r="Y4" s="27" t="s">
        <v>83</v>
      </c>
      <c r="Z4" s="27"/>
      <c r="AA4" s="28" t="s">
        <v>84</v>
      </c>
      <c r="AB4" s="28"/>
      <c r="AC4" s="28"/>
      <c r="AD4" s="28"/>
      <c r="AE4" s="28"/>
      <c r="AF4" s="28"/>
      <c r="AG4" s="28" t="s">
        <v>85</v>
      </c>
      <c r="AH4" s="28"/>
      <c r="AI4" s="28"/>
      <c r="AJ4" s="28"/>
      <c r="AK4" s="28"/>
      <c r="AL4" s="28"/>
      <c r="AM4" s="28"/>
      <c r="AN4" s="28"/>
      <c r="AO4" s="28"/>
      <c r="AP4" s="29" t="s">
        <v>86</v>
      </c>
      <c r="AQ4" s="30" t="s">
        <v>87</v>
      </c>
      <c r="AR4" s="31" t="s">
        <v>88</v>
      </c>
      <c r="AS4" s="22"/>
    </row>
    <row r="5" customFormat="false" ht="43.5" hidden="false" customHeight="true" outlineLevel="0" collapsed="false">
      <c r="A5" s="13" t="s">
        <v>89</v>
      </c>
      <c r="B5" s="13" t="s">
        <v>90</v>
      </c>
      <c r="C5" s="13" t="s">
        <v>91</v>
      </c>
      <c r="D5" s="13" t="s">
        <v>92</v>
      </c>
      <c r="E5" s="13" t="s">
        <v>93</v>
      </c>
      <c r="F5" s="13" t="s">
        <v>94</v>
      </c>
      <c r="G5" s="32" t="s">
        <v>95</v>
      </c>
      <c r="H5" s="32" t="s">
        <v>96</v>
      </c>
      <c r="I5" s="32" t="s">
        <v>97</v>
      </c>
      <c r="J5" s="13" t="s">
        <v>98</v>
      </c>
      <c r="K5" s="13" t="s">
        <v>99</v>
      </c>
      <c r="L5" s="13" t="s">
        <v>100</v>
      </c>
      <c r="M5" s="13" t="s">
        <v>101</v>
      </c>
      <c r="N5" s="13" t="s">
        <v>102</v>
      </c>
      <c r="O5" s="13" t="s">
        <v>103</v>
      </c>
      <c r="P5" s="33" t="s">
        <v>104</v>
      </c>
      <c r="Q5" s="33" t="s">
        <v>105</v>
      </c>
      <c r="R5" s="33" t="s">
        <v>106</v>
      </c>
      <c r="S5" s="34" t="s">
        <v>107</v>
      </c>
      <c r="T5" s="34" t="s">
        <v>108</v>
      </c>
      <c r="U5" s="34" t="s">
        <v>109</v>
      </c>
      <c r="V5" s="35" t="s">
        <v>110</v>
      </c>
      <c r="W5" s="35" t="s">
        <v>111</v>
      </c>
      <c r="X5" s="35" t="s">
        <v>112</v>
      </c>
      <c r="Y5" s="36" t="s">
        <v>113</v>
      </c>
      <c r="Z5" s="36" t="s">
        <v>114</v>
      </c>
      <c r="AA5" s="37" t="s">
        <v>115</v>
      </c>
      <c r="AB5" s="37" t="s">
        <v>116</v>
      </c>
      <c r="AC5" s="37" t="s">
        <v>117</v>
      </c>
      <c r="AD5" s="37" t="s">
        <v>118</v>
      </c>
      <c r="AE5" s="37" t="s">
        <v>119</v>
      </c>
      <c r="AF5" s="37" t="s">
        <v>120</v>
      </c>
      <c r="AG5" s="37" t="s">
        <v>121</v>
      </c>
      <c r="AH5" s="37" t="s">
        <v>122</v>
      </c>
      <c r="AI5" s="37" t="s">
        <v>123</v>
      </c>
      <c r="AJ5" s="37" t="s">
        <v>124</v>
      </c>
      <c r="AK5" s="37" t="s">
        <v>125</v>
      </c>
      <c r="AL5" s="37" t="s">
        <v>126</v>
      </c>
      <c r="AM5" s="37" t="s">
        <v>127</v>
      </c>
      <c r="AN5" s="37" t="s">
        <v>128</v>
      </c>
      <c r="AO5" s="37" t="s">
        <v>129</v>
      </c>
      <c r="AP5" s="38" t="s">
        <v>130</v>
      </c>
      <c r="AQ5" s="39" t="s">
        <v>131</v>
      </c>
      <c r="AR5" s="40" t="s">
        <v>132</v>
      </c>
      <c r="AS5" s="41" t="s">
        <v>133</v>
      </c>
    </row>
    <row r="6" customFormat="false" ht="22.35" hidden="false" customHeight="false" outlineLevel="0" collapsed="false">
      <c r="A6" s="42" t="s">
        <v>134</v>
      </c>
      <c r="B6" s="42" t="s">
        <v>70</v>
      </c>
      <c r="C6" s="43" t="n">
        <f aca="false">IF(B6&lt;&gt;"",IFERROR(VLOOKUP(B6,PISOS!A:D,4,0),"PENDENTE"),"")</f>
        <v>0.399999999999999</v>
      </c>
      <c r="D6" s="42" t="n">
        <v>30</v>
      </c>
      <c r="E6" s="42" t="n">
        <v>60</v>
      </c>
      <c r="F6" s="42" t="n">
        <v>3</v>
      </c>
      <c r="G6" s="44" t="n">
        <v>50</v>
      </c>
      <c r="H6" s="45" t="n">
        <f aca="false">IF(OR(A6="",K6=""),0,G6*K6/1000)</f>
        <v>0.8</v>
      </c>
      <c r="I6" s="45" t="n">
        <f aca="false">IF(OR(A6="",K6="",NOT(ISNUMBER(C6))),0,IF((C6+H6)&gt;12,G6*K6/1000,0))</f>
        <v>0</v>
      </c>
      <c r="J6" s="42" t="n">
        <v>6</v>
      </c>
      <c r="K6" s="42" t="n">
        <v>16</v>
      </c>
      <c r="L6" s="42" t="n">
        <v>10</v>
      </c>
      <c r="M6" s="42" t="n">
        <v>12</v>
      </c>
      <c r="N6" s="42"/>
      <c r="O6" s="42"/>
      <c r="P6" s="42" t="n">
        <v>1</v>
      </c>
      <c r="Q6" s="42" t="n">
        <v>8</v>
      </c>
      <c r="R6" s="43" t="n">
        <v>0.2</v>
      </c>
      <c r="S6" s="46" t="n">
        <v>1</v>
      </c>
      <c r="T6" s="46" t="n">
        <v>8</v>
      </c>
      <c r="U6" s="47" t="n">
        <v>0.2</v>
      </c>
      <c r="V6" s="48"/>
      <c r="W6" s="48"/>
      <c r="X6" s="49"/>
      <c r="Y6" s="50" t="n">
        <f aca="false">IF(OR(A6="",M6="",NOT(ISNUMBER(C6))),0,IF((C6+H6)&gt;12,G6*M6/1000,0))</f>
        <v>0</v>
      </c>
      <c r="Z6" s="50" t="n">
        <f aca="false">IF(OR(A6="",O6="",NOT(ISNUMBER(C6))),0,IF((C6+H6)&gt;12,G6*O6/1000,0))</f>
        <v>0</v>
      </c>
      <c r="AA6" s="51" t="n">
        <f aca="false">IF(OR(A6="",NOT(ISNUMBER(C6))),"",C6+H6+I6)</f>
        <v>1.2</v>
      </c>
      <c r="AB6" s="51" t="n">
        <f aca="false">IF(OR(A6="",AA6=""),0,IFERROR(J6*AA6*VLOOKUP(K6,'TABELA DE PESOS'!$A$2:$B$9,2,FALSE()),0))</f>
        <v>11.3616</v>
      </c>
      <c r="AC6" s="51" t="n">
        <f aca="false">IF(OR(A6="",NOT(ISNUMBER(C6))),"",C6+H6+Y6)</f>
        <v>1.2</v>
      </c>
      <c r="AD6" s="51" t="n">
        <f aca="false">IF(OR(A6="",AC6=""),0,IFERROR(L6*AC6*VLOOKUP(M6,'TABELA DE PESOS'!$A$2:$B$9,2,FALSE()),0))</f>
        <v>10.656</v>
      </c>
      <c r="AE6" s="51" t="n">
        <f aca="false">IF(OR(A6="",NOT(ISNUMBER(C6))),"",C6+H6+Z6)</f>
        <v>1.2</v>
      </c>
      <c r="AF6" s="51" t="n">
        <f aca="false">IF(OR(A6="",AE6=""),0,IFERROR(N6*AE6*VLOOKUP(O6,'TABELA DE PESOS'!$A$2:$B$9,2,FALSE()),0))</f>
        <v>0</v>
      </c>
      <c r="AG6" s="52" t="n">
        <f aca="false">IF(OR(A6="",P6="",NOT(ISNUMBER(C6))),0,P6*(INT(C6/R6)+1))</f>
        <v>3</v>
      </c>
      <c r="AH6" s="53" t="n">
        <f aca="false">IF(OR(A6="",P6=""),0,2*((D6-2*F6)+(E6-2*F6))/100+2*10*Q6/1000)</f>
        <v>1.72</v>
      </c>
      <c r="AI6" s="51" t="n">
        <f aca="false">IF(OR(A6="",P6=""),0,IFERROR(AG6*AH6*VLOOKUP(Q6,'TABELA DE PESOS'!$A$2:$B$9,2,FALSE()),0))</f>
        <v>2.0382</v>
      </c>
      <c r="AJ6" s="52" t="n">
        <f aca="false">IF(OR(A6="",S6="",NOT(ISNUMBER(C6))),0,S6*(INT(C6/U6)+1))</f>
        <v>3</v>
      </c>
      <c r="AK6" s="53" t="n">
        <f aca="false">IF(OR(A6="",S6=""),0,2*((D6-2*F6)+(E6-2*F6))/100+2*10*T6/1000)</f>
        <v>1.72</v>
      </c>
      <c r="AL6" s="51" t="n">
        <f aca="false">IF(OR(A6="",S6=""),0,IFERROR(AJ6*AK6*VLOOKUP(T6,'TABELA DE PESOS'!$A$2:$B$9,2,FALSE()),0))</f>
        <v>2.0382</v>
      </c>
      <c r="AM6" s="52" t="n">
        <f aca="false">IF(OR(A6="",V6="",NOT(ISNUMBER(C6))),0,V6*(INT(C6/X6)+1))</f>
        <v>0</v>
      </c>
      <c r="AN6" s="53" t="n">
        <f aca="false">IF(OR(A6="",V6=""),0,2*((D6-2*F6)+(E6-2*F6))/100+2*10*W6/1000)</f>
        <v>0</v>
      </c>
      <c r="AO6" s="51" t="n">
        <f aca="false">IF(OR(A6="",V6=""),0,IFERROR(AM6*AN6*VLOOKUP(W6,'TABELA DE PESOS'!$A$2:$B$9,2,FALSE()),0))</f>
        <v>0</v>
      </c>
      <c r="AP6" s="54" t="n">
        <f aca="false">IF(A6="",0,AB6+AD6+AF6+AI6+AL6+AO6)</f>
        <v>26.094</v>
      </c>
      <c r="AQ6" s="55" t="n">
        <f aca="false">IF(OR(A6="",NOT(ISNUMBER(C6))),0,(D6/100)*(E6/100)*C6)</f>
        <v>0.0719999999999999</v>
      </c>
      <c r="AR6" s="56" t="n">
        <f aca="false">IF(OR(A6="",NOT(ISNUMBER(C6))),0,2*(D6/100+E6/100)*C6)</f>
        <v>0.719999999999999</v>
      </c>
      <c r="AS6" s="57"/>
    </row>
    <row r="7" customFormat="false" ht="15" hidden="false" customHeight="true" outlineLevel="0" collapsed="false">
      <c r="A7" s="42" t="s">
        <v>134</v>
      </c>
      <c r="B7" s="58" t="s">
        <v>71</v>
      </c>
      <c r="C7" s="59" t="n">
        <f aca="false">IF(B7&lt;&gt;"",IFERROR(VLOOKUP(B7,PISOS!A:D,4,0),"PENDENTE"),"")</f>
        <v>3.5</v>
      </c>
      <c r="D7" s="58" t="n">
        <v>30</v>
      </c>
      <c r="E7" s="58" t="n">
        <v>60</v>
      </c>
      <c r="F7" s="58" t="n">
        <v>3</v>
      </c>
      <c r="G7" s="60" t="n">
        <v>50</v>
      </c>
      <c r="H7" s="61" t="n">
        <f aca="false">IF(OR(A7="",K7=""),0,G7*K7/1000)</f>
        <v>0.8</v>
      </c>
      <c r="I7" s="61" t="n">
        <f aca="false">IF(OR(A7="",K7="",NOT(ISNUMBER(C7))),0,IF((C7+H7)&gt;12,G7*K7/1000,0))</f>
        <v>0</v>
      </c>
      <c r="J7" s="58" t="n">
        <v>6</v>
      </c>
      <c r="K7" s="58" t="n">
        <v>16</v>
      </c>
      <c r="L7" s="58" t="n">
        <v>10</v>
      </c>
      <c r="M7" s="58" t="n">
        <v>12</v>
      </c>
      <c r="N7" s="58"/>
      <c r="O7" s="58"/>
      <c r="P7" s="58" t="n">
        <v>1</v>
      </c>
      <c r="Q7" s="58" t="n">
        <v>8</v>
      </c>
      <c r="R7" s="59" t="n">
        <v>0.2</v>
      </c>
      <c r="S7" s="62" t="n">
        <v>1</v>
      </c>
      <c r="T7" s="62" t="n">
        <v>8</v>
      </c>
      <c r="U7" s="63" t="n">
        <v>0.2</v>
      </c>
      <c r="V7" s="64"/>
      <c r="W7" s="64"/>
      <c r="X7" s="65"/>
      <c r="Y7" s="66" t="n">
        <f aca="false">IF(OR(A7="",M7="",NOT(ISNUMBER(C7))),0,IF((C7+H7)&gt;12,G7*M7/1000,0))</f>
        <v>0</v>
      </c>
      <c r="Z7" s="66" t="n">
        <f aca="false">IF(OR(A7="",O7="",NOT(ISNUMBER(C7))),0,IF((C7+H7)&gt;12,G7*O7/1000,0))</f>
        <v>0</v>
      </c>
      <c r="AA7" s="67" t="n">
        <f aca="false">IF(OR(A7="",NOT(ISNUMBER(C7))),"",C7+H7+I7)</f>
        <v>4.3</v>
      </c>
      <c r="AB7" s="67" t="n">
        <f aca="false">IF(OR(A7="",AA7=""),0,IFERROR(J7*AA7*VLOOKUP(K7,'TABELA DE PESOS'!$A$2:$B$9,2,FALSE()),0))</f>
        <v>40.7124</v>
      </c>
      <c r="AC7" s="67" t="n">
        <f aca="false">IF(OR(A7="",NOT(ISNUMBER(C7))),"",C7+H7+Y7)</f>
        <v>4.3</v>
      </c>
      <c r="AD7" s="67" t="n">
        <f aca="false">IF(OR(A7="",AC7=""),0,IFERROR(L7*AC7*VLOOKUP(M7,'TABELA DE PESOS'!$A$2:$B$9,2,FALSE()),0))</f>
        <v>38.184</v>
      </c>
      <c r="AE7" s="67" t="n">
        <f aca="false">IF(OR(A7="",NOT(ISNUMBER(C7))),"",C7+H7+Z7)</f>
        <v>4.3</v>
      </c>
      <c r="AF7" s="67" t="n">
        <f aca="false">IF(OR(A7="",AE7=""),0,IFERROR(N7*AE7*VLOOKUP(O7,'TABELA DE PESOS'!$A$2:$B$9,2,FALSE()),0))</f>
        <v>0</v>
      </c>
      <c r="AG7" s="68" t="n">
        <f aca="false">IF(OR(A7="",P7="",NOT(ISNUMBER(C7))),0,P7*(INT(C7/R7)+1))</f>
        <v>18</v>
      </c>
      <c r="AH7" s="69" t="n">
        <f aca="false">IF(OR(A7="",P7=""),0,2*((D7-2*F7)+(E7-2*F7))/100+2*10*Q7/1000)</f>
        <v>1.72</v>
      </c>
      <c r="AI7" s="67" t="n">
        <f aca="false">IF(OR(A7="",P7=""),0,IFERROR(AG7*AH7*VLOOKUP(Q7,'TABELA DE PESOS'!$A$2:$B$9,2,FALSE()),0))</f>
        <v>12.2292</v>
      </c>
      <c r="AJ7" s="68" t="n">
        <f aca="false">IF(OR(A7="",S7="",NOT(ISNUMBER(C7))),0,S7*(INT(C7/U7)+1))</f>
        <v>18</v>
      </c>
      <c r="AK7" s="69" t="n">
        <f aca="false">IF(OR(A7="",S7=""),0,2*((D7-2*F7)+(E7-2*F7))/100+2*10*T7/1000)</f>
        <v>1.72</v>
      </c>
      <c r="AL7" s="67" t="n">
        <f aca="false">IF(OR(A7="",S7=""),0,IFERROR(AJ7*AK7*VLOOKUP(T7,'TABELA DE PESOS'!$A$2:$B$9,2,FALSE()),0))</f>
        <v>12.2292</v>
      </c>
      <c r="AM7" s="68" t="n">
        <f aca="false">IF(OR(A7="",V7="",NOT(ISNUMBER(C7))),0,V7*(INT(C7/X7)+1))</f>
        <v>0</v>
      </c>
      <c r="AN7" s="69" t="n">
        <f aca="false">IF(OR(A7="",V7=""),0,2*((D7-2*F7)+(E7-2*F7))/100+2*10*W7/1000)</f>
        <v>0</v>
      </c>
      <c r="AO7" s="67" t="n">
        <f aca="false">IF(OR(A7="",V7=""),0,IFERROR(AM7*AN7*VLOOKUP(W7,'TABELA DE PESOS'!$A$2:$B$9,2,FALSE()),0))</f>
        <v>0</v>
      </c>
      <c r="AP7" s="70" t="n">
        <f aca="false">IF(A7="",0,AB7+AD7+AF7+AI7+AL7+AO7)</f>
        <v>103.3548</v>
      </c>
      <c r="AQ7" s="71" t="n">
        <f aca="false">IF(OR(A7="",NOT(ISNUMBER(C7))),0,(D7/100)*(E7/100)*C7)</f>
        <v>0.63</v>
      </c>
      <c r="AR7" s="72" t="n">
        <f aca="false">IF(OR(A7="",NOT(ISNUMBER(C7))),0,2*(D7/100+E7/100)*C7)</f>
        <v>6.3</v>
      </c>
      <c r="AS7" s="57"/>
    </row>
    <row r="8" customFormat="false" ht="15" hidden="false" customHeight="true" outlineLevel="0" collapsed="false">
      <c r="A8" s="58" t="s">
        <v>135</v>
      </c>
      <c r="B8" s="42" t="s">
        <v>70</v>
      </c>
      <c r="C8" s="59" t="n">
        <f aca="false">IF(B8&lt;&gt;"",IFERROR(VLOOKUP(B8,PISOS!A:D,4,0),"PENDENTE"),"")</f>
        <v>0.399999999999999</v>
      </c>
      <c r="D8" s="58" t="n">
        <v>40</v>
      </c>
      <c r="E8" s="58" t="n">
        <v>70</v>
      </c>
      <c r="F8" s="58" t="n">
        <v>3</v>
      </c>
      <c r="G8" s="60" t="n">
        <v>50</v>
      </c>
      <c r="H8" s="61" t="n">
        <f aca="false">IF(OR(A8="",K8=""),0,G8*K8/1000)</f>
        <v>0.8</v>
      </c>
      <c r="I8" s="61" t="n">
        <f aca="false">IF(OR(A8="",K8="",NOT(ISNUMBER(C8))),0,IF((C8+H8)&gt;12,G8*K8/1000,0))</f>
        <v>0</v>
      </c>
      <c r="J8" s="58" t="n">
        <v>28</v>
      </c>
      <c r="K8" s="58" t="n">
        <v>16</v>
      </c>
      <c r="L8" s="58"/>
      <c r="M8" s="58"/>
      <c r="N8" s="58"/>
      <c r="O8" s="58"/>
      <c r="P8" s="58" t="n">
        <v>1</v>
      </c>
      <c r="Q8" s="58" t="n">
        <v>8</v>
      </c>
      <c r="R8" s="59" t="n">
        <v>0.2</v>
      </c>
      <c r="S8" s="62" t="n">
        <v>1</v>
      </c>
      <c r="T8" s="62" t="n">
        <v>8</v>
      </c>
      <c r="U8" s="63" t="n">
        <v>0.2</v>
      </c>
      <c r="V8" s="64"/>
      <c r="W8" s="64"/>
      <c r="X8" s="65"/>
      <c r="Y8" s="66" t="n">
        <f aca="false">IF(OR(A8="",M8="",NOT(ISNUMBER(C8))),0,IF((C8+H8)&gt;12,G8*M8/1000,0))</f>
        <v>0</v>
      </c>
      <c r="Z8" s="66" t="n">
        <f aca="false">IF(OR(A8="",O8="",NOT(ISNUMBER(C8))),0,IF((C8+H8)&gt;12,G8*O8/1000,0))</f>
        <v>0</v>
      </c>
      <c r="AA8" s="67" t="n">
        <f aca="false">IF(OR(A8="",NOT(ISNUMBER(C8))),"",C8+H8+I8)</f>
        <v>1.2</v>
      </c>
      <c r="AB8" s="67" t="n">
        <f aca="false">IF(OR(A8="",AA8=""),0,IFERROR(J8*AA8*VLOOKUP(K8,'TABELA DE PESOS'!$A$2:$B$9,2,FALSE()),0))</f>
        <v>53.0208</v>
      </c>
      <c r="AC8" s="67" t="n">
        <f aca="false">IF(OR(A8="",NOT(ISNUMBER(C8))),"",C8+H8+Y8)</f>
        <v>1.2</v>
      </c>
      <c r="AD8" s="67" t="n">
        <f aca="false">IF(OR(A8="",AC8=""),0,IFERROR(L8*AC8*VLOOKUP(M8,'TABELA DE PESOS'!$A$2:$B$9,2,FALSE()),0))</f>
        <v>0</v>
      </c>
      <c r="AE8" s="67" t="n">
        <f aca="false">IF(OR(A8="",NOT(ISNUMBER(C8))),"",C8+H8+Z8)</f>
        <v>1.2</v>
      </c>
      <c r="AF8" s="67" t="n">
        <f aca="false">IF(OR(A8="",AE8=""),0,IFERROR(N8*AE8*VLOOKUP(O8,'TABELA DE PESOS'!$A$2:$B$9,2,FALSE()),0))</f>
        <v>0</v>
      </c>
      <c r="AG8" s="68" t="n">
        <f aca="false">IF(OR(A8="",P8="",NOT(ISNUMBER(C8))),0,P8*(INT(C8/R8)+1))</f>
        <v>3</v>
      </c>
      <c r="AH8" s="69" t="n">
        <f aca="false">IF(OR(A8="",P8=""),0,2*((D8-2*F8)+(E8-2*F8))/100+2*10*Q8/1000)</f>
        <v>2.12</v>
      </c>
      <c r="AI8" s="67" t="n">
        <f aca="false">IF(OR(A8="",P8=""),0,IFERROR(AG8*AH8*VLOOKUP(Q8,'TABELA DE PESOS'!$A$2:$B$9,2,FALSE()),0))</f>
        <v>2.5122</v>
      </c>
      <c r="AJ8" s="68" t="n">
        <f aca="false">IF(OR(A8="",S8="",NOT(ISNUMBER(C8))),0,S8*(INT(C8/U8)+1))</f>
        <v>3</v>
      </c>
      <c r="AK8" s="69" t="n">
        <f aca="false">IF(OR(A8="",S8=""),0,2*((D8-2*F8)+(E8-2*F8))/100+2*10*T8/1000)</f>
        <v>2.12</v>
      </c>
      <c r="AL8" s="67" t="n">
        <f aca="false">IF(OR(A8="",S8=""),0,IFERROR(AJ8*AK8*VLOOKUP(T8,'TABELA DE PESOS'!$A$2:$B$9,2,FALSE()),0))</f>
        <v>2.5122</v>
      </c>
      <c r="AM8" s="68" t="n">
        <f aca="false">IF(OR(A8="",V8="",NOT(ISNUMBER(C8))),0,V8*(INT(C8/X8)+1))</f>
        <v>0</v>
      </c>
      <c r="AN8" s="69" t="n">
        <f aca="false">IF(OR(A8="",V8=""),0,2*((D8-2*F8)+(E8-2*F8))/100+2*10*W8/1000)</f>
        <v>0</v>
      </c>
      <c r="AO8" s="67" t="n">
        <f aca="false">IF(OR(A8="",V8=""),0,IFERROR(AM8*AN8*VLOOKUP(W8,'TABELA DE PESOS'!$A$2:$B$9,2,FALSE()),0))</f>
        <v>0</v>
      </c>
      <c r="AP8" s="70" t="n">
        <f aca="false">IF(A8="",0,AB8+AD8+AF8+AI8+AL8+AO8)</f>
        <v>58.0452</v>
      </c>
      <c r="AQ8" s="71" t="n">
        <f aca="false">IF(OR(A8="",NOT(ISNUMBER(C8))),0,(D8/100)*(E8/100)*C8)</f>
        <v>0.112</v>
      </c>
      <c r="AR8" s="72" t="n">
        <f aca="false">IF(OR(A8="",NOT(ISNUMBER(C8))),0,2*(D8/100+E8/100)*C8)</f>
        <v>0.879999999999999</v>
      </c>
      <c r="AS8" s="57"/>
    </row>
    <row r="9" customFormat="false" ht="15" hidden="false" customHeight="true" outlineLevel="0" collapsed="false">
      <c r="A9" s="58" t="s">
        <v>135</v>
      </c>
      <c r="B9" s="58" t="s">
        <v>71</v>
      </c>
      <c r="C9" s="43" t="n">
        <f aca="false">IF(B9&lt;&gt;"",IFERROR(VLOOKUP(B9,PISOS!A:D,4,0),"PENDENTE"),"")</f>
        <v>3.5</v>
      </c>
      <c r="D9" s="42" t="n">
        <v>40</v>
      </c>
      <c r="E9" s="42" t="n">
        <v>70</v>
      </c>
      <c r="F9" s="42" t="n">
        <v>3</v>
      </c>
      <c r="G9" s="44" t="n">
        <v>50</v>
      </c>
      <c r="H9" s="45" t="n">
        <f aca="false">IF(OR(A9="",K9=""),0,G9*K9/1000)</f>
        <v>0.8</v>
      </c>
      <c r="I9" s="45" t="n">
        <f aca="false">IF(OR(A9="",K9="",NOT(ISNUMBER(C9))),0,IF((C9+H9)&gt;12,G9*K9/1000,0))</f>
        <v>0</v>
      </c>
      <c r="J9" s="42" t="n">
        <v>28</v>
      </c>
      <c r="K9" s="42" t="n">
        <v>16</v>
      </c>
      <c r="L9" s="42"/>
      <c r="M9" s="42"/>
      <c r="N9" s="42"/>
      <c r="O9" s="42"/>
      <c r="P9" s="42" t="n">
        <v>1</v>
      </c>
      <c r="Q9" s="42" t="n">
        <v>8</v>
      </c>
      <c r="R9" s="43" t="n">
        <v>0.2</v>
      </c>
      <c r="S9" s="46" t="n">
        <v>1</v>
      </c>
      <c r="T9" s="46" t="n">
        <v>8</v>
      </c>
      <c r="U9" s="47" t="n">
        <v>0.2</v>
      </c>
      <c r="V9" s="48"/>
      <c r="W9" s="48"/>
      <c r="X9" s="49"/>
      <c r="Y9" s="50" t="n">
        <f aca="false">IF(OR(A9="",M9="",NOT(ISNUMBER(C9))),0,IF((C9+H9)&gt;12,G9*M9/1000,0))</f>
        <v>0</v>
      </c>
      <c r="Z9" s="50" t="n">
        <f aca="false">IF(OR(A9="",O9="",NOT(ISNUMBER(C9))),0,IF((C9+H9)&gt;12,G9*O9/1000,0))</f>
        <v>0</v>
      </c>
      <c r="AA9" s="51" t="n">
        <f aca="false">IF(OR(A9="",NOT(ISNUMBER(C9))),"",C9+H9+I9)</f>
        <v>4.3</v>
      </c>
      <c r="AB9" s="51" t="n">
        <f aca="false">IF(OR(A9="",AA9=""),0,IFERROR(J9*AA9*VLOOKUP(K9,'TABELA DE PESOS'!$A$2:$B$9,2,FALSE()),0))</f>
        <v>189.9912</v>
      </c>
      <c r="AC9" s="51" t="n">
        <f aca="false">IF(OR(A9="",NOT(ISNUMBER(C9))),"",C9+H9+Y9)</f>
        <v>4.3</v>
      </c>
      <c r="AD9" s="51" t="n">
        <f aca="false">IF(OR(A9="",AC9=""),0,IFERROR(L9*AC9*VLOOKUP(M9,'TABELA DE PESOS'!$A$2:$B$9,2,FALSE()),0))</f>
        <v>0</v>
      </c>
      <c r="AE9" s="51" t="n">
        <f aca="false">IF(OR(A9="",NOT(ISNUMBER(C9))),"",C9+H9+Z9)</f>
        <v>4.3</v>
      </c>
      <c r="AF9" s="51" t="n">
        <f aca="false">IF(OR(A9="",AE9=""),0,IFERROR(N9*AE9*VLOOKUP(O9,'TABELA DE PESOS'!$A$2:$B$9,2,FALSE()),0))</f>
        <v>0</v>
      </c>
      <c r="AG9" s="52" t="n">
        <f aca="false">IF(OR(A9="",P9="",NOT(ISNUMBER(C9))),0,P9*(INT(C9/R9)+1))</f>
        <v>18</v>
      </c>
      <c r="AH9" s="53" t="n">
        <f aca="false">IF(OR(A9="",P9=""),0,2*((D9-2*F9)+(E9-2*F9))/100+2*10*Q9/1000)</f>
        <v>2.12</v>
      </c>
      <c r="AI9" s="51" t="n">
        <f aca="false">IF(OR(A9="",P9=""),0,IFERROR(AG9*AH9*VLOOKUP(Q9,'TABELA DE PESOS'!$A$2:$B$9,2,FALSE()),0))</f>
        <v>15.0732</v>
      </c>
      <c r="AJ9" s="52" t="n">
        <f aca="false">IF(OR(A9="",S9="",NOT(ISNUMBER(C9))),0,S9*(INT(C9/U9)+1))</f>
        <v>18</v>
      </c>
      <c r="AK9" s="53" t="n">
        <f aca="false">IF(OR(A9="",S9=""),0,2*((D9-2*F9)+(E9-2*F9))/100+2*10*T9/1000)</f>
        <v>2.12</v>
      </c>
      <c r="AL9" s="51" t="n">
        <f aca="false">IF(OR(A9="",S9=""),0,IFERROR(AJ9*AK9*VLOOKUP(T9,'TABELA DE PESOS'!$A$2:$B$9,2,FALSE()),0))</f>
        <v>15.0732</v>
      </c>
      <c r="AM9" s="52" t="n">
        <f aca="false">IF(OR(A9="",V9="",NOT(ISNUMBER(C9))),0,V9*(INT(C9/X9)+1))</f>
        <v>0</v>
      </c>
      <c r="AN9" s="53" t="n">
        <f aca="false">IF(OR(A9="",V9=""),0,2*((D9-2*F9)+(E9-2*F9))/100+2*10*W9/1000)</f>
        <v>0</v>
      </c>
      <c r="AO9" s="51" t="n">
        <f aca="false">IF(OR(A9="",V9=""),0,IFERROR(AM9*AN9*VLOOKUP(W9,'TABELA DE PESOS'!$A$2:$B$9,2,FALSE()),0))</f>
        <v>0</v>
      </c>
      <c r="AP9" s="54" t="n">
        <f aca="false">IF(A9="",0,AB9+AD9+AF9+AI9+AL9+AO9)</f>
        <v>220.1376</v>
      </c>
      <c r="AQ9" s="55" t="n">
        <f aca="false">IF(OR(A9="",NOT(ISNUMBER(C9))),0,(D9/100)*(E9/100)*C9)</f>
        <v>0.98</v>
      </c>
      <c r="AR9" s="56" t="n">
        <f aca="false">IF(OR(A9="",NOT(ISNUMBER(C9))),0,2*(D9/100+E9/100)*C9)</f>
        <v>7.7</v>
      </c>
      <c r="AS9" s="57"/>
    </row>
    <row r="10" customFormat="false" ht="15" hidden="false" customHeight="true" outlineLevel="0" collapsed="false">
      <c r="A10" s="58" t="s">
        <v>136</v>
      </c>
      <c r="B10" s="42" t="s">
        <v>70</v>
      </c>
      <c r="C10" s="59" t="n">
        <f aca="false">IF(B10&lt;&gt;"",IFERROR(VLOOKUP(B10,PISOS!A:D,4,0),"PENDENTE"),"")</f>
        <v>0.399999999999999</v>
      </c>
      <c r="D10" s="58" t="n">
        <v>40</v>
      </c>
      <c r="E10" s="58" t="n">
        <v>20</v>
      </c>
      <c r="F10" s="58" t="n">
        <v>3</v>
      </c>
      <c r="G10" s="60" t="n">
        <v>50</v>
      </c>
      <c r="H10" s="61" t="n">
        <f aca="false">IF(OR(A10="",K10=""),0,G10*K10/1000)</f>
        <v>0.8</v>
      </c>
      <c r="I10" s="61" t="n">
        <f aca="false">IF(OR(A10="",K10="",NOT(ISNUMBER(C10))),0,IF((C10+H10)&gt;12,G10*K10/1000,0))</f>
        <v>0</v>
      </c>
      <c r="J10" s="58" t="n">
        <v>6</v>
      </c>
      <c r="K10" s="58" t="n">
        <v>16</v>
      </c>
      <c r="L10" s="58" t="n">
        <v>6</v>
      </c>
      <c r="M10" s="58" t="n">
        <v>12</v>
      </c>
      <c r="N10" s="58"/>
      <c r="O10" s="58"/>
      <c r="P10" s="58" t="n">
        <v>1</v>
      </c>
      <c r="Q10" s="58" t="n">
        <v>8</v>
      </c>
      <c r="R10" s="59" t="n">
        <v>0.2</v>
      </c>
      <c r="S10" s="62"/>
      <c r="T10" s="62"/>
      <c r="U10" s="63"/>
      <c r="V10" s="64"/>
      <c r="W10" s="64"/>
      <c r="X10" s="65"/>
      <c r="Y10" s="66" t="n">
        <f aca="false">IF(OR(A10="",M10="",NOT(ISNUMBER(C10))),0,IF((C10+H10)&gt;12,G10*M10/1000,0))</f>
        <v>0</v>
      </c>
      <c r="Z10" s="66" t="n">
        <f aca="false">IF(OR(A10="",O10="",NOT(ISNUMBER(C10))),0,IF((C10+H10)&gt;12,G10*O10/1000,0))</f>
        <v>0</v>
      </c>
      <c r="AA10" s="67" t="n">
        <f aca="false">IF(OR(A10="",NOT(ISNUMBER(C10))),"",C10+H10+I10)</f>
        <v>1.2</v>
      </c>
      <c r="AB10" s="67" t="n">
        <f aca="false">IF(OR(A10="",AA10=""),0,IFERROR(J10*AA10*VLOOKUP(K10,'TABELA DE PESOS'!$A$2:$B$9,2,FALSE()),0))</f>
        <v>11.3616</v>
      </c>
      <c r="AC10" s="67" t="n">
        <f aca="false">IF(OR(A10="",NOT(ISNUMBER(C10))),"",C10+H10+Y10)</f>
        <v>1.2</v>
      </c>
      <c r="AD10" s="67" t="n">
        <f aca="false">IF(OR(A10="",AC10=""),0,IFERROR(L10*AC10*VLOOKUP(M10,'TABELA DE PESOS'!$A$2:$B$9,2,FALSE()),0))</f>
        <v>6.3936</v>
      </c>
      <c r="AE10" s="67" t="n">
        <f aca="false">IF(OR(A10="",NOT(ISNUMBER(C10))),"",C10+H10+Z10)</f>
        <v>1.2</v>
      </c>
      <c r="AF10" s="67" t="n">
        <f aca="false">IF(OR(A10="",AE10=""),0,IFERROR(N10*AE10*VLOOKUP(O10,'TABELA DE PESOS'!$A$2:$B$9,2,FALSE()),0))</f>
        <v>0</v>
      </c>
      <c r="AG10" s="68" t="n">
        <f aca="false">IF(OR(A10="",P10="",NOT(ISNUMBER(C10))),0,P10*(INT(C10/R10)+1))</f>
        <v>3</v>
      </c>
      <c r="AH10" s="69" t="n">
        <f aca="false">IF(OR(A10="",P10=""),0,2*((D10-2*F10)+(E10-2*F10))/100+2*10*Q10/1000)</f>
        <v>1.12</v>
      </c>
      <c r="AI10" s="67" t="n">
        <f aca="false">IF(OR(A10="",P10=""),0,IFERROR(AG10*AH10*VLOOKUP(Q10,'TABELA DE PESOS'!$A$2:$B$9,2,FALSE()),0))</f>
        <v>1.3272</v>
      </c>
      <c r="AJ10" s="68" t="n">
        <f aca="false">IF(OR(A10="",S10="",NOT(ISNUMBER(C10))),0,S10*(INT(C10/U10)+1))</f>
        <v>0</v>
      </c>
      <c r="AK10" s="69" t="n">
        <f aca="false">IF(OR(A10="",S10=""),0,2*((D10-2*F10)+(E10-2*F10))/100+2*10*T10/1000)</f>
        <v>0</v>
      </c>
      <c r="AL10" s="67" t="n">
        <f aca="false">IF(OR(A10="",S10=""),0,IFERROR(AJ10*AK10*VLOOKUP(T10,'TABELA DE PESOS'!$A$2:$B$9,2,FALSE()),0))</f>
        <v>0</v>
      </c>
      <c r="AM10" s="68" t="n">
        <f aca="false">IF(OR(A10="",V10="",NOT(ISNUMBER(C10))),0,V10*(INT(C10/X10)+1))</f>
        <v>0</v>
      </c>
      <c r="AN10" s="69" t="n">
        <f aca="false">IF(OR(A10="",V10=""),0,2*((D10-2*F10)+(E10-2*F10))/100+2*10*W10/1000)</f>
        <v>0</v>
      </c>
      <c r="AO10" s="67" t="n">
        <f aca="false">IF(OR(A10="",V10=""),0,IFERROR(AM10*AN10*VLOOKUP(W10,'TABELA DE PESOS'!$A$2:$B$9,2,FALSE()),0))</f>
        <v>0</v>
      </c>
      <c r="AP10" s="70" t="n">
        <f aca="false">IF(A10="",0,AB10+AD10+AF10+AI10+AL10+AO10)</f>
        <v>19.0824</v>
      </c>
      <c r="AQ10" s="71" t="n">
        <f aca="false">IF(OR(A10="",NOT(ISNUMBER(C10))),0,(D10/100)*(E10/100)*C10)</f>
        <v>0.032</v>
      </c>
      <c r="AR10" s="72" t="n">
        <f aca="false">IF(OR(A10="",NOT(ISNUMBER(C10))),0,2*(D10/100+E10/100)*C10)</f>
        <v>0.479999999999999</v>
      </c>
      <c r="AS10" s="57"/>
    </row>
    <row r="11" customFormat="false" ht="15" hidden="false" customHeight="true" outlineLevel="0" collapsed="false">
      <c r="A11" s="58" t="s">
        <v>136</v>
      </c>
      <c r="B11" s="58" t="s">
        <v>71</v>
      </c>
      <c r="C11" s="59" t="n">
        <f aca="false">IF(B11&lt;&gt;"",IFERROR(VLOOKUP(B11,PISOS!A:D,4,0),"PENDENTE"),"")</f>
        <v>3.5</v>
      </c>
      <c r="D11" s="58" t="n">
        <v>40</v>
      </c>
      <c r="E11" s="58" t="n">
        <v>20</v>
      </c>
      <c r="F11" s="58" t="n">
        <v>3</v>
      </c>
      <c r="G11" s="60" t="n">
        <v>50</v>
      </c>
      <c r="H11" s="61" t="n">
        <f aca="false">IF(OR(A11="",K11=""),0,G11*K11/1000)</f>
        <v>0.8</v>
      </c>
      <c r="I11" s="61" t="n">
        <f aca="false">IF(OR(A11="",K11="",NOT(ISNUMBER(C11))),0,IF((C11+H11)&gt;12,G11*K11/1000,0))</f>
        <v>0</v>
      </c>
      <c r="J11" s="58" t="n">
        <v>6</v>
      </c>
      <c r="K11" s="58" t="n">
        <v>16</v>
      </c>
      <c r="L11" s="58" t="n">
        <v>6</v>
      </c>
      <c r="M11" s="58" t="n">
        <v>12</v>
      </c>
      <c r="N11" s="58"/>
      <c r="O11" s="58"/>
      <c r="P11" s="58" t="n">
        <v>1</v>
      </c>
      <c r="Q11" s="58" t="n">
        <v>8</v>
      </c>
      <c r="R11" s="59" t="n">
        <v>0.2</v>
      </c>
      <c r="S11" s="62"/>
      <c r="T11" s="62"/>
      <c r="U11" s="63"/>
      <c r="V11" s="64"/>
      <c r="W11" s="64"/>
      <c r="X11" s="65"/>
      <c r="Y11" s="66" t="n">
        <f aca="false">IF(OR(A11="",M11="",NOT(ISNUMBER(C11))),0,IF((C11+H11)&gt;12,G11*M11/1000,0))</f>
        <v>0</v>
      </c>
      <c r="Z11" s="66" t="n">
        <f aca="false">IF(OR(A11="",O11="",NOT(ISNUMBER(C11))),0,IF((C11+H11)&gt;12,G11*O11/1000,0))</f>
        <v>0</v>
      </c>
      <c r="AA11" s="67" t="n">
        <f aca="false">IF(OR(A11="",NOT(ISNUMBER(C11))),"",C11+H11+I11)</f>
        <v>4.3</v>
      </c>
      <c r="AB11" s="67" t="n">
        <f aca="false">IF(OR(A11="",AA11=""),0,IFERROR(J11*AA11*VLOOKUP(K11,'TABELA DE PESOS'!$A$2:$B$9,2,FALSE()),0))</f>
        <v>40.7124</v>
      </c>
      <c r="AC11" s="67" t="n">
        <f aca="false">IF(OR(A11="",NOT(ISNUMBER(C11))),"",C11+H11+Y11)</f>
        <v>4.3</v>
      </c>
      <c r="AD11" s="67" t="n">
        <f aca="false">IF(OR(A11="",AC11=""),0,IFERROR(L11*AC11*VLOOKUP(M11,'TABELA DE PESOS'!$A$2:$B$9,2,FALSE()),0))</f>
        <v>22.9104</v>
      </c>
      <c r="AE11" s="67" t="n">
        <f aca="false">IF(OR(A11="",NOT(ISNUMBER(C11))),"",C11+H11+Z11)</f>
        <v>4.3</v>
      </c>
      <c r="AF11" s="67" t="n">
        <f aca="false">IF(OR(A11="",AE11=""),0,IFERROR(N11*AE11*VLOOKUP(O11,'TABELA DE PESOS'!$A$2:$B$9,2,FALSE()),0))</f>
        <v>0</v>
      </c>
      <c r="AG11" s="68" t="n">
        <f aca="false">IF(OR(A11="",P11="",NOT(ISNUMBER(C11))),0,P11*(INT(C11/R11)+1))</f>
        <v>18</v>
      </c>
      <c r="AH11" s="69" t="n">
        <f aca="false">IF(OR(A11="",P11=""),0,2*((D11-2*F11)+(E11-2*F11))/100+2*10*Q11/1000)</f>
        <v>1.12</v>
      </c>
      <c r="AI11" s="67" t="n">
        <f aca="false">IF(OR(A11="",P11=""),0,IFERROR(AG11*AH11*VLOOKUP(Q11,'TABELA DE PESOS'!$A$2:$B$9,2,FALSE()),0))</f>
        <v>7.9632</v>
      </c>
      <c r="AJ11" s="68" t="n">
        <f aca="false">IF(OR(A11="",S11="",NOT(ISNUMBER(C11))),0,S11*(INT(C11/U11)+1))</f>
        <v>0</v>
      </c>
      <c r="AK11" s="69" t="n">
        <f aca="false">IF(OR(A11="",S11=""),0,2*((D11-2*F11)+(E11-2*F11))/100+2*10*T11/1000)</f>
        <v>0</v>
      </c>
      <c r="AL11" s="67" t="n">
        <f aca="false">IF(OR(A11="",S11=""),0,IFERROR(AJ11*AK11*VLOOKUP(T11,'TABELA DE PESOS'!$A$2:$B$9,2,FALSE()),0))</f>
        <v>0</v>
      </c>
      <c r="AM11" s="68" t="n">
        <f aca="false">IF(OR(A11="",V11="",NOT(ISNUMBER(C11))),0,V11*(INT(C11/X11)+1))</f>
        <v>0</v>
      </c>
      <c r="AN11" s="69" t="n">
        <f aca="false">IF(OR(A11="",V11=""),0,2*((D11-2*F11)+(E11-2*F11))/100+2*10*W11/1000)</f>
        <v>0</v>
      </c>
      <c r="AO11" s="67" t="n">
        <f aca="false">IF(OR(A11="",V11=""),0,IFERROR(AM11*AN11*VLOOKUP(W11,'TABELA DE PESOS'!$A$2:$B$9,2,FALSE()),0))</f>
        <v>0</v>
      </c>
      <c r="AP11" s="70" t="n">
        <f aca="false">IF(A11="",0,AB11+AD11+AF11+AI11+AL11+AO11)</f>
        <v>71.586</v>
      </c>
      <c r="AQ11" s="71" t="n">
        <f aca="false">IF(OR(A11="",NOT(ISNUMBER(C11))),0,(D11/100)*(E11/100)*C11)</f>
        <v>0.28</v>
      </c>
      <c r="AR11" s="72" t="n">
        <f aca="false">IF(OR(A11="",NOT(ISNUMBER(C11))),0,2*(D11/100+E11/100)*C11)</f>
        <v>4.2</v>
      </c>
      <c r="AS11" s="57"/>
    </row>
    <row r="12" customFormat="false" ht="15" hidden="false" customHeight="true" outlineLevel="0" collapsed="false">
      <c r="A12" s="73" t="s">
        <v>137</v>
      </c>
      <c r="B12" s="42" t="s">
        <v>70</v>
      </c>
      <c r="C12" s="59" t="n">
        <f aca="false">IF(B12&lt;&gt;"",IFERROR(VLOOKUP(B12,PISOS!A:D,4,0),"PENDENTE"),"")</f>
        <v>0.399999999999999</v>
      </c>
      <c r="D12" s="58" t="n">
        <v>50</v>
      </c>
      <c r="E12" s="58" t="n">
        <v>30</v>
      </c>
      <c r="F12" s="58" t="n">
        <v>3</v>
      </c>
      <c r="G12" s="60" t="n">
        <v>50</v>
      </c>
      <c r="H12" s="61" t="n">
        <f aca="false">IF(OR(A12="",K12=""),0,G12*K12/1000)</f>
        <v>0.8</v>
      </c>
      <c r="I12" s="61" t="n">
        <f aca="false">IF(OR(A12="",K12="",NOT(ISNUMBER(C12))),0,IF((C12+H12)&gt;12,G12*K12/1000,0))</f>
        <v>0</v>
      </c>
      <c r="J12" s="58" t="n">
        <v>10</v>
      </c>
      <c r="K12" s="58" t="n">
        <v>16</v>
      </c>
      <c r="L12" s="58"/>
      <c r="M12" s="58"/>
      <c r="N12" s="58"/>
      <c r="O12" s="58"/>
      <c r="P12" s="58" t="n">
        <v>1</v>
      </c>
      <c r="Q12" s="58" t="n">
        <v>8</v>
      </c>
      <c r="R12" s="59" t="n">
        <v>0.2</v>
      </c>
      <c r="S12" s="62"/>
      <c r="T12" s="62"/>
      <c r="U12" s="63"/>
      <c r="V12" s="64"/>
      <c r="W12" s="64"/>
      <c r="X12" s="65"/>
      <c r="Y12" s="66" t="n">
        <f aca="false">IF(OR(A12="",M12="",NOT(ISNUMBER(C12))),0,IF((C12+H12)&gt;12,G12*M12/1000,0))</f>
        <v>0</v>
      </c>
      <c r="Z12" s="66" t="n">
        <f aca="false">IF(OR(A12="",O12="",NOT(ISNUMBER(C12))),0,IF((C12+H12)&gt;12,G12*O12/1000,0))</f>
        <v>0</v>
      </c>
      <c r="AA12" s="67" t="n">
        <f aca="false">IF(OR(A12="",NOT(ISNUMBER(C12))),"",C12+H12+I12)</f>
        <v>1.2</v>
      </c>
      <c r="AB12" s="67" t="n">
        <f aca="false">IF(OR(A12="",AA12=""),0,IFERROR(J12*AA12*VLOOKUP(K12,'TABELA DE PESOS'!$A$2:$B$9,2,FALSE()),0))</f>
        <v>18.936</v>
      </c>
      <c r="AC12" s="67" t="n">
        <f aca="false">IF(OR(A12="",NOT(ISNUMBER(C12))),"",C12+H12+Y12)</f>
        <v>1.2</v>
      </c>
      <c r="AD12" s="67" t="n">
        <f aca="false">IF(OR(A12="",AC12=""),0,IFERROR(L12*AC12*VLOOKUP(M12,'TABELA DE PESOS'!$A$2:$B$9,2,FALSE()),0))</f>
        <v>0</v>
      </c>
      <c r="AE12" s="67" t="n">
        <f aca="false">IF(OR(A12="",NOT(ISNUMBER(C12))),"",C12+H12+Z12)</f>
        <v>1.2</v>
      </c>
      <c r="AF12" s="67" t="n">
        <f aca="false">IF(OR(A12="",AE12=""),0,IFERROR(N12*AE12*VLOOKUP(O12,'TABELA DE PESOS'!$A$2:$B$9,2,FALSE()),0))</f>
        <v>0</v>
      </c>
      <c r="AG12" s="68" t="n">
        <f aca="false">IF(OR(A12="",P12="",NOT(ISNUMBER(C12))),0,P12*(INT(C12/R12)+1))</f>
        <v>3</v>
      </c>
      <c r="AH12" s="69" t="n">
        <f aca="false">IF(OR(A12="",P12=""),0,2*((D12-2*F12)+(E12-2*F12))/100+2*10*Q12/1000)</f>
        <v>1.52</v>
      </c>
      <c r="AI12" s="67" t="n">
        <f aca="false">IF(OR(A12="",P12=""),0,IFERROR(AG12*AH12*VLOOKUP(Q12,'TABELA DE PESOS'!$A$2:$B$9,2,FALSE()),0))</f>
        <v>1.8012</v>
      </c>
      <c r="AJ12" s="68" t="n">
        <f aca="false">IF(OR(A12="",S12="",NOT(ISNUMBER(C12))),0,S12*(INT(C12/U12)+1))</f>
        <v>0</v>
      </c>
      <c r="AK12" s="69" t="n">
        <f aca="false">IF(OR(A12="",S12=""),0,2*((D12-2*F12)+(E12-2*F12))/100+2*10*T12/1000)</f>
        <v>0</v>
      </c>
      <c r="AL12" s="67" t="n">
        <f aca="false">IF(OR(A12="",S12=""),0,IFERROR(AJ12*AK12*VLOOKUP(T12,'TABELA DE PESOS'!$A$2:$B$9,2,FALSE()),0))</f>
        <v>0</v>
      </c>
      <c r="AM12" s="68" t="n">
        <f aca="false">IF(OR(A12="",V12="",NOT(ISNUMBER(C12))),0,V12*(INT(C12/X12)+1))</f>
        <v>0</v>
      </c>
      <c r="AN12" s="69" t="n">
        <f aca="false">IF(OR(A12="",V12=""),0,2*((D12-2*F12)+(E12-2*F12))/100+2*10*W12/1000)</f>
        <v>0</v>
      </c>
      <c r="AO12" s="67" t="n">
        <f aca="false">IF(OR(A12="",V12=""),0,IFERROR(AM12*AN12*VLOOKUP(W12,'TABELA DE PESOS'!$A$2:$B$9,2,FALSE()),0))</f>
        <v>0</v>
      </c>
      <c r="AP12" s="70" t="n">
        <f aca="false">IF(A12="",0,AB12+AD12+AF12+AI12+AL12+AO12)</f>
        <v>20.7372</v>
      </c>
      <c r="AQ12" s="71" t="n">
        <f aca="false">IF(OR(A12="",NOT(ISNUMBER(C12))),0,(D12/100)*(E12/100)*C12)</f>
        <v>0.0599999999999999</v>
      </c>
      <c r="AR12" s="72" t="n">
        <f aca="false">IF(OR(A12="",NOT(ISNUMBER(C12))),0,2*(D12/100+E12/100)*C12)</f>
        <v>0.639999999999999</v>
      </c>
      <c r="AS12" s="57"/>
    </row>
    <row r="13" customFormat="false" ht="15" hidden="false" customHeight="true" outlineLevel="0" collapsed="false">
      <c r="A13" s="42" t="s">
        <v>137</v>
      </c>
      <c r="B13" s="58" t="s">
        <v>71</v>
      </c>
      <c r="C13" s="43" t="n">
        <f aca="false">IF(B13&lt;&gt;"",IFERROR(VLOOKUP(B13,PISOS!A:D,4,0),"PENDENTE"),"")</f>
        <v>3.5</v>
      </c>
      <c r="D13" s="42" t="n">
        <v>50</v>
      </c>
      <c r="E13" s="42" t="n">
        <v>30</v>
      </c>
      <c r="F13" s="42" t="n">
        <v>3</v>
      </c>
      <c r="G13" s="44" t="n">
        <v>50</v>
      </c>
      <c r="H13" s="45" t="n">
        <f aca="false">IF(OR(A13="",K13=""),0,G13*K13/1000)</f>
        <v>0.8</v>
      </c>
      <c r="I13" s="45" t="n">
        <f aca="false">IF(OR(A13="",K13="",NOT(ISNUMBER(C13))),0,IF((C13+H13)&gt;12,G13*K13/1000,0))</f>
        <v>0</v>
      </c>
      <c r="J13" s="42" t="n">
        <v>7</v>
      </c>
      <c r="K13" s="42" t="n">
        <v>16</v>
      </c>
      <c r="L13" s="42"/>
      <c r="M13" s="42"/>
      <c r="N13" s="42"/>
      <c r="O13" s="42"/>
      <c r="P13" s="42" t="n">
        <v>1</v>
      </c>
      <c r="Q13" s="42" t="n">
        <v>8</v>
      </c>
      <c r="R13" s="43" t="n">
        <v>0.2</v>
      </c>
      <c r="S13" s="46"/>
      <c r="T13" s="46"/>
      <c r="U13" s="47"/>
      <c r="V13" s="48"/>
      <c r="W13" s="48"/>
      <c r="X13" s="49"/>
      <c r="Y13" s="50" t="n">
        <f aca="false">IF(OR(A13="",M13="",NOT(ISNUMBER(C13))),0,IF((C13+H13)&gt;12,G13*M13/1000,0))</f>
        <v>0</v>
      </c>
      <c r="Z13" s="50" t="n">
        <f aca="false">IF(OR(A13="",O13="",NOT(ISNUMBER(C13))),0,IF((C13+H13)&gt;12,G13*O13/1000,0))</f>
        <v>0</v>
      </c>
      <c r="AA13" s="51" t="n">
        <f aca="false">IF(OR(A13="",NOT(ISNUMBER(C13))),"",C13+H13+I13)</f>
        <v>4.3</v>
      </c>
      <c r="AB13" s="51" t="n">
        <f aca="false">IF(OR(A13="",AA13=""),0,IFERROR(J13*AA13*VLOOKUP(K13,'TABELA DE PESOS'!$A$2:$B$9,2,FALSE()),0))</f>
        <v>47.4978</v>
      </c>
      <c r="AC13" s="51" t="n">
        <f aca="false">IF(OR(A13="",NOT(ISNUMBER(C13))),"",C13+H13+Y13)</f>
        <v>4.3</v>
      </c>
      <c r="AD13" s="51" t="n">
        <f aca="false">IF(OR(A13="",AC13=""),0,IFERROR(L13*AC13*VLOOKUP(M13,'TABELA DE PESOS'!$A$2:$B$9,2,FALSE()),0))</f>
        <v>0</v>
      </c>
      <c r="AE13" s="51" t="n">
        <f aca="false">IF(OR(A13="",NOT(ISNUMBER(C13))),"",C13+H13+Z13)</f>
        <v>4.3</v>
      </c>
      <c r="AF13" s="51" t="n">
        <f aca="false">IF(OR(A13="",AE13=""),0,IFERROR(N13*AE13*VLOOKUP(O13,'TABELA DE PESOS'!$A$2:$B$9,2,FALSE()),0))</f>
        <v>0</v>
      </c>
      <c r="AG13" s="52" t="n">
        <f aca="false">IF(OR(A13="",P13="",NOT(ISNUMBER(C13))),0,P13*(INT(C13/R13)+1))</f>
        <v>18</v>
      </c>
      <c r="AH13" s="53" t="n">
        <f aca="false">IF(OR(A13="",P13=""),0,PI()*(D13-2*F13)/100+2*10*Q13/1000)</f>
        <v>1.54230076757951</v>
      </c>
      <c r="AI13" s="51" t="n">
        <f aca="false">IF(OR(A13="",P13=""),0,IFERROR(AG13*AH13*VLOOKUP(Q13,'TABELA DE PESOS'!$A$2:$B$9,2,FALSE()),0))</f>
        <v>10.9657584574903</v>
      </c>
      <c r="AJ13" s="52" t="n">
        <f aca="false">IF(OR(A13="",S13="",NOT(ISNUMBER(C13))),0,S13*(INT(C13/U13)+1))</f>
        <v>0</v>
      </c>
      <c r="AK13" s="53" t="n">
        <f aca="false">IF(OR(A13="",S13=""),0,PI()*(D13-2*F13)/100+2*10*T13/1000)</f>
        <v>0</v>
      </c>
      <c r="AL13" s="51" t="n">
        <f aca="false">IF(OR(A13="",S13=""),0,IFERROR(AJ13*AK13*VLOOKUP(T13,'TABELA DE PESOS'!$A$2:$B$9,2,FALSE()),0))</f>
        <v>0</v>
      </c>
      <c r="AM13" s="52" t="n">
        <f aca="false">IF(OR(A13="",V13="",NOT(ISNUMBER(C13))),0,V13*(INT(C13/X13)+1))</f>
        <v>0</v>
      </c>
      <c r="AN13" s="53" t="n">
        <f aca="false">IF(OR(A13="",V13=""),0,PI()*(D13-2*F13)/100+2*10*W13/1000)</f>
        <v>0</v>
      </c>
      <c r="AO13" s="51" t="n">
        <f aca="false">IF(OR(A13="",V13=""),0,IFERROR(AM13*AN13*VLOOKUP(W13,'TABELA DE PESOS'!$A$2:$B$9,2,FALSE()),0))</f>
        <v>0</v>
      </c>
      <c r="AP13" s="54" t="n">
        <f aca="false">IF(A13="",0,AB13+AD13+AF13+AI13+AL13+AO13)</f>
        <v>58.4635584574903</v>
      </c>
      <c r="AQ13" s="55" t="n">
        <f aca="false">IF(OR(A13="",NOT(ISNUMBER(C13))),0,PI()*(D13/200)^2*C13)</f>
        <v>0.687223392972767</v>
      </c>
      <c r="AR13" s="56" t="n">
        <f aca="false">IF(OR(A13="",NOT(ISNUMBER(C13))),0,PI()*(D13/100)*C13)</f>
        <v>5.49778714378214</v>
      </c>
      <c r="AS13" s="57"/>
    </row>
    <row r="14" customFormat="false" ht="15" hidden="false" customHeight="true" outlineLevel="0" collapsed="false">
      <c r="A14" s="58"/>
      <c r="B14" s="58"/>
      <c r="C14" s="59"/>
      <c r="D14" s="58"/>
      <c r="E14" s="58"/>
      <c r="F14" s="58"/>
      <c r="G14" s="60" t="n">
        <v>50</v>
      </c>
      <c r="H14" s="61" t="n">
        <f aca="false">IF(OR(A14="",K14=""),0,G14*K14/1000)</f>
        <v>0</v>
      </c>
      <c r="I14" s="61" t="n">
        <f aca="false">IF(OR(A14="",K14="",NOT(ISNUMBER(C14))),0,IF((C14+H14)&gt;12,G14*K14/1000,0))</f>
        <v>0</v>
      </c>
      <c r="J14" s="58"/>
      <c r="K14" s="58"/>
      <c r="L14" s="58"/>
      <c r="M14" s="58"/>
      <c r="N14" s="58"/>
      <c r="O14" s="58"/>
      <c r="P14" s="58"/>
      <c r="Q14" s="58"/>
      <c r="R14" s="59"/>
      <c r="S14" s="62"/>
      <c r="T14" s="62"/>
      <c r="U14" s="63"/>
      <c r="V14" s="64"/>
      <c r="W14" s="64"/>
      <c r="X14" s="65"/>
      <c r="Y14" s="66" t="n">
        <f aca="false">IF(OR(A14="",M14="",NOT(ISNUMBER(C14))),0,IF((C14+H14)&gt;12,G14*M14/1000,0))</f>
        <v>0</v>
      </c>
      <c r="Z14" s="66" t="n">
        <f aca="false">IF(OR(A14="",O14="",NOT(ISNUMBER(C14))),0,IF((C14+H14)&gt;12,G14*O14/1000,0))</f>
        <v>0</v>
      </c>
      <c r="AA14" s="67" t="str">
        <f aca="false">IF(OR(A14="",NOT(ISNUMBER(C14))),"",C14+H14+I14)</f>
        <v/>
      </c>
      <c r="AB14" s="67" t="n">
        <f aca="false">IF(OR(A14="",AA14=""),0,IFERROR(J14*AA14*VLOOKUP(K14,'TABELA DE PESOS'!$A$2:$B$9,2,FALSE()),0))</f>
        <v>0</v>
      </c>
      <c r="AC14" s="67" t="str">
        <f aca="false">IF(OR(A14="",NOT(ISNUMBER(C14))),"",C14+H14+Y14)</f>
        <v/>
      </c>
      <c r="AD14" s="67" t="n">
        <f aca="false">IF(OR(A14="",AC14=""),0,IFERROR(L14*AC14*VLOOKUP(M14,'TABELA DE PESOS'!$A$2:$B$9,2,FALSE()),0))</f>
        <v>0</v>
      </c>
      <c r="AE14" s="67" t="str">
        <f aca="false">IF(OR(A14="",NOT(ISNUMBER(C14))),"",C14+H14+Z14)</f>
        <v/>
      </c>
      <c r="AF14" s="67" t="n">
        <f aca="false">IF(OR(A14="",AE14=""),0,IFERROR(N14*AE14*VLOOKUP(O14,'TABELA DE PESOS'!$A$2:$B$9,2,FALSE()),0))</f>
        <v>0</v>
      </c>
      <c r="AG14" s="68" t="n">
        <f aca="false">IF(OR(A14="",P14="",NOT(ISNUMBER(C14))),0,P14*(INT(C14/R14)+1))</f>
        <v>0</v>
      </c>
      <c r="AH14" s="69" t="n">
        <f aca="false">IF(OR(A14="",P14=""),0,2*((D14-2*F14)+(E14-2*F14))/100+2*10*Q14/1000)</f>
        <v>0</v>
      </c>
      <c r="AI14" s="67" t="n">
        <f aca="false">IF(OR(A14="",P14=""),0,IFERROR(AG14*AH14*VLOOKUP(Q14,'TABELA DE PESOS'!$A$2:$B$9,2,FALSE()),0))</f>
        <v>0</v>
      </c>
      <c r="AJ14" s="68" t="n">
        <f aca="false">IF(OR(A14="",S14="",NOT(ISNUMBER(C14))),0,S14*(INT(C14/U14)+1))</f>
        <v>0</v>
      </c>
      <c r="AK14" s="69" t="n">
        <f aca="false">IF(OR(A14="",S14=""),0,2*((D14-2*F14)+(E14-2*F14))/100+2*10*T14/1000)</f>
        <v>0</v>
      </c>
      <c r="AL14" s="67" t="n">
        <f aca="false">IF(OR(A14="",S14=""),0,IFERROR(AJ14*AK14*VLOOKUP(T14,'TABELA DE PESOS'!$A$2:$B$9,2,FALSE()),0))</f>
        <v>0</v>
      </c>
      <c r="AM14" s="68" t="n">
        <f aca="false">IF(OR(A14="",V14="",NOT(ISNUMBER(C14))),0,V14*(INT(C14/X14)+1))</f>
        <v>0</v>
      </c>
      <c r="AN14" s="69" t="n">
        <f aca="false">IF(OR(A14="",V14=""),0,2*((D14-2*F14)+(E14-2*F14))/100+2*10*W14/1000)</f>
        <v>0</v>
      </c>
      <c r="AO14" s="67" t="n">
        <f aca="false">IF(OR(A14="",V14=""),0,IFERROR(AM14*AN14*VLOOKUP(W14,'TABELA DE PESOS'!$A$2:$B$9,2,FALSE()),0))</f>
        <v>0</v>
      </c>
      <c r="AP14" s="70" t="n">
        <f aca="false">IF(A14="",0,AB14+AD14+AF14+AI14+AL14+AO14)</f>
        <v>0</v>
      </c>
      <c r="AQ14" s="71" t="n">
        <f aca="false">IF(OR(A14="",NOT(ISNUMBER(C14))),0,(D14/100)*(E14/100)*C14)</f>
        <v>0</v>
      </c>
      <c r="AR14" s="72" t="n">
        <f aca="false">IF(OR(A14="",NOT(ISNUMBER(C14))),0,2*(D14/100+E14/100)*C14)</f>
        <v>0</v>
      </c>
      <c r="AS14" s="74"/>
    </row>
    <row r="15" customFormat="false" ht="15" hidden="false" customHeight="true" outlineLevel="0" collapsed="false">
      <c r="A15" s="75" t="s">
        <v>138</v>
      </c>
      <c r="B15" s="75"/>
      <c r="C15" s="75"/>
      <c r="D15" s="75"/>
      <c r="E15" s="75"/>
      <c r="F15" s="75"/>
      <c r="G15" s="75"/>
      <c r="H15" s="75"/>
      <c r="I15" s="75"/>
      <c r="J15" s="75"/>
      <c r="K15" s="75"/>
      <c r="L15" s="75"/>
      <c r="M15" s="75"/>
      <c r="N15" s="75"/>
      <c r="O15" s="75"/>
      <c r="P15" s="75"/>
      <c r="Q15" s="75"/>
      <c r="R15" s="75"/>
      <c r="S15" s="75"/>
      <c r="T15" s="75"/>
      <c r="U15" s="75"/>
      <c r="V15" s="75"/>
      <c r="W15" s="75"/>
      <c r="X15" s="75"/>
      <c r="Y15" s="76"/>
      <c r="Z15" s="76"/>
      <c r="AA15" s="76"/>
      <c r="AB15" s="77" t="n">
        <f aca="false">SUM(AB6:AB14)</f>
        <v>413.5938</v>
      </c>
      <c r="AC15" s="76"/>
      <c r="AD15" s="77" t="n">
        <f aca="false">SUM(AD6:AD14)</f>
        <v>78.144</v>
      </c>
      <c r="AE15" s="76"/>
      <c r="AF15" s="77" t="n">
        <f aca="false">SUM(AF6:AF14)</f>
        <v>0</v>
      </c>
      <c r="AG15" s="76"/>
      <c r="AH15" s="76"/>
      <c r="AI15" s="77" t="n">
        <f aca="false">SUM(AI6:AI14)</f>
        <v>53.9101584574903</v>
      </c>
      <c r="AJ15" s="76"/>
      <c r="AK15" s="76"/>
      <c r="AL15" s="77" t="n">
        <f aca="false">SUM(AL6:AL14)</f>
        <v>31.8528</v>
      </c>
      <c r="AM15" s="76"/>
      <c r="AN15" s="76"/>
      <c r="AO15" s="77" t="n">
        <f aca="false">SUM(AO6:AO14)</f>
        <v>0</v>
      </c>
      <c r="AP15" s="77" t="n">
        <f aca="false">SUM(AP6:AP14)</f>
        <v>577.50075845749</v>
      </c>
      <c r="AQ15" s="77" t="n">
        <f aca="false">SUM(AQ6:AQ14)</f>
        <v>2.85322339297277</v>
      </c>
      <c r="AR15" s="77" t="n">
        <f aca="false">SUM(AR6:AR14)</f>
        <v>26.4177871437821</v>
      </c>
      <c r="AS15" s="76"/>
    </row>
  </sheetData>
  <mergeCells count="12">
    <mergeCell ref="A1:AU1"/>
    <mergeCell ref="A2:AU2"/>
    <mergeCell ref="A4:F4"/>
    <mergeCell ref="G4:I4"/>
    <mergeCell ref="J4:O4"/>
    <mergeCell ref="P4:R4"/>
    <mergeCell ref="S4:U4"/>
    <mergeCell ref="V4:X4"/>
    <mergeCell ref="Y4:Z4"/>
    <mergeCell ref="AA4:AF4"/>
    <mergeCell ref="AG4:AO4"/>
    <mergeCell ref="A15:X15"/>
  </mergeCells>
  <conditionalFormatting sqref="C6:C14">
    <cfRule type="cellIs" priority="2" operator="equal" aboveAverage="0" equalAverage="0" bottom="0" percent="0" rank="0" text="" dxfId="0">
      <formula>"PENDENTE"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0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9" ySplit="5" topLeftCell="J6" activePane="bottomRight" state="frozen"/>
      <selection pane="topLeft" activeCell="A1" activeCellId="0" sqref="A1"/>
      <selection pane="topRight" activeCell="J1" activeCellId="0" sqref="J1"/>
      <selection pane="bottomLeft" activeCell="A6" activeCellId="0" sqref="A6"/>
      <selection pane="bottomRight" activeCell="D12" activeCellId="0" sqref="D12"/>
    </sheetView>
  </sheetViews>
  <sheetFormatPr defaultColWidth="8.507812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8"/>
    <col collapsed="false" customWidth="true" hidden="false" outlineLevel="0" max="6" min="4" style="0" width="7"/>
    <col collapsed="false" customWidth="true" hidden="false" outlineLevel="0" max="7" min="7" style="0" width="9"/>
    <col collapsed="false" customWidth="true" hidden="false" outlineLevel="0" max="9" min="8" style="0" width="10"/>
    <col collapsed="false" customWidth="true" hidden="false" outlineLevel="0" max="10" min="10" style="0" width="6"/>
    <col collapsed="false" customWidth="true" hidden="false" outlineLevel="0" max="11" min="11" style="0" width="7"/>
    <col collapsed="false" customWidth="true" hidden="false" outlineLevel="0" max="12" min="12" style="0" width="6"/>
    <col collapsed="false" customWidth="true" hidden="false" outlineLevel="0" max="13" min="13" style="0" width="7"/>
    <col collapsed="false" customWidth="true" hidden="false" outlineLevel="0" max="14" min="14" style="0" width="6"/>
    <col collapsed="false" customWidth="true" hidden="false" outlineLevel="0" max="15" min="15" style="0" width="7"/>
    <col collapsed="false" customWidth="true" hidden="false" outlineLevel="0" max="16" min="16" style="0" width="6"/>
    <col collapsed="false" customWidth="true" hidden="false" outlineLevel="0" max="17" min="17" style="0" width="7"/>
    <col collapsed="false" customWidth="true" hidden="false" outlineLevel="0" max="18" min="18" style="0" width="8"/>
    <col collapsed="false" customWidth="true" hidden="false" outlineLevel="0" max="19" min="19" style="0" width="6"/>
    <col collapsed="false" customWidth="true" hidden="false" outlineLevel="0" max="20" min="20" style="0" width="7"/>
    <col collapsed="false" customWidth="true" hidden="false" outlineLevel="0" max="21" min="21" style="0" width="8"/>
    <col collapsed="false" customWidth="true" hidden="false" outlineLevel="0" max="22" min="22" style="0" width="6"/>
    <col collapsed="false" customWidth="true" hidden="false" outlineLevel="0" max="23" min="23" style="0" width="7"/>
    <col collapsed="false" customWidth="true" hidden="false" outlineLevel="0" max="24" min="24" style="0" width="8"/>
    <col collapsed="false" customWidth="true" hidden="true" outlineLevel="0" max="26" min="25" style="0" width="0.51"/>
    <col collapsed="false" customWidth="true" hidden="false" outlineLevel="0" max="27" min="27" style="0" width="9"/>
    <col collapsed="false" customWidth="true" hidden="false" outlineLevel="0" max="28" min="28" style="0" width="10"/>
    <col collapsed="false" customWidth="true" hidden="false" outlineLevel="0" max="29" min="29" style="0" width="9"/>
    <col collapsed="false" customWidth="true" hidden="false" outlineLevel="0" max="30" min="30" style="0" width="10"/>
    <col collapsed="false" customWidth="true" hidden="false" outlineLevel="0" max="31" min="31" style="0" width="9"/>
    <col collapsed="false" customWidth="true" hidden="false" outlineLevel="0" max="32" min="32" style="0" width="10"/>
    <col collapsed="false" customWidth="true" hidden="false" outlineLevel="0" max="33" min="33" style="0" width="9"/>
    <col collapsed="false" customWidth="true" hidden="false" outlineLevel="0" max="34" min="34" style="0" width="6"/>
    <col collapsed="false" customWidth="true" hidden="false" outlineLevel="0" max="35" min="35" style="0" width="10"/>
    <col collapsed="false" customWidth="true" hidden="false" outlineLevel="0" max="36" min="36" style="0" width="9"/>
    <col collapsed="false" customWidth="true" hidden="false" outlineLevel="0" max="37" min="37" style="0" width="6"/>
    <col collapsed="false" customWidth="true" hidden="false" outlineLevel="0" max="38" min="38" style="0" width="10"/>
    <col collapsed="false" customWidth="true" hidden="false" outlineLevel="0" max="39" min="39" style="0" width="9"/>
    <col collapsed="false" customWidth="true" hidden="false" outlineLevel="0" max="40" min="40" style="0" width="6"/>
    <col collapsed="false" customWidth="true" hidden="false" outlineLevel="0" max="41" min="41" style="0" width="10"/>
    <col collapsed="false" customWidth="true" hidden="false" outlineLevel="0" max="42" min="42" style="0" width="11"/>
    <col collapsed="false" customWidth="true" hidden="false" outlineLevel="0" max="44" min="43" style="0" width="10"/>
    <col collapsed="false" customWidth="true" hidden="false" outlineLevel="0" max="45" min="45" style="0" width="42"/>
  </cols>
  <sheetData>
    <row r="1" customFormat="false" ht="17.25" hidden="false" customHeight="true" outlineLevel="0" collapsed="false">
      <c r="A1" s="12" t="s">
        <v>75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row>
    <row r="2" customFormat="false" ht="15" hidden="false" customHeight="true" outlineLevel="0" collapsed="false">
      <c r="A2" s="21" t="s">
        <v>76</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row>
    <row r="3" customFormat="false" ht="6" hidden="false" customHeight="true" outlineLevel="0" collapsed="false"/>
    <row r="4" customFormat="false" ht="19.5" hidden="false" customHeight="true" outlineLevel="0" collapsed="false">
      <c r="A4" s="22" t="s">
        <v>77</v>
      </c>
      <c r="B4" s="22"/>
      <c r="C4" s="22"/>
      <c r="D4" s="22"/>
      <c r="E4" s="22"/>
      <c r="F4" s="22"/>
      <c r="G4" s="23" t="s">
        <v>78</v>
      </c>
      <c r="H4" s="23"/>
      <c r="I4" s="23"/>
      <c r="J4" s="22" t="s">
        <v>79</v>
      </c>
      <c r="K4" s="22"/>
      <c r="L4" s="22"/>
      <c r="M4" s="22"/>
      <c r="N4" s="22"/>
      <c r="O4" s="22"/>
      <c r="P4" s="24" t="s">
        <v>80</v>
      </c>
      <c r="Q4" s="24"/>
      <c r="R4" s="24"/>
      <c r="S4" s="25" t="s">
        <v>81</v>
      </c>
      <c r="T4" s="25"/>
      <c r="U4" s="25"/>
      <c r="V4" s="26" t="s">
        <v>82</v>
      </c>
      <c r="W4" s="26"/>
      <c r="X4" s="26"/>
      <c r="Y4" s="27" t="s">
        <v>83</v>
      </c>
      <c r="Z4" s="27"/>
      <c r="AA4" s="28" t="s">
        <v>84</v>
      </c>
      <c r="AB4" s="28"/>
      <c r="AC4" s="28"/>
      <c r="AD4" s="28"/>
      <c r="AE4" s="28"/>
      <c r="AF4" s="28"/>
      <c r="AG4" s="28" t="s">
        <v>85</v>
      </c>
      <c r="AH4" s="28"/>
      <c r="AI4" s="28"/>
      <c r="AJ4" s="28"/>
      <c r="AK4" s="28"/>
      <c r="AL4" s="28"/>
      <c r="AM4" s="28"/>
      <c r="AN4" s="28"/>
      <c r="AO4" s="28"/>
      <c r="AP4" s="29" t="s">
        <v>86</v>
      </c>
      <c r="AQ4" s="30" t="s">
        <v>87</v>
      </c>
      <c r="AR4" s="31" t="s">
        <v>88</v>
      </c>
      <c r="AS4" s="22"/>
    </row>
    <row r="5" customFormat="false" ht="43.5" hidden="false" customHeight="true" outlineLevel="0" collapsed="false">
      <c r="A5" s="13" t="s">
        <v>89</v>
      </c>
      <c r="B5" s="13" t="s">
        <v>90</v>
      </c>
      <c r="C5" s="13" t="s">
        <v>91</v>
      </c>
      <c r="D5" s="13" t="s">
        <v>92</v>
      </c>
      <c r="E5" s="13" t="s">
        <v>93</v>
      </c>
      <c r="F5" s="13" t="s">
        <v>94</v>
      </c>
      <c r="G5" s="32" t="s">
        <v>95</v>
      </c>
      <c r="H5" s="32" t="s">
        <v>96</v>
      </c>
      <c r="I5" s="32" t="s">
        <v>97</v>
      </c>
      <c r="J5" s="13" t="s">
        <v>98</v>
      </c>
      <c r="K5" s="13" t="s">
        <v>99</v>
      </c>
      <c r="L5" s="13" t="s">
        <v>100</v>
      </c>
      <c r="M5" s="13" t="s">
        <v>101</v>
      </c>
      <c r="N5" s="13" t="s">
        <v>102</v>
      </c>
      <c r="O5" s="13" t="s">
        <v>103</v>
      </c>
      <c r="P5" s="33" t="s">
        <v>104</v>
      </c>
      <c r="Q5" s="33" t="s">
        <v>105</v>
      </c>
      <c r="R5" s="33" t="s">
        <v>106</v>
      </c>
      <c r="S5" s="34" t="s">
        <v>107</v>
      </c>
      <c r="T5" s="34" t="s">
        <v>108</v>
      </c>
      <c r="U5" s="34" t="s">
        <v>109</v>
      </c>
      <c r="V5" s="35" t="s">
        <v>110</v>
      </c>
      <c r="W5" s="35" t="s">
        <v>111</v>
      </c>
      <c r="X5" s="35" t="s">
        <v>112</v>
      </c>
      <c r="Y5" s="36" t="s">
        <v>113</v>
      </c>
      <c r="Z5" s="36" t="s">
        <v>114</v>
      </c>
      <c r="AA5" s="37" t="s">
        <v>115</v>
      </c>
      <c r="AB5" s="37" t="s">
        <v>116</v>
      </c>
      <c r="AC5" s="37" t="s">
        <v>117</v>
      </c>
      <c r="AD5" s="37" t="s">
        <v>118</v>
      </c>
      <c r="AE5" s="37" t="s">
        <v>119</v>
      </c>
      <c r="AF5" s="37" t="s">
        <v>120</v>
      </c>
      <c r="AG5" s="37" t="s">
        <v>121</v>
      </c>
      <c r="AH5" s="37" t="s">
        <v>122</v>
      </c>
      <c r="AI5" s="37" t="s">
        <v>123</v>
      </c>
      <c r="AJ5" s="37" t="s">
        <v>124</v>
      </c>
      <c r="AK5" s="37" t="s">
        <v>125</v>
      </c>
      <c r="AL5" s="37" t="s">
        <v>126</v>
      </c>
      <c r="AM5" s="37" t="s">
        <v>127</v>
      </c>
      <c r="AN5" s="37" t="s">
        <v>128</v>
      </c>
      <c r="AO5" s="37" t="s">
        <v>129</v>
      </c>
      <c r="AP5" s="38" t="s">
        <v>130</v>
      </c>
      <c r="AQ5" s="39" t="s">
        <v>131</v>
      </c>
      <c r="AR5" s="40" t="s">
        <v>132</v>
      </c>
      <c r="AS5" s="13" t="s">
        <v>133</v>
      </c>
    </row>
    <row r="6" customFormat="false" ht="15" hidden="false" customHeight="true" outlineLevel="0" collapsed="false">
      <c r="A6" s="42" t="s">
        <v>139</v>
      </c>
      <c r="B6" s="42" t="s">
        <v>140</v>
      </c>
      <c r="C6" s="43" t="str">
        <f aca="false">IF(B6&lt;&gt;"",IFERROR(VLOOKUP(B6,PISOS!A:D,4,0),"PENDENTE"),"")</f>
        <v>PENDENTE</v>
      </c>
      <c r="D6" s="42" t="n">
        <v>30</v>
      </c>
      <c r="E6" s="42" t="n">
        <v>60</v>
      </c>
      <c r="F6" s="42" t="n">
        <v>3</v>
      </c>
      <c r="G6" s="44" t="n">
        <v>50</v>
      </c>
      <c r="H6" s="45" t="n">
        <f aca="false">IF(OR(A6="",K6=""),0,G6*K6/1000)</f>
        <v>0.8</v>
      </c>
      <c r="I6" s="45" t="n">
        <f aca="false">IF(OR(A6="",K6="",NOT(ISNUMBER(C6))),0,IF((C6+H6)&gt;12,G6*K6/1000,0))</f>
        <v>0</v>
      </c>
      <c r="J6" s="42" t="n">
        <v>6</v>
      </c>
      <c r="K6" s="42" t="n">
        <v>16</v>
      </c>
      <c r="L6" s="42" t="n">
        <v>10</v>
      </c>
      <c r="M6" s="42" t="n">
        <v>12</v>
      </c>
      <c r="N6" s="42"/>
      <c r="O6" s="42"/>
      <c r="P6" s="42" t="n">
        <v>1</v>
      </c>
      <c r="Q6" s="42" t="n">
        <v>8</v>
      </c>
      <c r="R6" s="43" t="n">
        <v>0.2</v>
      </c>
      <c r="S6" s="46" t="n">
        <v>1</v>
      </c>
      <c r="T6" s="46" t="n">
        <v>8</v>
      </c>
      <c r="U6" s="47" t="n">
        <v>0.2</v>
      </c>
      <c r="V6" s="48"/>
      <c r="W6" s="48"/>
      <c r="X6" s="49"/>
      <c r="Y6" s="50" t="n">
        <f aca="false">IF(OR(A6="",M6="",NOT(ISNUMBER(C6))),0,IF((C6+H6)&gt;12,G6*M6/1000,0))</f>
        <v>0</v>
      </c>
      <c r="Z6" s="50" t="n">
        <f aca="false">IF(OR(A6="",O6="",NOT(ISNUMBER(C6))),0,IF((C6+H6)&gt;12,G6*O6/1000,0))</f>
        <v>0</v>
      </c>
      <c r="AA6" s="51" t="str">
        <f aca="false">IF(OR(A6="",NOT(ISNUMBER(C6))),"",C6+H6+I6)</f>
        <v/>
      </c>
      <c r="AB6" s="51" t="n">
        <f aca="false">IF(OR(A6="",AA6=""),0,IFERROR(J6*AA6*VLOOKUP(K6,'TABELA DE PESOS'!$A$2:$B$9,2,FALSE()),0))</f>
        <v>0</v>
      </c>
      <c r="AC6" s="51" t="str">
        <f aca="false">IF(OR(A6="",NOT(ISNUMBER(C6))),"",C6+H6+Y6)</f>
        <v/>
      </c>
      <c r="AD6" s="51" t="n">
        <f aca="false">IF(OR(A6="",AC6=""),0,IFERROR(L6*AC6*VLOOKUP(M6,'TABELA DE PESOS'!$A$2:$B$9,2,FALSE()),0))</f>
        <v>0</v>
      </c>
      <c r="AE6" s="51" t="str">
        <f aca="false">IF(OR(A6="",NOT(ISNUMBER(C6))),"",C6+H6+Z6)</f>
        <v/>
      </c>
      <c r="AF6" s="51" t="n">
        <f aca="false">IF(OR(A6="",AE6=""),0,IFERROR(N6*AE6*VLOOKUP(O6,'TABELA DE PESOS'!$A$2:$B$9,2,FALSE()),0))</f>
        <v>0</v>
      </c>
      <c r="AG6" s="52" t="n">
        <f aca="false">IF(OR(A6="",P6="",NOT(ISNUMBER(C6))),0,P6*(INT(C6/R6)+1))</f>
        <v>0</v>
      </c>
      <c r="AH6" s="53" t="n">
        <f aca="false">IF(OR(A6="",P6=""),0,2*((D6-2*F6)+(E6-2*F6))/100+2*10*Q6/1000)</f>
        <v>1.72</v>
      </c>
      <c r="AI6" s="51" t="n">
        <f aca="false">IF(OR(A6="",P6=""),0,IFERROR(AG6*AH6*VLOOKUP(Q6,'TABELA DE PESOS'!$A$2:$B$9,2,FALSE()),0))</f>
        <v>0</v>
      </c>
      <c r="AJ6" s="52" t="n">
        <f aca="false">IF(OR(A6="",S6="",NOT(ISNUMBER(C6))),0,S6*(INT(C6/U6)+1))</f>
        <v>0</v>
      </c>
      <c r="AK6" s="53" t="n">
        <f aca="false">IF(OR(A6="",S6=""),0,2*((D6-2*F6)+(E6-2*F6))/100+2*10*T6/1000)</f>
        <v>1.72</v>
      </c>
      <c r="AL6" s="51" t="n">
        <f aca="false">IF(OR(A6="",S6=""),0,IFERROR(AJ6*AK6*VLOOKUP(T6,'TABELA DE PESOS'!$A$2:$B$9,2,FALSE()),0))</f>
        <v>0</v>
      </c>
      <c r="AM6" s="52" t="n">
        <f aca="false">IF(OR(A6="",V6="",NOT(ISNUMBER(C6))),0,V6*(INT(C6/X6)+1))</f>
        <v>0</v>
      </c>
      <c r="AN6" s="53" t="n">
        <f aca="false">IF(OR(A6="",V6=""),0,2*((D6-2*F6)+(E6-2*F6))/100+2*10*W6/1000)</f>
        <v>0</v>
      </c>
      <c r="AO6" s="51" t="n">
        <f aca="false">IF(OR(A6="",V6=""),0,IFERROR(AM6*AN6*VLOOKUP(W6,'TABELA DE PESOS'!$A$2:$B$9,2,FALSE()),0))</f>
        <v>0</v>
      </c>
      <c r="AP6" s="54" t="n">
        <f aca="false">IF(A6="",0,AB6+AD6+AF6+AI6+AL6+AO6)</f>
        <v>0</v>
      </c>
      <c r="AQ6" s="55" t="n">
        <f aca="false">IF(OR(A6="",NOT(ISNUMBER(C6))),0,(D6/100)*(E6/100)*C6)</f>
        <v>0</v>
      </c>
      <c r="AR6" s="56" t="n">
        <f aca="false">IF(OR(A6="",NOT(ISNUMBER(C6))),0,2*(D6/100+E6/100)*C6)</f>
        <v>0</v>
      </c>
      <c r="AS6" s="57" t="s">
        <v>141</v>
      </c>
    </row>
    <row r="7" customFormat="false" ht="15" hidden="false" customHeight="true" outlineLevel="0" collapsed="false">
      <c r="A7" s="58" t="s">
        <v>142</v>
      </c>
      <c r="B7" s="58" t="s">
        <v>72</v>
      </c>
      <c r="C7" s="59" t="n">
        <f aca="false">IF(B7&lt;&gt;"",IFERROR(VLOOKUP(B7,PISOS!A:D,4,0),"PENDENTE"),"")</f>
        <v>3.93</v>
      </c>
      <c r="D7" s="58" t="n">
        <v>30</v>
      </c>
      <c r="E7" s="58" t="n">
        <v>60</v>
      </c>
      <c r="F7" s="58" t="n">
        <v>3</v>
      </c>
      <c r="G7" s="60" t="n">
        <v>50</v>
      </c>
      <c r="H7" s="61" t="n">
        <f aca="false">IF(OR(A7="",K7=""),0,G7*K7/1000)</f>
        <v>0.8</v>
      </c>
      <c r="I7" s="61" t="n">
        <f aca="false">IF(OR(A7="",K7="",NOT(ISNUMBER(C7))),0,IF((C7+H7)&gt;12,G7*K7/1000,0))</f>
        <v>0</v>
      </c>
      <c r="J7" s="58" t="n">
        <v>6</v>
      </c>
      <c r="K7" s="58" t="n">
        <v>16</v>
      </c>
      <c r="L7" s="58" t="n">
        <v>10</v>
      </c>
      <c r="M7" s="58" t="n">
        <v>12</v>
      </c>
      <c r="N7" s="58"/>
      <c r="O7" s="58"/>
      <c r="P7" s="58" t="n">
        <v>1</v>
      </c>
      <c r="Q7" s="58" t="n">
        <v>8</v>
      </c>
      <c r="R7" s="59" t="n">
        <v>0.2</v>
      </c>
      <c r="S7" s="62" t="n">
        <v>1</v>
      </c>
      <c r="T7" s="62" t="n">
        <v>8</v>
      </c>
      <c r="U7" s="63" t="n">
        <v>0.2</v>
      </c>
      <c r="V7" s="64"/>
      <c r="W7" s="64"/>
      <c r="X7" s="65"/>
      <c r="Y7" s="66" t="n">
        <f aca="false">IF(OR(A7="",M7="",NOT(ISNUMBER(C7))),0,IF((C7+H7)&gt;12,G7*M7/1000,0))</f>
        <v>0</v>
      </c>
      <c r="Z7" s="66" t="n">
        <f aca="false">IF(OR(A7="",O7="",NOT(ISNUMBER(C7))),0,IF((C7+H7)&gt;12,G7*O7/1000,0))</f>
        <v>0</v>
      </c>
      <c r="AA7" s="67" t="n">
        <f aca="false">IF(OR(A7="",NOT(ISNUMBER(C7))),"",C7+H7+I7)</f>
        <v>4.73</v>
      </c>
      <c r="AB7" s="67" t="n">
        <f aca="false">IF(OR(A7="",AA7=""),0,IFERROR(J7*AA7*VLOOKUP(K7,'TABELA DE PESOS'!$A$2:$B$9,2,FALSE()),0))</f>
        <v>44.78364</v>
      </c>
      <c r="AC7" s="67" t="n">
        <f aca="false">IF(OR(A7="",NOT(ISNUMBER(C7))),"",C7+H7+Y7)</f>
        <v>4.73</v>
      </c>
      <c r="AD7" s="67" t="n">
        <f aca="false">IF(OR(A7="",AC7=""),0,IFERROR(L7*AC7*VLOOKUP(M7,'TABELA DE PESOS'!$A$2:$B$9,2,FALSE()),0))</f>
        <v>42.0024</v>
      </c>
      <c r="AE7" s="67" t="n">
        <f aca="false">IF(OR(A7="",NOT(ISNUMBER(C7))),"",C7+H7+Z7)</f>
        <v>4.73</v>
      </c>
      <c r="AF7" s="67" t="n">
        <f aca="false">IF(OR(A7="",AE7=""),0,IFERROR(N7*AE7*VLOOKUP(O7,'TABELA DE PESOS'!$A$2:$B$9,2,FALSE()),0))</f>
        <v>0</v>
      </c>
      <c r="AG7" s="68" t="n">
        <f aca="false">IF(OR(A7="",P7="",NOT(ISNUMBER(C7))),0,P7*(INT(C7/R7)+1))</f>
        <v>20</v>
      </c>
      <c r="AH7" s="69" t="n">
        <f aca="false">IF(OR(A7="",P7=""),0,2*((D7-2*F7)+(E7-2*F7))/100+2*10*Q7/1000)</f>
        <v>1.72</v>
      </c>
      <c r="AI7" s="67" t="n">
        <f aca="false">IF(OR(A7="",P7=""),0,IFERROR(AG7*AH7*VLOOKUP(Q7,'TABELA DE PESOS'!$A$2:$B$9,2,FALSE()),0))</f>
        <v>13.588</v>
      </c>
      <c r="AJ7" s="68" t="n">
        <f aca="false">IF(OR(A7="",S7="",NOT(ISNUMBER(C7))),0,S7*(INT(C7/U7)+1))</f>
        <v>20</v>
      </c>
      <c r="AK7" s="69" t="n">
        <f aca="false">IF(OR(A7="",S7=""),0,2*((D7-2*F7)+(E7-2*F7))/100+2*10*T7/1000)</f>
        <v>1.72</v>
      </c>
      <c r="AL7" s="67" t="n">
        <f aca="false">IF(OR(A7="",S7=""),0,IFERROR(AJ7*AK7*VLOOKUP(T7,'TABELA DE PESOS'!$A$2:$B$9,2,FALSE()),0))</f>
        <v>13.588</v>
      </c>
      <c r="AM7" s="68" t="n">
        <f aca="false">IF(OR(A7="",V7="",NOT(ISNUMBER(C7))),0,V7*(INT(C7/X7)+1))</f>
        <v>0</v>
      </c>
      <c r="AN7" s="69" t="n">
        <f aca="false">IF(OR(A7="",V7=""),0,2*((D7-2*F7)+(E7-2*F7))/100+2*10*W7/1000)</f>
        <v>0</v>
      </c>
      <c r="AO7" s="67" t="n">
        <f aca="false">IF(OR(A7="",V7=""),0,IFERROR(AM7*AN7*VLOOKUP(W7,'TABELA DE PESOS'!$A$2:$B$9,2,FALSE()),0))</f>
        <v>0</v>
      </c>
      <c r="AP7" s="70" t="n">
        <f aca="false">IF(A7="",0,AB7+AD7+AF7+AI7+AL7+AO7)</f>
        <v>113.96204</v>
      </c>
      <c r="AQ7" s="71" t="n">
        <f aca="false">IF(OR(A7="",NOT(ISNUMBER(C7))),0,(D7/100)*(E7/100)*C7)</f>
        <v>0.7074</v>
      </c>
      <c r="AR7" s="72" t="n">
        <f aca="false">IF(OR(A7="",NOT(ISNUMBER(C7))),0,2*(D7/100+E7/100)*C7)</f>
        <v>7.074</v>
      </c>
      <c r="AS7" s="57" t="s">
        <v>143</v>
      </c>
    </row>
    <row r="8" customFormat="false" ht="15" hidden="false" customHeight="true" outlineLevel="0" collapsed="false">
      <c r="A8" s="42" t="s">
        <v>144</v>
      </c>
      <c r="B8" s="42" t="s">
        <v>73</v>
      </c>
      <c r="C8" s="43" t="str">
        <f aca="false">IF(B8&lt;&gt;"",IFERROR(VLOOKUP(B8,PISOS!A:D,4,0),"PENDENTE"),"")</f>
        <v>PENDENTE</v>
      </c>
      <c r="D8" s="42" t="n">
        <v>30</v>
      </c>
      <c r="E8" s="42" t="n">
        <v>60</v>
      </c>
      <c r="F8" s="42" t="n">
        <v>3</v>
      </c>
      <c r="G8" s="44" t="n">
        <v>50</v>
      </c>
      <c r="H8" s="45" t="n">
        <f aca="false">IF(OR(A8="",K8=""),0,G8*K8/1000)</f>
        <v>0.8</v>
      </c>
      <c r="I8" s="45" t="n">
        <f aca="false">IF(OR(A8="",K8="",NOT(ISNUMBER(C8))),0,IF((C8+H8)&gt;12,G8*K8/1000,0))</f>
        <v>0</v>
      </c>
      <c r="J8" s="42" t="n">
        <v>6</v>
      </c>
      <c r="K8" s="42" t="n">
        <v>16</v>
      </c>
      <c r="L8" s="42" t="n">
        <v>10</v>
      </c>
      <c r="M8" s="42" t="n">
        <v>12</v>
      </c>
      <c r="N8" s="42"/>
      <c r="O8" s="42"/>
      <c r="P8" s="42" t="n">
        <v>1</v>
      </c>
      <c r="Q8" s="42" t="n">
        <v>8</v>
      </c>
      <c r="R8" s="43" t="n">
        <v>0.2</v>
      </c>
      <c r="S8" s="46" t="n">
        <v>1</v>
      </c>
      <c r="T8" s="46" t="n">
        <v>8</v>
      </c>
      <c r="U8" s="47" t="n">
        <v>0.2</v>
      </c>
      <c r="V8" s="48"/>
      <c r="W8" s="48"/>
      <c r="X8" s="49"/>
      <c r="Y8" s="50" t="n">
        <f aca="false">IF(OR(A8="",M8="",NOT(ISNUMBER(C8))),0,IF((C8+H8)&gt;12,G8*M8/1000,0))</f>
        <v>0</v>
      </c>
      <c r="Z8" s="50" t="n">
        <f aca="false">IF(OR(A8="",O8="",NOT(ISNUMBER(C8))),0,IF((C8+H8)&gt;12,G8*O8/1000,0))</f>
        <v>0</v>
      </c>
      <c r="AA8" s="51" t="str">
        <f aca="false">IF(OR(A8="",NOT(ISNUMBER(C8))),"",C8+H8+I8)</f>
        <v/>
      </c>
      <c r="AB8" s="51" t="n">
        <f aca="false">IF(OR(A8="",AA8=""),0,IFERROR(J8*AA8*VLOOKUP(K8,'TABELA DE PESOS'!$A$2:$B$9,2,FALSE()),0))</f>
        <v>0</v>
      </c>
      <c r="AC8" s="51" t="str">
        <f aca="false">IF(OR(A8="",NOT(ISNUMBER(C8))),"",C8+H8+Y8)</f>
        <v/>
      </c>
      <c r="AD8" s="51" t="n">
        <f aca="false">IF(OR(A8="",AC8=""),0,IFERROR(L8*AC8*VLOOKUP(M8,'TABELA DE PESOS'!$A$2:$B$9,2,FALSE()),0))</f>
        <v>0</v>
      </c>
      <c r="AE8" s="51" t="str">
        <f aca="false">IF(OR(A8="",NOT(ISNUMBER(C8))),"",C8+H8+Z8)</f>
        <v/>
      </c>
      <c r="AF8" s="51" t="n">
        <f aca="false">IF(OR(A8="",AE8=""),0,IFERROR(N8*AE8*VLOOKUP(O8,'TABELA DE PESOS'!$A$2:$B$9,2,FALSE()),0))</f>
        <v>0</v>
      </c>
      <c r="AG8" s="52" t="n">
        <f aca="false">IF(OR(A8="",P8="",NOT(ISNUMBER(C8))),0,P8*(INT(C8/R8)+1))</f>
        <v>0</v>
      </c>
      <c r="AH8" s="53" t="n">
        <f aca="false">IF(OR(A8="",P8=""),0,2*((D8-2*F8)+(E8-2*F8))/100+2*10*Q8/1000)</f>
        <v>1.72</v>
      </c>
      <c r="AI8" s="51" t="n">
        <f aca="false">IF(OR(A8="",P8=""),0,IFERROR(AG8*AH8*VLOOKUP(Q8,'TABELA DE PESOS'!$A$2:$B$9,2,FALSE()),0))</f>
        <v>0</v>
      </c>
      <c r="AJ8" s="52" t="n">
        <f aca="false">IF(OR(A8="",S8="",NOT(ISNUMBER(C8))),0,S8*(INT(C8/U8)+1))</f>
        <v>0</v>
      </c>
      <c r="AK8" s="53" t="n">
        <f aca="false">IF(OR(A8="",S8=""),0,2*((D8-2*F8)+(E8-2*F8))/100+2*10*T8/1000)</f>
        <v>1.72</v>
      </c>
      <c r="AL8" s="51" t="n">
        <f aca="false">IF(OR(A8="",S8=""),0,IFERROR(AJ8*AK8*VLOOKUP(T8,'TABELA DE PESOS'!$A$2:$B$9,2,FALSE()),0))</f>
        <v>0</v>
      </c>
      <c r="AM8" s="52" t="n">
        <f aca="false">IF(OR(A8="",V8="",NOT(ISNUMBER(C8))),0,V8*(INT(C8/X8)+1))</f>
        <v>0</v>
      </c>
      <c r="AN8" s="53" t="n">
        <f aca="false">IF(OR(A8="",V8=""),0,2*((D8-2*F8)+(E8-2*F8))/100+2*10*W8/1000)</f>
        <v>0</v>
      </c>
      <c r="AO8" s="51" t="n">
        <f aca="false">IF(OR(A8="",V8=""),0,IFERROR(AM8*AN8*VLOOKUP(W8,'TABELA DE PESOS'!$A$2:$B$9,2,FALSE()),0))</f>
        <v>0</v>
      </c>
      <c r="AP8" s="54" t="n">
        <f aca="false">IF(A8="",0,AB8+AD8+AF8+AI8+AL8+AO8)</f>
        <v>0</v>
      </c>
      <c r="AQ8" s="55" t="n">
        <f aca="false">IF(OR(A8="",NOT(ISNUMBER(C8))),0,(D8/100)*(E8/100)*C8)</f>
        <v>0</v>
      </c>
      <c r="AR8" s="56" t="n">
        <f aca="false">IF(OR(A8="",NOT(ISNUMBER(C8))),0,2*(D8/100+E8/100)*C8)</f>
        <v>0</v>
      </c>
      <c r="AS8" s="57" t="s">
        <v>145</v>
      </c>
    </row>
    <row r="9" customFormat="false" ht="15" hidden="false" customHeight="true" outlineLevel="0" collapsed="false">
      <c r="A9" s="58" t="s">
        <v>146</v>
      </c>
      <c r="B9" s="58" t="s">
        <v>140</v>
      </c>
      <c r="C9" s="59" t="str">
        <f aca="false">IF(B9&lt;&gt;"",IFERROR(VLOOKUP(B9,PISOS!A:D,4,0),"PENDENTE"),"")</f>
        <v>PENDENTE</v>
      </c>
      <c r="D9" s="58" t="n">
        <v>40</v>
      </c>
      <c r="E9" s="58" t="n">
        <v>70</v>
      </c>
      <c r="F9" s="58" t="n">
        <v>3</v>
      </c>
      <c r="G9" s="60" t="n">
        <v>50</v>
      </c>
      <c r="H9" s="61" t="n">
        <f aca="false">IF(OR(A9="",K9=""),0,G9*K9/1000)</f>
        <v>0.8</v>
      </c>
      <c r="I9" s="61" t="n">
        <f aca="false">IF(OR(A9="",K9="",NOT(ISNUMBER(C9))),0,IF((C9+H9)&gt;12,G9*K9/1000,0))</f>
        <v>0</v>
      </c>
      <c r="J9" s="58" t="n">
        <v>28</v>
      </c>
      <c r="K9" s="58" t="n">
        <v>16</v>
      </c>
      <c r="L9" s="58"/>
      <c r="M9" s="58"/>
      <c r="N9" s="58"/>
      <c r="O9" s="58"/>
      <c r="P9" s="58" t="n">
        <v>1</v>
      </c>
      <c r="Q9" s="58" t="n">
        <v>8</v>
      </c>
      <c r="R9" s="59" t="n">
        <v>0.2</v>
      </c>
      <c r="S9" s="62" t="n">
        <v>1</v>
      </c>
      <c r="T9" s="62" t="n">
        <v>8</v>
      </c>
      <c r="U9" s="63" t="n">
        <v>0.2</v>
      </c>
      <c r="V9" s="64"/>
      <c r="W9" s="64"/>
      <c r="X9" s="65"/>
      <c r="Y9" s="66" t="n">
        <f aca="false">IF(OR(A9="",M9="",NOT(ISNUMBER(C9))),0,IF((C9+H9)&gt;12,G9*M9/1000,0))</f>
        <v>0</v>
      </c>
      <c r="Z9" s="66" t="n">
        <f aca="false">IF(OR(A9="",O9="",NOT(ISNUMBER(C9))),0,IF((C9+H9)&gt;12,G9*O9/1000,0))</f>
        <v>0</v>
      </c>
      <c r="AA9" s="67" t="str">
        <f aca="false">IF(OR(A9="",NOT(ISNUMBER(C9))),"",C9+H9+I9)</f>
        <v/>
      </c>
      <c r="AB9" s="67" t="n">
        <f aca="false">IF(OR(A9="",AA9=""),0,IFERROR(J9*AA9*VLOOKUP(K9,'TABELA DE PESOS'!$A$2:$B$9,2,FALSE()),0))</f>
        <v>0</v>
      </c>
      <c r="AC9" s="67" t="str">
        <f aca="false">IF(OR(A9="",NOT(ISNUMBER(C9))),"",C9+H9+Y9)</f>
        <v/>
      </c>
      <c r="AD9" s="67" t="n">
        <f aca="false">IF(OR(A9="",AC9=""),0,IFERROR(L9*AC9*VLOOKUP(M9,'TABELA DE PESOS'!$A$2:$B$9,2,FALSE()),0))</f>
        <v>0</v>
      </c>
      <c r="AE9" s="67" t="str">
        <f aca="false">IF(OR(A9="",NOT(ISNUMBER(C9))),"",C9+H9+Z9)</f>
        <v/>
      </c>
      <c r="AF9" s="67" t="n">
        <f aca="false">IF(OR(A9="",AE9=""),0,IFERROR(N9*AE9*VLOOKUP(O9,'TABELA DE PESOS'!$A$2:$B$9,2,FALSE()),0))</f>
        <v>0</v>
      </c>
      <c r="AG9" s="68" t="n">
        <f aca="false">IF(OR(A9="",P9="",NOT(ISNUMBER(C9))),0,P9*(INT(C9/R9)+1))</f>
        <v>0</v>
      </c>
      <c r="AH9" s="69" t="n">
        <f aca="false">IF(OR(A9="",P9=""),0,2*((D9-2*F9)+(E9-2*F9))/100+2*10*Q9/1000)</f>
        <v>2.12</v>
      </c>
      <c r="AI9" s="67" t="n">
        <f aca="false">IF(OR(A9="",P9=""),0,IFERROR(AG9*AH9*VLOOKUP(Q9,'TABELA DE PESOS'!$A$2:$B$9,2,FALSE()),0))</f>
        <v>0</v>
      </c>
      <c r="AJ9" s="68" t="n">
        <f aca="false">IF(OR(A9="",S9="",NOT(ISNUMBER(C9))),0,S9*(INT(C9/U9)+1))</f>
        <v>0</v>
      </c>
      <c r="AK9" s="69" t="n">
        <f aca="false">IF(OR(A9="",S9=""),0,2*((D9-2*F9)+(E9-2*F9))/100+2*10*T9/1000)</f>
        <v>2.12</v>
      </c>
      <c r="AL9" s="67" t="n">
        <f aca="false">IF(OR(A9="",S9=""),0,IFERROR(AJ9*AK9*VLOOKUP(T9,'TABELA DE PESOS'!$A$2:$B$9,2,FALSE()),0))</f>
        <v>0</v>
      </c>
      <c r="AM9" s="68" t="n">
        <f aca="false">IF(OR(A9="",V9="",NOT(ISNUMBER(C9))),0,V9*(INT(C9/X9)+1))</f>
        <v>0</v>
      </c>
      <c r="AN9" s="69" t="n">
        <f aca="false">IF(OR(A9="",V9=""),0,2*((D9-2*F9)+(E9-2*F9))/100+2*10*W9/1000)</f>
        <v>0</v>
      </c>
      <c r="AO9" s="67" t="n">
        <f aca="false">IF(OR(A9="",V9=""),0,IFERROR(AM9*AN9*VLOOKUP(W9,'TABELA DE PESOS'!$A$2:$B$9,2,FALSE()),0))</f>
        <v>0</v>
      </c>
      <c r="AP9" s="70" t="n">
        <f aca="false">IF(A9="",0,AB9+AD9+AF9+AI9+AL9+AO9)</f>
        <v>0</v>
      </c>
      <c r="AQ9" s="71" t="n">
        <f aca="false">IF(OR(A9="",NOT(ISNUMBER(C9))),0,(D9/100)*(E9/100)*C9)</f>
        <v>0</v>
      </c>
      <c r="AR9" s="72" t="n">
        <f aca="false">IF(OR(A9="",NOT(ISNUMBER(C9))),0,2*(D9/100+E9/100)*C9)</f>
        <v>0</v>
      </c>
      <c r="AS9" s="57" t="s">
        <v>141</v>
      </c>
    </row>
    <row r="10" customFormat="false" ht="15" hidden="false" customHeight="true" outlineLevel="0" collapsed="false">
      <c r="A10" s="42" t="s">
        <v>147</v>
      </c>
      <c r="B10" s="42" t="s">
        <v>72</v>
      </c>
      <c r="C10" s="43" t="n">
        <f aca="false">IF(B10&lt;&gt;"",IFERROR(VLOOKUP(B10,PISOS!A:D,4,0),"PENDENTE"),"")</f>
        <v>3.93</v>
      </c>
      <c r="D10" s="42" t="n">
        <v>40</v>
      </c>
      <c r="E10" s="42" t="n">
        <v>70</v>
      </c>
      <c r="F10" s="42" t="n">
        <v>3</v>
      </c>
      <c r="G10" s="44" t="n">
        <v>50</v>
      </c>
      <c r="H10" s="45" t="n">
        <f aca="false">IF(OR(A10="",K10=""),0,G10*K10/1000)</f>
        <v>0.8</v>
      </c>
      <c r="I10" s="45" t="n">
        <f aca="false">IF(OR(A10="",K10="",NOT(ISNUMBER(C10))),0,IF((C10+H10)&gt;12,G10*K10/1000,0))</f>
        <v>0</v>
      </c>
      <c r="J10" s="42" t="n">
        <v>28</v>
      </c>
      <c r="K10" s="42" t="n">
        <v>16</v>
      </c>
      <c r="L10" s="42"/>
      <c r="M10" s="42"/>
      <c r="N10" s="42"/>
      <c r="O10" s="42"/>
      <c r="P10" s="42" t="n">
        <v>1</v>
      </c>
      <c r="Q10" s="42" t="n">
        <v>8</v>
      </c>
      <c r="R10" s="43" t="n">
        <v>0.2</v>
      </c>
      <c r="S10" s="46" t="n">
        <v>1</v>
      </c>
      <c r="T10" s="46" t="n">
        <v>8</v>
      </c>
      <c r="U10" s="47" t="n">
        <v>0.2</v>
      </c>
      <c r="V10" s="48"/>
      <c r="W10" s="48"/>
      <c r="X10" s="49"/>
      <c r="Y10" s="50" t="n">
        <f aca="false">IF(OR(A10="",M10="",NOT(ISNUMBER(C10))),0,IF((C10+H10)&gt;12,G10*M10/1000,0))</f>
        <v>0</v>
      </c>
      <c r="Z10" s="50" t="n">
        <f aca="false">IF(OR(A10="",O10="",NOT(ISNUMBER(C10))),0,IF((C10+H10)&gt;12,G10*O10/1000,0))</f>
        <v>0</v>
      </c>
      <c r="AA10" s="51" t="n">
        <f aca="false">IF(OR(A10="",NOT(ISNUMBER(C10))),"",C10+H10+I10)</f>
        <v>4.73</v>
      </c>
      <c r="AB10" s="51" t="n">
        <f aca="false">IF(OR(A10="",AA10=""),0,IFERROR(J10*AA10*VLOOKUP(K10,'TABELA DE PESOS'!$A$2:$B$9,2,FALSE()),0))</f>
        <v>208.99032</v>
      </c>
      <c r="AC10" s="51" t="n">
        <f aca="false">IF(OR(A10="",NOT(ISNUMBER(C10))),"",C10+H10+Y10)</f>
        <v>4.73</v>
      </c>
      <c r="AD10" s="51" t="n">
        <f aca="false">IF(OR(A10="",AC10=""),0,IFERROR(L10*AC10*VLOOKUP(M10,'TABELA DE PESOS'!$A$2:$B$9,2,FALSE()),0))</f>
        <v>0</v>
      </c>
      <c r="AE10" s="51" t="n">
        <f aca="false">IF(OR(A10="",NOT(ISNUMBER(C10))),"",C10+H10+Z10)</f>
        <v>4.73</v>
      </c>
      <c r="AF10" s="51" t="n">
        <f aca="false">IF(OR(A10="",AE10=""),0,IFERROR(N10*AE10*VLOOKUP(O10,'TABELA DE PESOS'!$A$2:$B$9,2,FALSE()),0))</f>
        <v>0</v>
      </c>
      <c r="AG10" s="52" t="n">
        <f aca="false">IF(OR(A10="",P10="",NOT(ISNUMBER(C10))),0,P10*(INT(C10/R10)+1))</f>
        <v>20</v>
      </c>
      <c r="AH10" s="53" t="n">
        <f aca="false">IF(OR(A10="",P10=""),0,2*((D10-2*F10)+(E10-2*F10))/100+2*10*Q10/1000)</f>
        <v>2.12</v>
      </c>
      <c r="AI10" s="51" t="n">
        <f aca="false">IF(OR(A10="",P10=""),0,IFERROR(AG10*AH10*VLOOKUP(Q10,'TABELA DE PESOS'!$A$2:$B$9,2,FALSE()),0))</f>
        <v>16.748</v>
      </c>
      <c r="AJ10" s="52" t="n">
        <f aca="false">IF(OR(A10="",S10="",NOT(ISNUMBER(C10))),0,S10*(INT(C10/U10)+1))</f>
        <v>20</v>
      </c>
      <c r="AK10" s="53" t="n">
        <f aca="false">IF(OR(A10="",S10=""),0,2*((D10-2*F10)+(E10-2*F10))/100+2*10*T10/1000)</f>
        <v>2.12</v>
      </c>
      <c r="AL10" s="51" t="n">
        <f aca="false">IF(OR(A10="",S10=""),0,IFERROR(AJ10*AK10*VLOOKUP(T10,'TABELA DE PESOS'!$A$2:$B$9,2,FALSE()),0))</f>
        <v>16.748</v>
      </c>
      <c r="AM10" s="52" t="n">
        <f aca="false">IF(OR(A10="",V10="",NOT(ISNUMBER(C10))),0,V10*(INT(C10/X10)+1))</f>
        <v>0</v>
      </c>
      <c r="AN10" s="53" t="n">
        <f aca="false">IF(OR(A10="",V10=""),0,2*((D10-2*F10)+(E10-2*F10))/100+2*10*W10/1000)</f>
        <v>0</v>
      </c>
      <c r="AO10" s="51" t="n">
        <f aca="false">IF(OR(A10="",V10=""),0,IFERROR(AM10*AN10*VLOOKUP(W10,'TABELA DE PESOS'!$A$2:$B$9,2,FALSE()),0))</f>
        <v>0</v>
      </c>
      <c r="AP10" s="54" t="n">
        <f aca="false">IF(A10="",0,AB10+AD10+AF10+AI10+AL10+AO10)</f>
        <v>242.48632</v>
      </c>
      <c r="AQ10" s="55" t="n">
        <f aca="false">IF(OR(A10="",NOT(ISNUMBER(C10))),0,(D10/100)*(E10/100)*C10)</f>
        <v>1.1004</v>
      </c>
      <c r="AR10" s="56" t="n">
        <f aca="false">IF(OR(A10="",NOT(ISNUMBER(C10))),0,2*(D10/100+E10/100)*C10)</f>
        <v>8.646</v>
      </c>
      <c r="AS10" s="57" t="s">
        <v>143</v>
      </c>
    </row>
    <row r="11" customFormat="false" ht="15" hidden="false" customHeight="true" outlineLevel="0" collapsed="false">
      <c r="A11" s="58" t="s">
        <v>148</v>
      </c>
      <c r="B11" s="58" t="s">
        <v>140</v>
      </c>
      <c r="C11" s="59" t="str">
        <f aca="false">IF(B11&lt;&gt;"",IFERROR(VLOOKUP(B11,PISOS!A:D,4,0),"PENDENTE"),"")</f>
        <v>PENDENTE</v>
      </c>
      <c r="D11" s="58" t="n">
        <v>40</v>
      </c>
      <c r="E11" s="58" t="n">
        <v>20</v>
      </c>
      <c r="F11" s="58" t="n">
        <v>3</v>
      </c>
      <c r="G11" s="60" t="n">
        <v>50</v>
      </c>
      <c r="H11" s="61" t="n">
        <f aca="false">IF(OR(A11="",K11=""),0,G11*K11/1000)</f>
        <v>0.8</v>
      </c>
      <c r="I11" s="61" t="n">
        <f aca="false">IF(OR(A11="",K11="",NOT(ISNUMBER(C11))),0,IF((C11+H11)&gt;12,G11*K11/1000,0))</f>
        <v>0</v>
      </c>
      <c r="J11" s="58" t="n">
        <v>6</v>
      </c>
      <c r="K11" s="58" t="n">
        <v>16</v>
      </c>
      <c r="L11" s="58" t="n">
        <v>6</v>
      </c>
      <c r="M11" s="58" t="n">
        <v>12</v>
      </c>
      <c r="N11" s="58"/>
      <c r="O11" s="58"/>
      <c r="P11" s="58" t="n">
        <v>1</v>
      </c>
      <c r="Q11" s="58" t="n">
        <v>8</v>
      </c>
      <c r="R11" s="59" t="n">
        <v>0.2</v>
      </c>
      <c r="S11" s="62"/>
      <c r="T11" s="62"/>
      <c r="U11" s="63"/>
      <c r="V11" s="64"/>
      <c r="W11" s="64"/>
      <c r="X11" s="65"/>
      <c r="Y11" s="66" t="n">
        <f aca="false">IF(OR(A11="",M11="",NOT(ISNUMBER(C11))),0,IF((C11+H11)&gt;12,G11*M11/1000,0))</f>
        <v>0</v>
      </c>
      <c r="Z11" s="66" t="n">
        <f aca="false">IF(OR(A11="",O11="",NOT(ISNUMBER(C11))),0,IF((C11+H11)&gt;12,G11*O11/1000,0))</f>
        <v>0</v>
      </c>
      <c r="AA11" s="67" t="str">
        <f aca="false">IF(OR(A11="",NOT(ISNUMBER(C11))),"",C11+H11+I11)</f>
        <v/>
      </c>
      <c r="AB11" s="67" t="n">
        <f aca="false">IF(OR(A11="",AA11=""),0,IFERROR(J11*AA11*VLOOKUP(K11,'TABELA DE PESOS'!$A$2:$B$9,2,FALSE()),0))</f>
        <v>0</v>
      </c>
      <c r="AC11" s="67" t="str">
        <f aca="false">IF(OR(A11="",NOT(ISNUMBER(C11))),"",C11+H11+Y11)</f>
        <v/>
      </c>
      <c r="AD11" s="67" t="n">
        <f aca="false">IF(OR(A11="",AC11=""),0,IFERROR(L11*AC11*VLOOKUP(M11,'TABELA DE PESOS'!$A$2:$B$9,2,FALSE()),0))</f>
        <v>0</v>
      </c>
      <c r="AE11" s="67" t="str">
        <f aca="false">IF(OR(A11="",NOT(ISNUMBER(C11))),"",C11+H11+Z11)</f>
        <v/>
      </c>
      <c r="AF11" s="67" t="n">
        <f aca="false">IF(OR(A11="",AE11=""),0,IFERROR(N11*AE11*VLOOKUP(O11,'TABELA DE PESOS'!$A$2:$B$9,2,FALSE()),0))</f>
        <v>0</v>
      </c>
      <c r="AG11" s="68" t="n">
        <f aca="false">IF(OR(A11="",P11="",NOT(ISNUMBER(C11))),0,P11*(INT(C11/R11)+1))</f>
        <v>0</v>
      </c>
      <c r="AH11" s="69" t="n">
        <f aca="false">IF(OR(A11="",P11=""),0,2*((D11-2*F11)+(E11-2*F11))/100+2*10*Q11/1000)</f>
        <v>1.12</v>
      </c>
      <c r="AI11" s="67" t="n">
        <f aca="false">IF(OR(A11="",P11=""),0,IFERROR(AG11*AH11*VLOOKUP(Q11,'TABELA DE PESOS'!$A$2:$B$9,2,FALSE()),0))</f>
        <v>0</v>
      </c>
      <c r="AJ11" s="68" t="n">
        <f aca="false">IF(OR(A11="",S11="",NOT(ISNUMBER(C11))),0,S11*(INT(C11/U11)+1))</f>
        <v>0</v>
      </c>
      <c r="AK11" s="69" t="n">
        <f aca="false">IF(OR(A11="",S11=""),0,2*((D11-2*F11)+(E11-2*F11))/100+2*10*T11/1000)</f>
        <v>0</v>
      </c>
      <c r="AL11" s="67" t="n">
        <f aca="false">IF(OR(A11="",S11=""),0,IFERROR(AJ11*AK11*VLOOKUP(T11,'TABELA DE PESOS'!$A$2:$B$9,2,FALSE()),0))</f>
        <v>0</v>
      </c>
      <c r="AM11" s="68" t="n">
        <f aca="false">IF(OR(A11="",V11="",NOT(ISNUMBER(C11))),0,V11*(INT(C11/X11)+1))</f>
        <v>0</v>
      </c>
      <c r="AN11" s="69" t="n">
        <f aca="false">IF(OR(A11="",V11=""),0,2*((D11-2*F11)+(E11-2*F11))/100+2*10*W11/1000)</f>
        <v>0</v>
      </c>
      <c r="AO11" s="67" t="n">
        <f aca="false">IF(OR(A11="",V11=""),0,IFERROR(AM11*AN11*VLOOKUP(W11,'TABELA DE PESOS'!$A$2:$B$9,2,FALSE()),0))</f>
        <v>0</v>
      </c>
      <c r="AP11" s="70" t="n">
        <f aca="false">IF(A11="",0,AB11+AD11+AF11+AI11+AL11+AO11)</f>
        <v>0</v>
      </c>
      <c r="AQ11" s="71" t="n">
        <f aca="false">IF(OR(A11="",NOT(ISNUMBER(C11))),0,(D11/100)*(E11/100)*C11)</f>
        <v>0</v>
      </c>
      <c r="AR11" s="72" t="n">
        <f aca="false">IF(OR(A11="",NOT(ISNUMBER(C11))),0,2*(D11/100+E11/100)*C11)</f>
        <v>0</v>
      </c>
      <c r="AS11" s="57" t="s">
        <v>149</v>
      </c>
    </row>
    <row r="12" customFormat="false" ht="15" hidden="false" customHeight="true" outlineLevel="0" collapsed="false">
      <c r="A12" s="42" t="s">
        <v>150</v>
      </c>
      <c r="B12" s="42" t="s">
        <v>72</v>
      </c>
      <c r="C12" s="43" t="n">
        <f aca="false">IF(B12&lt;&gt;"",IFERROR(VLOOKUP(B12,PISOS!A:D,4,0),"PENDENTE"),"")</f>
        <v>3.93</v>
      </c>
      <c r="D12" s="42" t="n">
        <v>20</v>
      </c>
      <c r="E12" s="42" t="n">
        <v>40</v>
      </c>
      <c r="F12" s="42" t="n">
        <v>3</v>
      </c>
      <c r="G12" s="44" t="n">
        <v>50</v>
      </c>
      <c r="H12" s="45" t="n">
        <f aca="false">IF(OR(A12="",K12=""),0,G12*K12/1000)</f>
        <v>0.8</v>
      </c>
      <c r="I12" s="45" t="n">
        <f aca="false">IF(OR(A12="",K12="",NOT(ISNUMBER(C12))),0,IF((C12+H12)&gt;12,G12*K12/1000,0))</f>
        <v>0</v>
      </c>
      <c r="J12" s="42" t="n">
        <v>6</v>
      </c>
      <c r="K12" s="42" t="n">
        <v>16</v>
      </c>
      <c r="L12" s="42" t="n">
        <v>6</v>
      </c>
      <c r="M12" s="42" t="n">
        <v>12</v>
      </c>
      <c r="N12" s="42"/>
      <c r="O12" s="42"/>
      <c r="P12" s="42" t="n">
        <v>1</v>
      </c>
      <c r="Q12" s="42" t="n">
        <v>8</v>
      </c>
      <c r="R12" s="43" t="n">
        <v>0.2</v>
      </c>
      <c r="S12" s="46"/>
      <c r="T12" s="46"/>
      <c r="U12" s="47"/>
      <c r="V12" s="48"/>
      <c r="W12" s="48"/>
      <c r="X12" s="49"/>
      <c r="Y12" s="50" t="n">
        <f aca="false">IF(OR(A12="",M12="",NOT(ISNUMBER(C12))),0,IF((C12+H12)&gt;12,G12*M12/1000,0))</f>
        <v>0</v>
      </c>
      <c r="Z12" s="50" t="n">
        <f aca="false">IF(OR(A12="",O12="",NOT(ISNUMBER(C12))),0,IF((C12+H12)&gt;12,G12*O12/1000,0))</f>
        <v>0</v>
      </c>
      <c r="AA12" s="51" t="n">
        <f aca="false">IF(OR(A12="",NOT(ISNUMBER(C12))),"",C12+H12+I12)</f>
        <v>4.73</v>
      </c>
      <c r="AB12" s="51" t="n">
        <f aca="false">IF(OR(A12="",AA12=""),0,IFERROR(J12*AA12*VLOOKUP(K12,'TABELA DE PESOS'!$A$2:$B$9,2,FALSE()),0))</f>
        <v>44.78364</v>
      </c>
      <c r="AC12" s="51" t="n">
        <f aca="false">IF(OR(A12="",NOT(ISNUMBER(C12))),"",C12+H12+Y12)</f>
        <v>4.73</v>
      </c>
      <c r="AD12" s="51" t="n">
        <f aca="false">IF(OR(A12="",AC12=""),0,IFERROR(L12*AC12*VLOOKUP(M12,'TABELA DE PESOS'!$A$2:$B$9,2,FALSE()),0))</f>
        <v>25.20144</v>
      </c>
      <c r="AE12" s="51" t="n">
        <f aca="false">IF(OR(A12="",NOT(ISNUMBER(C12))),"",C12+H12+Z12)</f>
        <v>4.73</v>
      </c>
      <c r="AF12" s="51" t="n">
        <f aca="false">IF(OR(A12="",AE12=""),0,IFERROR(N12*AE12*VLOOKUP(O12,'TABELA DE PESOS'!$A$2:$B$9,2,FALSE()),0))</f>
        <v>0</v>
      </c>
      <c r="AG12" s="52" t="n">
        <f aca="false">IF(OR(A12="",P12="",NOT(ISNUMBER(C12))),0,P12*(INT(C12/R12)+1))</f>
        <v>20</v>
      </c>
      <c r="AH12" s="53" t="n">
        <f aca="false">IF(OR(A12="",P12=""),0,2*((D12-2*F12)+(E12-2*F12))/100+2*10*Q12/1000)</f>
        <v>1.12</v>
      </c>
      <c r="AI12" s="51" t="n">
        <f aca="false">IF(OR(A12="",P12=""),0,IFERROR(AG12*AH12*VLOOKUP(Q12,'TABELA DE PESOS'!$A$2:$B$9,2,FALSE()),0))</f>
        <v>8.848</v>
      </c>
      <c r="AJ12" s="52" t="n">
        <f aca="false">IF(OR(A12="",S12="",NOT(ISNUMBER(C12))),0,S12*(INT(C12/U12)+1))</f>
        <v>0</v>
      </c>
      <c r="AK12" s="53" t="n">
        <f aca="false">IF(OR(A12="",S12=""),0,2*((D12-2*F12)+(E12-2*F12))/100+2*10*T12/1000)</f>
        <v>0</v>
      </c>
      <c r="AL12" s="51" t="n">
        <f aca="false">IF(OR(A12="",S12=""),0,IFERROR(AJ12*AK12*VLOOKUP(T12,'TABELA DE PESOS'!$A$2:$B$9,2,FALSE()),0))</f>
        <v>0</v>
      </c>
      <c r="AM12" s="52" t="n">
        <f aca="false">IF(OR(A12="",V12="",NOT(ISNUMBER(C12))),0,V12*(INT(C12/X12)+1))</f>
        <v>0</v>
      </c>
      <c r="AN12" s="53" t="n">
        <f aca="false">IF(OR(A12="",V12=""),0,2*((D12-2*F12)+(E12-2*F12))/100+2*10*W12/1000)</f>
        <v>0</v>
      </c>
      <c r="AO12" s="51" t="n">
        <f aca="false">IF(OR(A12="",V12=""),0,IFERROR(AM12*AN12*VLOOKUP(W12,'TABELA DE PESOS'!$A$2:$B$9,2,FALSE()),0))</f>
        <v>0</v>
      </c>
      <c r="AP12" s="54" t="n">
        <f aca="false">IF(A12="",0,AB12+AD12+AF12+AI12+AL12+AO12)</f>
        <v>78.83308</v>
      </c>
      <c r="AQ12" s="55" t="n">
        <f aca="false">IF(OR(A12="",NOT(ISNUMBER(C12))),0,(D12/100)*(E12/100)*C12)</f>
        <v>0.3144</v>
      </c>
      <c r="AR12" s="56" t="n">
        <f aca="false">IF(OR(A12="",NOT(ISNUMBER(C12))),0,2*(D12/100+E12/100)*C12)</f>
        <v>4.716</v>
      </c>
      <c r="AS12" s="57" t="s">
        <v>151</v>
      </c>
    </row>
    <row r="13" customFormat="false" ht="15" hidden="false" customHeight="true" outlineLevel="0" collapsed="false">
      <c r="A13" s="58" t="s">
        <v>152</v>
      </c>
      <c r="B13" s="58" t="s">
        <v>73</v>
      </c>
      <c r="C13" s="59" t="str">
        <f aca="false">IF(B13&lt;&gt;"",IFERROR(VLOOKUP(B13,PISOS!A:D,4,0),"PENDENTE"),"")</f>
        <v>PENDENTE</v>
      </c>
      <c r="D13" s="58" t="n">
        <v>20</v>
      </c>
      <c r="E13" s="58" t="n">
        <v>40</v>
      </c>
      <c r="F13" s="58" t="n">
        <v>3</v>
      </c>
      <c r="G13" s="60" t="n">
        <v>50</v>
      </c>
      <c r="H13" s="61" t="n">
        <f aca="false">IF(OR(A13="",K13=""),0,G13*K13/1000)</f>
        <v>0.8</v>
      </c>
      <c r="I13" s="61" t="n">
        <f aca="false">IF(OR(A13="",K13="",NOT(ISNUMBER(C13))),0,IF((C13+H13)&gt;12,G13*K13/1000,0))</f>
        <v>0</v>
      </c>
      <c r="J13" s="58" t="n">
        <v>6</v>
      </c>
      <c r="K13" s="58" t="n">
        <v>16</v>
      </c>
      <c r="L13" s="58" t="n">
        <v>6</v>
      </c>
      <c r="M13" s="58" t="n">
        <v>12</v>
      </c>
      <c r="N13" s="58"/>
      <c r="O13" s="58"/>
      <c r="P13" s="58" t="n">
        <v>1</v>
      </c>
      <c r="Q13" s="58" t="n">
        <v>8</v>
      </c>
      <c r="R13" s="59" t="n">
        <v>0.2</v>
      </c>
      <c r="S13" s="62"/>
      <c r="T13" s="62"/>
      <c r="U13" s="63"/>
      <c r="V13" s="64"/>
      <c r="W13" s="64"/>
      <c r="X13" s="65"/>
      <c r="Y13" s="66" t="n">
        <f aca="false">IF(OR(A13="",M13="",NOT(ISNUMBER(C13))),0,IF((C13+H13)&gt;12,G13*M13/1000,0))</f>
        <v>0</v>
      </c>
      <c r="Z13" s="66" t="n">
        <f aca="false">IF(OR(A13="",O13="",NOT(ISNUMBER(C13))),0,IF((C13+H13)&gt;12,G13*O13/1000,0))</f>
        <v>0</v>
      </c>
      <c r="AA13" s="67" t="str">
        <f aca="false">IF(OR(A13="",NOT(ISNUMBER(C13))),"",C13+H13+I13)</f>
        <v/>
      </c>
      <c r="AB13" s="67" t="n">
        <f aca="false">IF(OR(A13="",AA13=""),0,IFERROR(J13*AA13*VLOOKUP(K13,'TABELA DE PESOS'!$A$2:$B$9,2,FALSE()),0))</f>
        <v>0</v>
      </c>
      <c r="AC13" s="67" t="str">
        <f aca="false">IF(OR(A13="",NOT(ISNUMBER(C13))),"",C13+H13+Y13)</f>
        <v/>
      </c>
      <c r="AD13" s="67" t="n">
        <f aca="false">IF(OR(A13="",AC13=""),0,IFERROR(L13*AC13*VLOOKUP(M13,'TABELA DE PESOS'!$A$2:$B$9,2,FALSE()),0))</f>
        <v>0</v>
      </c>
      <c r="AE13" s="67" t="str">
        <f aca="false">IF(OR(A13="",NOT(ISNUMBER(C13))),"",C13+H13+Z13)</f>
        <v/>
      </c>
      <c r="AF13" s="67" t="n">
        <f aca="false">IF(OR(A13="",AE13=""),0,IFERROR(N13*AE13*VLOOKUP(O13,'TABELA DE PESOS'!$A$2:$B$9,2,FALSE()),0))</f>
        <v>0</v>
      </c>
      <c r="AG13" s="68" t="n">
        <f aca="false">IF(OR(A13="",P13="",NOT(ISNUMBER(C13))),0,P13*(INT(C13/R13)+1))</f>
        <v>0</v>
      </c>
      <c r="AH13" s="69" t="n">
        <f aca="false">IF(OR(A13="",P13=""),0,2*((D13-2*F13)+(E13-2*F13))/100+2*10*Q13/1000)</f>
        <v>1.12</v>
      </c>
      <c r="AI13" s="67" t="n">
        <f aca="false">IF(OR(A13="",P13=""),0,IFERROR(AG13*AH13*VLOOKUP(Q13,'TABELA DE PESOS'!$A$2:$B$9,2,FALSE()),0))</f>
        <v>0</v>
      </c>
      <c r="AJ13" s="68" t="n">
        <f aca="false">IF(OR(A13="",S13="",NOT(ISNUMBER(C13))),0,S13*(INT(C13/U13)+1))</f>
        <v>0</v>
      </c>
      <c r="AK13" s="69" t="n">
        <f aca="false">IF(OR(A13="",S13=""),0,2*((D13-2*F13)+(E13-2*F13))/100+2*10*T13/1000)</f>
        <v>0</v>
      </c>
      <c r="AL13" s="67" t="n">
        <f aca="false">IF(OR(A13="",S13=""),0,IFERROR(AJ13*AK13*VLOOKUP(T13,'TABELA DE PESOS'!$A$2:$B$9,2,FALSE()),0))</f>
        <v>0</v>
      </c>
      <c r="AM13" s="68" t="n">
        <f aca="false">IF(OR(A13="",V13="",NOT(ISNUMBER(C13))),0,V13*(INT(C13/X13)+1))</f>
        <v>0</v>
      </c>
      <c r="AN13" s="69" t="n">
        <f aca="false">IF(OR(A13="",V13=""),0,2*((D13-2*F13)+(E13-2*F13))/100+2*10*W13/1000)</f>
        <v>0</v>
      </c>
      <c r="AO13" s="67" t="n">
        <f aca="false">IF(OR(A13="",V13=""),0,IFERROR(AM13*AN13*VLOOKUP(W13,'TABELA DE PESOS'!$A$2:$B$9,2,FALSE()),0))</f>
        <v>0</v>
      </c>
      <c r="AP13" s="70" t="n">
        <f aca="false">IF(A13="",0,AB13+AD13+AF13+AI13+AL13+AO13)</f>
        <v>0</v>
      </c>
      <c r="AQ13" s="71" t="n">
        <f aca="false">IF(OR(A13="",NOT(ISNUMBER(C13))),0,(D13/100)*(E13/100)*C13)</f>
        <v>0</v>
      </c>
      <c r="AR13" s="72" t="n">
        <f aca="false">IF(OR(A13="",NOT(ISNUMBER(C13))),0,2*(D13/100+E13/100)*C13)</f>
        <v>0</v>
      </c>
      <c r="AS13" s="57" t="s">
        <v>153</v>
      </c>
    </row>
    <row r="14" customFormat="false" ht="15" hidden="false" customHeight="true" outlineLevel="0" collapsed="false">
      <c r="A14" s="42" t="s">
        <v>154</v>
      </c>
      <c r="B14" s="42" t="s">
        <v>72</v>
      </c>
      <c r="C14" s="43" t="n">
        <f aca="false">IF(B14&lt;&gt;"",IFERROR(VLOOKUP(B14,PISOS!A:D,4,0),"PENDENTE"),"")</f>
        <v>3.93</v>
      </c>
      <c r="D14" s="42" t="n">
        <v>20</v>
      </c>
      <c r="E14" s="42" t="n">
        <v>40</v>
      </c>
      <c r="F14" s="42" t="n">
        <v>3</v>
      </c>
      <c r="G14" s="44" t="n">
        <v>50</v>
      </c>
      <c r="H14" s="45" t="n">
        <f aca="false">IF(OR(A14="",K14=""),0,G14*K14/1000)</f>
        <v>0.8</v>
      </c>
      <c r="I14" s="45" t="n">
        <f aca="false">IF(OR(A14="",K14="",NOT(ISNUMBER(C14))),0,IF((C14+H14)&gt;12,G14*K14/1000,0))</f>
        <v>0</v>
      </c>
      <c r="J14" s="42" t="n">
        <v>6</v>
      </c>
      <c r="K14" s="42" t="n">
        <v>16</v>
      </c>
      <c r="L14" s="42" t="n">
        <v>6</v>
      </c>
      <c r="M14" s="42" t="n">
        <v>12</v>
      </c>
      <c r="N14" s="42"/>
      <c r="O14" s="42"/>
      <c r="P14" s="42" t="n">
        <v>1</v>
      </c>
      <c r="Q14" s="42" t="n">
        <v>8</v>
      </c>
      <c r="R14" s="43" t="n">
        <v>0.2</v>
      </c>
      <c r="S14" s="46"/>
      <c r="T14" s="46"/>
      <c r="U14" s="47"/>
      <c r="V14" s="48"/>
      <c r="W14" s="48"/>
      <c r="X14" s="49"/>
      <c r="Y14" s="50" t="n">
        <f aca="false">IF(OR(A14="",M14="",NOT(ISNUMBER(C14))),0,IF((C14+H14)&gt;12,G14*M14/1000,0))</f>
        <v>0</v>
      </c>
      <c r="Z14" s="50" t="n">
        <f aca="false">IF(OR(A14="",O14="",NOT(ISNUMBER(C14))),0,IF((C14+H14)&gt;12,G14*O14/1000,0))</f>
        <v>0</v>
      </c>
      <c r="AA14" s="51" t="n">
        <f aca="false">IF(OR(A14="",NOT(ISNUMBER(C14))),"",C14+H14+I14)</f>
        <v>4.73</v>
      </c>
      <c r="AB14" s="51" t="n">
        <f aca="false">IF(OR(A14="",AA14=""),0,IFERROR(J14*AA14*VLOOKUP(K14,'TABELA DE PESOS'!$A$2:$B$9,2,FALSE()),0))</f>
        <v>44.78364</v>
      </c>
      <c r="AC14" s="51" t="n">
        <f aca="false">IF(OR(A14="",NOT(ISNUMBER(C14))),"",C14+H14+Y14)</f>
        <v>4.73</v>
      </c>
      <c r="AD14" s="51" t="n">
        <f aca="false">IF(OR(A14="",AC14=""),0,IFERROR(L14*AC14*VLOOKUP(M14,'TABELA DE PESOS'!$A$2:$B$9,2,FALSE()),0))</f>
        <v>25.20144</v>
      </c>
      <c r="AE14" s="51" t="n">
        <f aca="false">IF(OR(A14="",NOT(ISNUMBER(C14))),"",C14+H14+Z14)</f>
        <v>4.73</v>
      </c>
      <c r="AF14" s="51" t="n">
        <f aca="false">IF(OR(A14="",AE14=""),0,IFERROR(N14*AE14*VLOOKUP(O14,'TABELA DE PESOS'!$A$2:$B$9,2,FALSE()),0))</f>
        <v>0</v>
      </c>
      <c r="AG14" s="52" t="n">
        <f aca="false">IF(OR(A14="",P14="",NOT(ISNUMBER(C14))),0,P14*(INT(C14/R14)+1))</f>
        <v>20</v>
      </c>
      <c r="AH14" s="53" t="n">
        <f aca="false">IF(OR(A14="",P14=""),0,2*((D14-2*F14)+(E14-2*F14))/100+2*10*Q14/1000)</f>
        <v>1.12</v>
      </c>
      <c r="AI14" s="51" t="n">
        <f aca="false">IF(OR(A14="",P14=""),0,IFERROR(AG14*AH14*VLOOKUP(Q14,'TABELA DE PESOS'!$A$2:$B$9,2,FALSE()),0))</f>
        <v>8.848</v>
      </c>
      <c r="AJ14" s="52" t="n">
        <f aca="false">IF(OR(A14="",S14="",NOT(ISNUMBER(C14))),0,S14*(INT(C14/U14)+1))</f>
        <v>0</v>
      </c>
      <c r="AK14" s="53" t="n">
        <f aca="false">IF(OR(A14="",S14=""),0,2*((D14-2*F14)+(E14-2*F14))/100+2*10*T14/1000)</f>
        <v>0</v>
      </c>
      <c r="AL14" s="51" t="n">
        <f aca="false">IF(OR(A14="",S14=""),0,IFERROR(AJ14*AK14*VLOOKUP(T14,'TABELA DE PESOS'!$A$2:$B$9,2,FALSE()),0))</f>
        <v>0</v>
      </c>
      <c r="AM14" s="52" t="n">
        <f aca="false">IF(OR(A14="",V14="",NOT(ISNUMBER(C14))),0,V14*(INT(C14/X14)+1))</f>
        <v>0</v>
      </c>
      <c r="AN14" s="53" t="n">
        <f aca="false">IF(OR(A14="",V14=""),0,2*((D14-2*F14)+(E14-2*F14))/100+2*10*W14/1000)</f>
        <v>0</v>
      </c>
      <c r="AO14" s="51" t="n">
        <f aca="false">IF(OR(A14="",V14=""),0,IFERROR(AM14*AN14*VLOOKUP(W14,'TABELA DE PESOS'!$A$2:$B$9,2,FALSE()),0))</f>
        <v>0</v>
      </c>
      <c r="AP14" s="54" t="n">
        <f aca="false">IF(A14="",0,AB14+AD14+AF14+AI14+AL14+AO14)</f>
        <v>78.83308</v>
      </c>
      <c r="AQ14" s="55" t="n">
        <f aca="false">IF(OR(A14="",NOT(ISNUMBER(C14))),0,(D14/100)*(E14/100)*C14)</f>
        <v>0.3144</v>
      </c>
      <c r="AR14" s="56" t="n">
        <f aca="false">IF(OR(A14="",NOT(ISNUMBER(C14))),0,2*(D14/100+E14/100)*C14)</f>
        <v>4.716</v>
      </c>
      <c r="AS14" s="57" t="s">
        <v>151</v>
      </c>
    </row>
    <row r="15" customFormat="false" ht="15" hidden="false" customHeight="true" outlineLevel="0" collapsed="false">
      <c r="A15" s="58" t="s">
        <v>155</v>
      </c>
      <c r="B15" s="58" t="s">
        <v>140</v>
      </c>
      <c r="C15" s="59" t="str">
        <f aca="false">IF(B15&lt;&gt;"",IFERROR(VLOOKUP(B15,PISOS!A:D,4,0),"PENDENTE"),"")</f>
        <v>PENDENTE</v>
      </c>
      <c r="D15" s="58" t="n">
        <v>30</v>
      </c>
      <c r="E15" s="58" t="n">
        <v>30</v>
      </c>
      <c r="F15" s="58" t="n">
        <v>3</v>
      </c>
      <c r="G15" s="60" t="n">
        <v>50</v>
      </c>
      <c r="H15" s="61" t="n">
        <f aca="false">IF(OR(A15="",K15=""),0,G15*K15/1000)</f>
        <v>1</v>
      </c>
      <c r="I15" s="61" t="n">
        <f aca="false">IF(OR(A15="",K15="",NOT(ISNUMBER(C15))),0,IF((C15+H15)&gt;12,G15*K15/1000,0))</f>
        <v>0</v>
      </c>
      <c r="J15" s="58" t="n">
        <v>8</v>
      </c>
      <c r="K15" s="58" t="n">
        <v>20</v>
      </c>
      <c r="L15" s="58" t="n">
        <v>4</v>
      </c>
      <c r="M15" s="58" t="n">
        <v>16</v>
      </c>
      <c r="N15" s="58"/>
      <c r="O15" s="58"/>
      <c r="P15" s="58" t="n">
        <v>1</v>
      </c>
      <c r="Q15" s="58" t="n">
        <v>8</v>
      </c>
      <c r="R15" s="59" t="n">
        <v>0.2</v>
      </c>
      <c r="S15" s="62"/>
      <c r="T15" s="62"/>
      <c r="U15" s="63"/>
      <c r="V15" s="64"/>
      <c r="W15" s="64"/>
      <c r="X15" s="65"/>
      <c r="Y15" s="66" t="n">
        <f aca="false">IF(OR(A15="",M15="",NOT(ISNUMBER(C15))),0,IF((C15+H15)&gt;12,G15*M15/1000,0))</f>
        <v>0</v>
      </c>
      <c r="Z15" s="66" t="n">
        <f aca="false">IF(OR(A15="",O15="",NOT(ISNUMBER(C15))),0,IF((C15+H15)&gt;12,G15*O15/1000,0))</f>
        <v>0</v>
      </c>
      <c r="AA15" s="67" t="str">
        <f aca="false">IF(OR(A15="",NOT(ISNUMBER(C15))),"",C15+H15+I15)</f>
        <v/>
      </c>
      <c r="AB15" s="67" t="n">
        <f aca="false">IF(OR(A15="",AA15=""),0,IFERROR(J15*AA15*VLOOKUP(K15,'TABELA DE PESOS'!$A$2:$B$9,2,FALSE()),0))</f>
        <v>0</v>
      </c>
      <c r="AC15" s="67" t="str">
        <f aca="false">IF(OR(A15="",NOT(ISNUMBER(C15))),"",C15+H15+Y15)</f>
        <v/>
      </c>
      <c r="AD15" s="67" t="n">
        <f aca="false">IF(OR(A15="",AC15=""),0,IFERROR(L15*AC15*VLOOKUP(M15,'TABELA DE PESOS'!$A$2:$B$9,2,FALSE()),0))</f>
        <v>0</v>
      </c>
      <c r="AE15" s="67" t="str">
        <f aca="false">IF(OR(A15="",NOT(ISNUMBER(C15))),"",C15+H15+Z15)</f>
        <v/>
      </c>
      <c r="AF15" s="67" t="n">
        <f aca="false">IF(OR(A15="",AE15=""),0,IFERROR(N15*AE15*VLOOKUP(O15,'TABELA DE PESOS'!$A$2:$B$9,2,FALSE()),0))</f>
        <v>0</v>
      </c>
      <c r="AG15" s="68" t="n">
        <f aca="false">IF(OR(A15="",P15="",NOT(ISNUMBER(C15))),0,P15*(INT(C15/R15)+1))</f>
        <v>0</v>
      </c>
      <c r="AH15" s="69" t="n">
        <f aca="false">IF(OR(A15="",P15=""),0,2*((D15-2*F15)+(E15-2*F15))/100+2*10*Q15/1000)</f>
        <v>1.12</v>
      </c>
      <c r="AI15" s="67" t="n">
        <f aca="false">IF(OR(A15="",P15=""),0,IFERROR(AG15*AH15*VLOOKUP(Q15,'TABELA DE PESOS'!$A$2:$B$9,2,FALSE()),0))</f>
        <v>0</v>
      </c>
      <c r="AJ15" s="68" t="n">
        <f aca="false">IF(OR(A15="",S15="",NOT(ISNUMBER(C15))),0,S15*(INT(C15/U15)+1))</f>
        <v>0</v>
      </c>
      <c r="AK15" s="69" t="n">
        <f aca="false">IF(OR(A15="",S15=""),0,2*((D15-2*F15)+(E15-2*F15))/100+2*10*T15/1000)</f>
        <v>0</v>
      </c>
      <c r="AL15" s="67" t="n">
        <f aca="false">IF(OR(A15="",S15=""),0,IFERROR(AJ15*AK15*VLOOKUP(T15,'TABELA DE PESOS'!$A$2:$B$9,2,FALSE()),0))</f>
        <v>0</v>
      </c>
      <c r="AM15" s="68" t="n">
        <f aca="false">IF(OR(A15="",V15="",NOT(ISNUMBER(C15))),0,V15*(INT(C15/X15)+1))</f>
        <v>0</v>
      </c>
      <c r="AN15" s="69" t="n">
        <f aca="false">IF(OR(A15="",V15=""),0,2*((D15-2*F15)+(E15-2*F15))/100+2*10*W15/1000)</f>
        <v>0</v>
      </c>
      <c r="AO15" s="67" t="n">
        <f aca="false">IF(OR(A15="",V15=""),0,IFERROR(AM15*AN15*VLOOKUP(W15,'TABELA DE PESOS'!$A$2:$B$9,2,FALSE()),0))</f>
        <v>0</v>
      </c>
      <c r="AP15" s="70" t="n">
        <f aca="false">IF(A15="",0,AB15+AD15+AF15+AI15+AL15+AO15)</f>
        <v>0</v>
      </c>
      <c r="AQ15" s="71" t="n">
        <f aca="false">IF(OR(A15="",NOT(ISNUMBER(C15))),0,(D15/100)*(E15/100)*C15)</f>
        <v>0</v>
      </c>
      <c r="AR15" s="72" t="n">
        <f aca="false">IF(OR(A15="",NOT(ISNUMBER(C15))),0,2*(D15/100+E15/100)*C15)</f>
        <v>0</v>
      </c>
      <c r="AS15" s="57" t="s">
        <v>156</v>
      </c>
    </row>
    <row r="16" customFormat="false" ht="15" hidden="false" customHeight="true" outlineLevel="0" collapsed="false">
      <c r="A16" s="42" t="s">
        <v>157</v>
      </c>
      <c r="B16" s="42" t="s">
        <v>72</v>
      </c>
      <c r="C16" s="43" t="n">
        <f aca="false">IF(B16&lt;&gt;"",IFERROR(VLOOKUP(B16,PISOS!A:D,4,0),"PENDENTE"),"")</f>
        <v>3.93</v>
      </c>
      <c r="D16" s="42" t="n">
        <v>30</v>
      </c>
      <c r="E16" s="42" t="n">
        <v>30</v>
      </c>
      <c r="F16" s="42" t="n">
        <v>3</v>
      </c>
      <c r="G16" s="44" t="n">
        <v>50</v>
      </c>
      <c r="H16" s="45" t="n">
        <f aca="false">IF(OR(A16="",K16=""),0,G16*K16/1000)</f>
        <v>1</v>
      </c>
      <c r="I16" s="45" t="n">
        <f aca="false">IF(OR(A16="",K16="",NOT(ISNUMBER(C16))),0,IF((C16+H16)&gt;12,G16*K16/1000,0))</f>
        <v>0</v>
      </c>
      <c r="J16" s="42" t="n">
        <v>8</v>
      </c>
      <c r="K16" s="42" t="n">
        <v>20</v>
      </c>
      <c r="L16" s="42" t="n">
        <v>4</v>
      </c>
      <c r="M16" s="42" t="n">
        <v>16</v>
      </c>
      <c r="N16" s="42"/>
      <c r="O16" s="42"/>
      <c r="P16" s="42" t="n">
        <v>1</v>
      </c>
      <c r="Q16" s="42" t="n">
        <v>8</v>
      </c>
      <c r="R16" s="43" t="n">
        <v>0.2</v>
      </c>
      <c r="S16" s="46"/>
      <c r="T16" s="46"/>
      <c r="U16" s="47"/>
      <c r="V16" s="48"/>
      <c r="W16" s="48"/>
      <c r="X16" s="49"/>
      <c r="Y16" s="50" t="n">
        <f aca="false">IF(OR(A16="",M16="",NOT(ISNUMBER(C16))),0,IF((C16+H16)&gt;12,G16*M16/1000,0))</f>
        <v>0</v>
      </c>
      <c r="Z16" s="50" t="n">
        <f aca="false">IF(OR(A16="",O16="",NOT(ISNUMBER(C16))),0,IF((C16+H16)&gt;12,G16*O16/1000,0))</f>
        <v>0</v>
      </c>
      <c r="AA16" s="51" t="n">
        <f aca="false">IF(OR(A16="",NOT(ISNUMBER(C16))),"",C16+H16+I16)</f>
        <v>4.93</v>
      </c>
      <c r="AB16" s="51" t="n">
        <f aca="false">IF(OR(A16="",AA16=""),0,IFERROR(J16*AA16*VLOOKUP(K16,'TABELA DE PESOS'!$A$2:$B$9,2,FALSE()),0))</f>
        <v>97.25904</v>
      </c>
      <c r="AC16" s="51" t="n">
        <f aca="false">IF(OR(A16="",NOT(ISNUMBER(C16))),"",C16+H16+Y16)</f>
        <v>4.93</v>
      </c>
      <c r="AD16" s="51" t="n">
        <f aca="false">IF(OR(A16="",AC16=""),0,IFERROR(L16*AC16*VLOOKUP(M16,'TABELA DE PESOS'!$A$2:$B$9,2,FALSE()),0))</f>
        <v>31.11816</v>
      </c>
      <c r="AE16" s="51" t="n">
        <f aca="false">IF(OR(A16="",NOT(ISNUMBER(C16))),"",C16+H16+Z16)</f>
        <v>4.93</v>
      </c>
      <c r="AF16" s="51" t="n">
        <f aca="false">IF(OR(A16="",AE16=""),0,IFERROR(N16*AE16*VLOOKUP(O16,'TABELA DE PESOS'!$A$2:$B$9,2,FALSE()),0))</f>
        <v>0</v>
      </c>
      <c r="AG16" s="52" t="n">
        <f aca="false">IF(OR(A16="",P16="",NOT(ISNUMBER(C16))),0,P16*(INT(C16/R16)+1))</f>
        <v>20</v>
      </c>
      <c r="AH16" s="53" t="n">
        <f aca="false">IF(OR(A16="",P16=""),0,2*((D16-2*F16)+(E16-2*F16))/100+2*10*Q16/1000)</f>
        <v>1.12</v>
      </c>
      <c r="AI16" s="51" t="n">
        <f aca="false">IF(OR(A16="",P16=""),0,IFERROR(AG16*AH16*VLOOKUP(Q16,'TABELA DE PESOS'!$A$2:$B$9,2,FALSE()),0))</f>
        <v>8.848</v>
      </c>
      <c r="AJ16" s="52" t="n">
        <f aca="false">IF(OR(A16="",S16="",NOT(ISNUMBER(C16))),0,S16*(INT(C16/U16)+1))</f>
        <v>0</v>
      </c>
      <c r="AK16" s="53" t="n">
        <f aca="false">IF(OR(A16="",S16=""),0,2*((D16-2*F16)+(E16-2*F16))/100+2*10*T16/1000)</f>
        <v>0</v>
      </c>
      <c r="AL16" s="51" t="n">
        <f aca="false">IF(OR(A16="",S16=""),0,IFERROR(AJ16*AK16*VLOOKUP(T16,'TABELA DE PESOS'!$A$2:$B$9,2,FALSE()),0))</f>
        <v>0</v>
      </c>
      <c r="AM16" s="52" t="n">
        <f aca="false">IF(OR(A16="",V16="",NOT(ISNUMBER(C16))),0,V16*(INT(C16/X16)+1))</f>
        <v>0</v>
      </c>
      <c r="AN16" s="53" t="n">
        <f aca="false">IF(OR(A16="",V16=""),0,2*((D16-2*F16)+(E16-2*F16))/100+2*10*W16/1000)</f>
        <v>0</v>
      </c>
      <c r="AO16" s="51" t="n">
        <f aca="false">IF(OR(A16="",V16=""),0,IFERROR(AM16*AN16*VLOOKUP(W16,'TABELA DE PESOS'!$A$2:$B$9,2,FALSE()),0))</f>
        <v>0</v>
      </c>
      <c r="AP16" s="54" t="n">
        <f aca="false">IF(A16="",0,AB16+AD16+AF16+AI16+AL16+AO16)</f>
        <v>137.2252</v>
      </c>
      <c r="AQ16" s="55" t="n">
        <f aca="false">IF(OR(A16="",NOT(ISNUMBER(C16))),0,(D16/100)*(E16/100)*C16)</f>
        <v>0.3537</v>
      </c>
      <c r="AR16" s="56" t="n">
        <f aca="false">IF(OR(A16="",NOT(ISNUMBER(C16))),0,2*(D16/100+E16/100)*C16)</f>
        <v>4.716</v>
      </c>
      <c r="AS16" s="57" t="s">
        <v>158</v>
      </c>
    </row>
    <row r="17" customFormat="false" ht="15" hidden="false" customHeight="true" outlineLevel="0" collapsed="false">
      <c r="A17" s="58" t="s">
        <v>159</v>
      </c>
      <c r="B17" s="58" t="s">
        <v>140</v>
      </c>
      <c r="C17" s="59" t="str">
        <f aca="false">IF(B17&lt;&gt;"",IFERROR(VLOOKUP(B17,PISOS!A:D,4,0),"PENDENTE"),"")</f>
        <v>PENDENTE</v>
      </c>
      <c r="D17" s="58" t="n">
        <v>50</v>
      </c>
      <c r="E17" s="58" t="n">
        <v>30</v>
      </c>
      <c r="F17" s="58" t="n">
        <v>3</v>
      </c>
      <c r="G17" s="60" t="n">
        <v>50</v>
      </c>
      <c r="H17" s="61" t="n">
        <f aca="false">IF(OR(A17="",K17=""),0,G17*K17/1000)</f>
        <v>0.8</v>
      </c>
      <c r="I17" s="61" t="n">
        <f aca="false">IF(OR(A17="",K17="",NOT(ISNUMBER(C17))),0,IF((C17+H17)&gt;12,G17*K17/1000,0))</f>
        <v>0</v>
      </c>
      <c r="J17" s="58" t="n">
        <v>10</v>
      </c>
      <c r="K17" s="58" t="n">
        <v>16</v>
      </c>
      <c r="L17" s="58"/>
      <c r="M17" s="58"/>
      <c r="N17" s="58"/>
      <c r="O17" s="58"/>
      <c r="P17" s="58" t="n">
        <v>1</v>
      </c>
      <c r="Q17" s="58" t="n">
        <v>8</v>
      </c>
      <c r="R17" s="59" t="n">
        <v>0.2</v>
      </c>
      <c r="S17" s="62"/>
      <c r="T17" s="62"/>
      <c r="U17" s="63"/>
      <c r="V17" s="64"/>
      <c r="W17" s="64"/>
      <c r="X17" s="65"/>
      <c r="Y17" s="66" t="n">
        <f aca="false">IF(OR(A17="",M17="",NOT(ISNUMBER(C17))),0,IF((C17+H17)&gt;12,G17*M17/1000,0))</f>
        <v>0</v>
      </c>
      <c r="Z17" s="66" t="n">
        <f aca="false">IF(OR(A17="",O17="",NOT(ISNUMBER(C17))),0,IF((C17+H17)&gt;12,G17*O17/1000,0))</f>
        <v>0</v>
      </c>
      <c r="AA17" s="67" t="str">
        <f aca="false">IF(OR(A17="",NOT(ISNUMBER(C17))),"",C17+H17+I17)</f>
        <v/>
      </c>
      <c r="AB17" s="67" t="n">
        <f aca="false">IF(OR(A17="",AA17=""),0,IFERROR(J17*AA17*VLOOKUP(K17,'TABELA DE PESOS'!$A$2:$B$9,2,FALSE()),0))</f>
        <v>0</v>
      </c>
      <c r="AC17" s="67" t="str">
        <f aca="false">IF(OR(A17="",NOT(ISNUMBER(C17))),"",C17+H17+Y17)</f>
        <v/>
      </c>
      <c r="AD17" s="67" t="n">
        <f aca="false">IF(OR(A17="",AC17=""),0,IFERROR(L17*AC17*VLOOKUP(M17,'TABELA DE PESOS'!$A$2:$B$9,2,FALSE()),0))</f>
        <v>0</v>
      </c>
      <c r="AE17" s="67" t="str">
        <f aca="false">IF(OR(A17="",NOT(ISNUMBER(C17))),"",C17+H17+Z17)</f>
        <v/>
      </c>
      <c r="AF17" s="67" t="n">
        <f aca="false">IF(OR(A17="",AE17=""),0,IFERROR(N17*AE17*VLOOKUP(O17,'TABELA DE PESOS'!$A$2:$B$9,2,FALSE()),0))</f>
        <v>0</v>
      </c>
      <c r="AG17" s="68" t="n">
        <f aca="false">IF(OR(A17="",P17="",NOT(ISNUMBER(C17))),0,P17*(INT(C17/R17)+1))</f>
        <v>0</v>
      </c>
      <c r="AH17" s="69" t="n">
        <f aca="false">IF(OR(A17="",P17=""),0,2*((D17-2*F17)+(E17-2*F17))/100+2*10*Q17/1000)</f>
        <v>1.52</v>
      </c>
      <c r="AI17" s="67" t="n">
        <f aca="false">IF(OR(A17="",P17=""),0,IFERROR(AG17*AH17*VLOOKUP(Q17,'TABELA DE PESOS'!$A$2:$B$9,2,FALSE()),0))</f>
        <v>0</v>
      </c>
      <c r="AJ17" s="68" t="n">
        <f aca="false">IF(OR(A17="",S17="",NOT(ISNUMBER(C17))),0,S17*(INT(C17/U17)+1))</f>
        <v>0</v>
      </c>
      <c r="AK17" s="69" t="n">
        <f aca="false">IF(OR(A17="",S17=""),0,2*((D17-2*F17)+(E17-2*F17))/100+2*10*T17/1000)</f>
        <v>0</v>
      </c>
      <c r="AL17" s="67" t="n">
        <f aca="false">IF(OR(A17="",S17=""),0,IFERROR(AJ17*AK17*VLOOKUP(T17,'TABELA DE PESOS'!$A$2:$B$9,2,FALSE()),0))</f>
        <v>0</v>
      </c>
      <c r="AM17" s="68" t="n">
        <f aca="false">IF(OR(A17="",V17="",NOT(ISNUMBER(C17))),0,V17*(INT(C17/X17)+1))</f>
        <v>0</v>
      </c>
      <c r="AN17" s="69" t="n">
        <f aca="false">IF(OR(A17="",V17=""),0,2*((D17-2*F17)+(E17-2*F17))/100+2*10*W17/1000)</f>
        <v>0</v>
      </c>
      <c r="AO17" s="67" t="n">
        <f aca="false">IF(OR(A17="",V17=""),0,IFERROR(AM17*AN17*VLOOKUP(W17,'TABELA DE PESOS'!$A$2:$B$9,2,FALSE()),0))</f>
        <v>0</v>
      </c>
      <c r="AP17" s="70" t="n">
        <f aca="false">IF(A17="",0,AB17+AD17+AF17+AI17+AL17+AO17)</f>
        <v>0</v>
      </c>
      <c r="AQ17" s="71" t="n">
        <f aca="false">IF(OR(A17="",NOT(ISNUMBER(C17))),0,(D17/100)*(E17/100)*C17)</f>
        <v>0</v>
      </c>
      <c r="AR17" s="72" t="n">
        <f aca="false">IF(OR(A17="",NOT(ISNUMBER(C17))),0,2*(D17/100+E17/100)*C17)</f>
        <v>0</v>
      </c>
      <c r="AS17" s="57" t="s">
        <v>160</v>
      </c>
    </row>
    <row r="18" customFormat="false" ht="15" hidden="false" customHeight="true" outlineLevel="0" collapsed="false">
      <c r="A18" s="42" t="s">
        <v>161</v>
      </c>
      <c r="B18" s="42" t="s">
        <v>72</v>
      </c>
      <c r="C18" s="43" t="n">
        <f aca="false">IF(B18&lt;&gt;"",IFERROR(VLOOKUP(B18,PISOS!A:D,4,0),"PENDENTE"),"")</f>
        <v>3.93</v>
      </c>
      <c r="D18" s="42" t="n">
        <v>30</v>
      </c>
      <c r="E18" s="42" t="n">
        <v>30</v>
      </c>
      <c r="F18" s="42" t="n">
        <v>3</v>
      </c>
      <c r="G18" s="44" t="n">
        <v>50</v>
      </c>
      <c r="H18" s="45" t="n">
        <f aca="false">IF(OR(A18="",K18=""),0,G18*K18/1000)</f>
        <v>0.8</v>
      </c>
      <c r="I18" s="45" t="n">
        <f aca="false">IF(OR(A18="",K18="",NOT(ISNUMBER(C18))),0,IF((C18+H18)&gt;12,G18*K18/1000,0))</f>
        <v>0</v>
      </c>
      <c r="J18" s="42" t="n">
        <v>7</v>
      </c>
      <c r="K18" s="42" t="n">
        <v>16</v>
      </c>
      <c r="L18" s="42"/>
      <c r="M18" s="42"/>
      <c r="N18" s="42"/>
      <c r="O18" s="42"/>
      <c r="P18" s="42" t="n">
        <v>1</v>
      </c>
      <c r="Q18" s="42" t="n">
        <v>8</v>
      </c>
      <c r="R18" s="43" t="n">
        <v>0.2</v>
      </c>
      <c r="S18" s="46"/>
      <c r="T18" s="46"/>
      <c r="U18" s="47"/>
      <c r="V18" s="48"/>
      <c r="W18" s="48"/>
      <c r="X18" s="49"/>
      <c r="Y18" s="50" t="n">
        <f aca="false">IF(OR(A18="",M18="",NOT(ISNUMBER(C18))),0,IF((C18+H18)&gt;12,G18*M18/1000,0))</f>
        <v>0</v>
      </c>
      <c r="Z18" s="50" t="n">
        <f aca="false">IF(OR(A18="",O18="",NOT(ISNUMBER(C18))),0,IF((C18+H18)&gt;12,G18*O18/1000,0))</f>
        <v>0</v>
      </c>
      <c r="AA18" s="51" t="n">
        <f aca="false">IF(OR(A18="",NOT(ISNUMBER(C18))),"",C18+H18+I18)</f>
        <v>4.73</v>
      </c>
      <c r="AB18" s="51" t="n">
        <f aca="false">IF(OR(A18="",AA18=""),0,IFERROR(J18*AA18*VLOOKUP(K18,'TABELA DE PESOS'!$A$2:$B$9,2,FALSE()),0))</f>
        <v>52.24758</v>
      </c>
      <c r="AC18" s="51" t="n">
        <f aca="false">IF(OR(A18="",NOT(ISNUMBER(C18))),"",C18+H18+Y18)</f>
        <v>4.73</v>
      </c>
      <c r="AD18" s="51" t="n">
        <f aca="false">IF(OR(A18="",AC18=""),0,IFERROR(L18*AC18*VLOOKUP(M18,'TABELA DE PESOS'!$A$2:$B$9,2,FALSE()),0))</f>
        <v>0</v>
      </c>
      <c r="AE18" s="51" t="n">
        <f aca="false">IF(OR(A18="",NOT(ISNUMBER(C18))),"",C18+H18+Z18)</f>
        <v>4.73</v>
      </c>
      <c r="AF18" s="51" t="n">
        <f aca="false">IF(OR(A18="",AE18=""),0,IFERROR(N18*AE18*VLOOKUP(O18,'TABELA DE PESOS'!$A$2:$B$9,2,FALSE()),0))</f>
        <v>0</v>
      </c>
      <c r="AG18" s="52" t="n">
        <f aca="false">IF(OR(A18="",P18="",NOT(ISNUMBER(C18))),0,P18*(INT(C18/R18)+1))</f>
        <v>20</v>
      </c>
      <c r="AH18" s="53" t="n">
        <f aca="false">IF(OR(A18="",P18=""),0,PI()*(D18-2*F18)/100+2*10*Q18/1000)</f>
        <v>0.91398223686155</v>
      </c>
      <c r="AI18" s="51" t="n">
        <f aca="false">IF(OR(A18="",P18=""),0,IFERROR(AG18*AH18*VLOOKUP(Q18,'TABELA DE PESOS'!$A$2:$B$9,2,FALSE()),0))</f>
        <v>7.22045967120625</v>
      </c>
      <c r="AJ18" s="52" t="n">
        <f aca="false">IF(OR(A18="",S18="",NOT(ISNUMBER(C18))),0,S18*(INT(C18/U18)+1))</f>
        <v>0</v>
      </c>
      <c r="AK18" s="53" t="n">
        <f aca="false">IF(OR(A18="",S18=""),0,PI()*(D18-2*F18)/100+2*10*T18/1000)</f>
        <v>0</v>
      </c>
      <c r="AL18" s="51" t="n">
        <f aca="false">IF(OR(A18="",S18=""),0,IFERROR(AJ18*AK18*VLOOKUP(T18,'TABELA DE PESOS'!$A$2:$B$9,2,FALSE()),0))</f>
        <v>0</v>
      </c>
      <c r="AM18" s="52" t="n">
        <f aca="false">IF(OR(A18="",V18="",NOT(ISNUMBER(C18))),0,V18*(INT(C18/X18)+1))</f>
        <v>0</v>
      </c>
      <c r="AN18" s="53" t="n">
        <f aca="false">IF(OR(A18="",V18=""),0,PI()*(D18-2*F18)/100+2*10*W18/1000)</f>
        <v>0</v>
      </c>
      <c r="AO18" s="51" t="n">
        <f aca="false">IF(OR(A18="",V18=""),0,IFERROR(AM18*AN18*VLOOKUP(W18,'TABELA DE PESOS'!$A$2:$B$9,2,FALSE()),0))</f>
        <v>0</v>
      </c>
      <c r="AP18" s="54" t="n">
        <f aca="false">IF(A18="",0,AB18+AD18+AF18+AI18+AL18+AO18)</f>
        <v>59.4680396712063</v>
      </c>
      <c r="AQ18" s="55" t="n">
        <f aca="false">IF(OR(A18="",NOT(ISNUMBER(C18))),0,PI()*(D18/200)^2*C18)</f>
        <v>0.277795330393677</v>
      </c>
      <c r="AR18" s="56" t="n">
        <f aca="false">IF(OR(A18="",NOT(ISNUMBER(C18))),0,PI()*(D18/100)*C18)</f>
        <v>3.70393773858237</v>
      </c>
      <c r="AS18" s="57" t="s">
        <v>162</v>
      </c>
    </row>
    <row r="19" customFormat="false" ht="15" hidden="false" customHeight="true" outlineLevel="0" collapsed="false">
      <c r="A19" s="58" t="s">
        <v>163</v>
      </c>
      <c r="B19" s="58" t="s">
        <v>73</v>
      </c>
      <c r="C19" s="59" t="str">
        <f aca="false">IF(B19&lt;&gt;"",IFERROR(VLOOKUP(B19,PISOS!A:D,4,0),"PENDENTE"),"")</f>
        <v>PENDENTE</v>
      </c>
      <c r="D19" s="58" t="n">
        <v>30</v>
      </c>
      <c r="E19" s="58" t="n">
        <v>30</v>
      </c>
      <c r="F19" s="58" t="n">
        <v>3</v>
      </c>
      <c r="G19" s="60" t="n">
        <v>50</v>
      </c>
      <c r="H19" s="61" t="n">
        <f aca="false">IF(OR(A19="",K19=""),0,G19*K19/1000)</f>
        <v>0.8</v>
      </c>
      <c r="I19" s="61" t="n">
        <f aca="false">IF(OR(A19="",K19="",NOT(ISNUMBER(C19))),0,IF((C19+H19)&gt;12,G19*K19/1000,0))</f>
        <v>0</v>
      </c>
      <c r="J19" s="58" t="n">
        <v>7</v>
      </c>
      <c r="K19" s="58" t="n">
        <v>16</v>
      </c>
      <c r="L19" s="58"/>
      <c r="M19" s="58"/>
      <c r="N19" s="58"/>
      <c r="O19" s="58"/>
      <c r="P19" s="58" t="n">
        <v>1</v>
      </c>
      <c r="Q19" s="58" t="n">
        <v>8</v>
      </c>
      <c r="R19" s="59" t="n">
        <v>0.2</v>
      </c>
      <c r="S19" s="62"/>
      <c r="T19" s="62"/>
      <c r="U19" s="63"/>
      <c r="V19" s="64"/>
      <c r="W19" s="64"/>
      <c r="X19" s="65"/>
      <c r="Y19" s="66" t="n">
        <f aca="false">IF(OR(A19="",M19="",NOT(ISNUMBER(C19))),0,IF((C19+H19)&gt;12,G19*M19/1000,0))</f>
        <v>0</v>
      </c>
      <c r="Z19" s="66" t="n">
        <f aca="false">IF(OR(A19="",O19="",NOT(ISNUMBER(C19))),0,IF((C19+H19)&gt;12,G19*O19/1000,0))</f>
        <v>0</v>
      </c>
      <c r="AA19" s="67" t="str">
        <f aca="false">IF(OR(A19="",NOT(ISNUMBER(C19))),"",C19+H19+I19)</f>
        <v/>
      </c>
      <c r="AB19" s="67" t="n">
        <f aca="false">IF(OR(A19="",AA19=""),0,IFERROR(J19*AA19*VLOOKUP(K19,'TABELA DE PESOS'!$A$2:$B$9,2,FALSE()),0))</f>
        <v>0</v>
      </c>
      <c r="AC19" s="67" t="str">
        <f aca="false">IF(OR(A19="",NOT(ISNUMBER(C19))),"",C19+H19+Y19)</f>
        <v/>
      </c>
      <c r="AD19" s="67" t="n">
        <f aca="false">IF(OR(A19="",AC19=""),0,IFERROR(L19*AC19*VLOOKUP(M19,'TABELA DE PESOS'!$A$2:$B$9,2,FALSE()),0))</f>
        <v>0</v>
      </c>
      <c r="AE19" s="67" t="str">
        <f aca="false">IF(OR(A19="",NOT(ISNUMBER(C19))),"",C19+H19+Z19)</f>
        <v/>
      </c>
      <c r="AF19" s="67" t="n">
        <f aca="false">IF(OR(A19="",AE19=""),0,IFERROR(N19*AE19*VLOOKUP(O19,'TABELA DE PESOS'!$A$2:$B$9,2,FALSE()),0))</f>
        <v>0</v>
      </c>
      <c r="AG19" s="68" t="n">
        <f aca="false">IF(OR(A19="",P19="",NOT(ISNUMBER(C19))),0,P19*(INT(C19/R19)+1))</f>
        <v>0</v>
      </c>
      <c r="AH19" s="69" t="n">
        <f aca="false">IF(OR(A19="",P19=""),0,PI()*(D19-2*F19)/100+2*10*Q19/1000)</f>
        <v>0.91398223686155</v>
      </c>
      <c r="AI19" s="67" t="n">
        <f aca="false">IF(OR(A19="",P19=""),0,IFERROR(AG19*AH19*VLOOKUP(Q19,'TABELA DE PESOS'!$A$2:$B$9,2,FALSE()),0))</f>
        <v>0</v>
      </c>
      <c r="AJ19" s="68" t="n">
        <f aca="false">IF(OR(A19="",S19="",NOT(ISNUMBER(C19))),0,S19*(INT(C19/U19)+1))</f>
        <v>0</v>
      </c>
      <c r="AK19" s="69" t="n">
        <f aca="false">IF(OR(A19="",S19=""),0,PI()*(D19-2*F19)/100+2*10*T19/1000)</f>
        <v>0</v>
      </c>
      <c r="AL19" s="67" t="n">
        <f aca="false">IF(OR(A19="",S19=""),0,IFERROR(AJ19*AK19*VLOOKUP(T19,'TABELA DE PESOS'!$A$2:$B$9,2,FALSE()),0))</f>
        <v>0</v>
      </c>
      <c r="AM19" s="68" t="n">
        <f aca="false">IF(OR(A19="",V19="",NOT(ISNUMBER(C19))),0,V19*(INT(C19/X19)+1))</f>
        <v>0</v>
      </c>
      <c r="AN19" s="69" t="n">
        <f aca="false">IF(OR(A19="",V19=""),0,PI()*(D19-2*F19)/100+2*10*W19/1000)</f>
        <v>0</v>
      </c>
      <c r="AO19" s="67" t="n">
        <f aca="false">IF(OR(A19="",V19=""),0,IFERROR(AM19*AN19*VLOOKUP(W19,'TABELA DE PESOS'!$A$2:$B$9,2,FALSE()),0))</f>
        <v>0</v>
      </c>
      <c r="AP19" s="70" t="n">
        <f aca="false">IF(A19="",0,AB19+AD19+AF19+AI19+AL19+AO19)</f>
        <v>0</v>
      </c>
      <c r="AQ19" s="71" t="n">
        <f aca="false">IF(OR(A19="",NOT(ISNUMBER(C19))),0,PI()*(D19/200)^2*C19)</f>
        <v>0</v>
      </c>
      <c r="AR19" s="72" t="n">
        <f aca="false">IF(OR(A19="",NOT(ISNUMBER(C19))),0,PI()*(D19/100)*C19)</f>
        <v>0</v>
      </c>
      <c r="AS19" s="57" t="s">
        <v>164</v>
      </c>
    </row>
    <row r="20" customFormat="false" ht="15" hidden="false" customHeight="true" outlineLevel="0" collapsed="false">
      <c r="A20" s="42" t="s">
        <v>165</v>
      </c>
      <c r="B20" s="42" t="s">
        <v>140</v>
      </c>
      <c r="C20" s="43" t="str">
        <f aca="false">IF(B20&lt;&gt;"",IFERROR(VLOOKUP(B20,PISOS!A:D,4,0),"PENDENTE"),"")</f>
        <v>PENDENTE</v>
      </c>
      <c r="D20" s="42" t="n">
        <v>30</v>
      </c>
      <c r="E20" s="42" t="n">
        <v>60</v>
      </c>
      <c r="F20" s="42" t="n">
        <v>3</v>
      </c>
      <c r="G20" s="44" t="n">
        <v>50</v>
      </c>
      <c r="H20" s="45" t="n">
        <f aca="false">IF(OR(A20="",K20=""),0,G20*K20/1000)</f>
        <v>0.8</v>
      </c>
      <c r="I20" s="45" t="n">
        <f aca="false">IF(OR(A20="",K20="",NOT(ISNUMBER(C20))),0,IF((C20+H20)&gt;12,G20*K20/1000,0))</f>
        <v>0</v>
      </c>
      <c r="J20" s="42" t="n">
        <v>6</v>
      </c>
      <c r="K20" s="42" t="n">
        <v>16</v>
      </c>
      <c r="L20" s="42" t="n">
        <v>10</v>
      </c>
      <c r="M20" s="42" t="n">
        <v>12</v>
      </c>
      <c r="N20" s="42"/>
      <c r="O20" s="42"/>
      <c r="P20" s="42" t="n">
        <v>1</v>
      </c>
      <c r="Q20" s="42" t="n">
        <v>8</v>
      </c>
      <c r="R20" s="43" t="n">
        <v>0.2</v>
      </c>
      <c r="S20" s="46" t="n">
        <v>1</v>
      </c>
      <c r="T20" s="46" t="n">
        <v>8</v>
      </c>
      <c r="U20" s="47" t="n">
        <v>0.2</v>
      </c>
      <c r="V20" s="48"/>
      <c r="W20" s="48"/>
      <c r="X20" s="49"/>
      <c r="Y20" s="50" t="n">
        <f aca="false">IF(OR(A20="",M20="",NOT(ISNUMBER(C20))),0,IF((C20+H20)&gt;12,G20*M20/1000,0))</f>
        <v>0</v>
      </c>
      <c r="Z20" s="50" t="n">
        <f aca="false">IF(OR(A20="",O20="",NOT(ISNUMBER(C20))),0,IF((C20+H20)&gt;12,G20*O20/1000,0))</f>
        <v>0</v>
      </c>
      <c r="AA20" s="51" t="str">
        <f aca="false">IF(OR(A20="",NOT(ISNUMBER(C20))),"",C20+H20+I20)</f>
        <v/>
      </c>
      <c r="AB20" s="51" t="n">
        <f aca="false">IF(OR(A20="",AA20=""),0,IFERROR(J20*AA20*VLOOKUP(K20,'TABELA DE PESOS'!$A$2:$B$9,2,FALSE()),0))</f>
        <v>0</v>
      </c>
      <c r="AC20" s="51" t="str">
        <f aca="false">IF(OR(A20="",NOT(ISNUMBER(C20))),"",C20+H20+Y20)</f>
        <v/>
      </c>
      <c r="AD20" s="51" t="n">
        <f aca="false">IF(OR(A20="",AC20=""),0,IFERROR(L20*AC20*VLOOKUP(M20,'TABELA DE PESOS'!$A$2:$B$9,2,FALSE()),0))</f>
        <v>0</v>
      </c>
      <c r="AE20" s="51" t="str">
        <f aca="false">IF(OR(A20="",NOT(ISNUMBER(C20))),"",C20+H20+Z20)</f>
        <v/>
      </c>
      <c r="AF20" s="51" t="n">
        <f aca="false">IF(OR(A20="",AE20=""),0,IFERROR(N20*AE20*VLOOKUP(O20,'TABELA DE PESOS'!$A$2:$B$9,2,FALSE()),0))</f>
        <v>0</v>
      </c>
      <c r="AG20" s="52" t="n">
        <f aca="false">IF(OR(A20="",P20="",NOT(ISNUMBER(C20))),0,P20*(INT(C20/R20)+1))</f>
        <v>0</v>
      </c>
      <c r="AH20" s="53" t="n">
        <f aca="false">IF(OR(A20="",P20=""),0,2*((D20-2*F20)+(E20-2*F20))/100+2*10*Q20/1000)</f>
        <v>1.72</v>
      </c>
      <c r="AI20" s="51" t="n">
        <f aca="false">IF(OR(A20="",P20=""),0,IFERROR(AG20*AH20*VLOOKUP(Q20,'TABELA DE PESOS'!$A$2:$B$9,2,FALSE()),0))</f>
        <v>0</v>
      </c>
      <c r="AJ20" s="52" t="n">
        <f aca="false">IF(OR(A20="",S20="",NOT(ISNUMBER(C20))),0,S20*(INT(C20/U20)+1))</f>
        <v>0</v>
      </c>
      <c r="AK20" s="53" t="n">
        <f aca="false">IF(OR(A20="",S20=""),0,2*((D20-2*F20)+(E20-2*F20))/100+2*10*T20/1000)</f>
        <v>1.72</v>
      </c>
      <c r="AL20" s="51" t="n">
        <f aca="false">IF(OR(A20="",S20=""),0,IFERROR(AJ20*AK20*VLOOKUP(T20,'TABELA DE PESOS'!$A$2:$B$9,2,FALSE()),0))</f>
        <v>0</v>
      </c>
      <c r="AM20" s="52" t="n">
        <f aca="false">IF(OR(A20="",V20="",NOT(ISNUMBER(C20))),0,V20*(INT(C20/X20)+1))</f>
        <v>0</v>
      </c>
      <c r="AN20" s="53" t="n">
        <f aca="false">IF(OR(A20="",V20=""),0,2*((D20-2*F20)+(E20-2*F20))/100+2*10*W20/1000)</f>
        <v>0</v>
      </c>
      <c r="AO20" s="51" t="n">
        <f aca="false">IF(OR(A20="",V20=""),0,IFERROR(AM20*AN20*VLOOKUP(W20,'TABELA DE PESOS'!$A$2:$B$9,2,FALSE()),0))</f>
        <v>0</v>
      </c>
      <c r="AP20" s="54" t="n">
        <f aca="false">IF(A20="",0,AB20+AD20+AF20+AI20+AL20+AO20)</f>
        <v>0</v>
      </c>
      <c r="AQ20" s="55" t="n">
        <f aca="false">IF(OR(A20="",NOT(ISNUMBER(C20))),0,(D20/100)*(E20/100)*C20)</f>
        <v>0</v>
      </c>
      <c r="AR20" s="56" t="n">
        <f aca="false">IF(OR(A20="",NOT(ISNUMBER(C20))),0,2*(D20/100+E20/100)*C20)</f>
        <v>0</v>
      </c>
      <c r="AS20" s="57" t="s">
        <v>141</v>
      </c>
    </row>
    <row r="21" customFormat="false" ht="15" hidden="false" customHeight="true" outlineLevel="0" collapsed="false">
      <c r="A21" s="58" t="s">
        <v>166</v>
      </c>
      <c r="B21" s="58" t="s">
        <v>72</v>
      </c>
      <c r="C21" s="59" t="n">
        <v>3.9</v>
      </c>
      <c r="D21" s="58" t="n">
        <v>30</v>
      </c>
      <c r="E21" s="58" t="n">
        <v>60</v>
      </c>
      <c r="F21" s="58" t="n">
        <v>3</v>
      </c>
      <c r="G21" s="60" t="n">
        <v>50</v>
      </c>
      <c r="H21" s="61" t="n">
        <f aca="false">IF(OR(A21="",K21=""),0,G21*K21/1000)</f>
        <v>0.8</v>
      </c>
      <c r="I21" s="61" t="n">
        <f aca="false">IF(OR(A21="",K21="",NOT(ISNUMBER(C21))),0,IF((C21+H21)&gt;12,G21*K21/1000,0))</f>
        <v>0</v>
      </c>
      <c r="J21" s="58" t="n">
        <v>6</v>
      </c>
      <c r="K21" s="58" t="n">
        <v>16</v>
      </c>
      <c r="L21" s="58" t="n">
        <v>10</v>
      </c>
      <c r="M21" s="58" t="n">
        <v>12</v>
      </c>
      <c r="N21" s="58"/>
      <c r="O21" s="58"/>
      <c r="P21" s="58" t="n">
        <v>1</v>
      </c>
      <c r="Q21" s="58" t="n">
        <v>8</v>
      </c>
      <c r="R21" s="59" t="n">
        <v>0.2</v>
      </c>
      <c r="S21" s="62" t="n">
        <v>1</v>
      </c>
      <c r="T21" s="62" t="n">
        <v>8</v>
      </c>
      <c r="U21" s="63" t="n">
        <v>0.2</v>
      </c>
      <c r="V21" s="64"/>
      <c r="W21" s="64"/>
      <c r="X21" s="65"/>
      <c r="Y21" s="66" t="n">
        <f aca="false">IF(OR(A21="",M21="",NOT(ISNUMBER(C21))),0,IF((C21+H21)&gt;12,G21*M21/1000,0))</f>
        <v>0</v>
      </c>
      <c r="Z21" s="66" t="n">
        <f aca="false">IF(OR(A21="",O21="",NOT(ISNUMBER(C21))),0,IF((C21+H21)&gt;12,G21*O21/1000,0))</f>
        <v>0</v>
      </c>
      <c r="AA21" s="67" t="n">
        <f aca="false">IF(OR(A21="",NOT(ISNUMBER(C21))),"",C21+H21+I21)</f>
        <v>4.7</v>
      </c>
      <c r="AB21" s="67" t="n">
        <f aca="false">IF(OR(A21="",AA21=""),0,IFERROR(J21*AA21*VLOOKUP(K21,'TABELA DE PESOS'!$A$2:$B$9,2,FALSE()),0))</f>
        <v>44.4996</v>
      </c>
      <c r="AC21" s="67" t="n">
        <f aca="false">IF(OR(A21="",NOT(ISNUMBER(C21))),"",C21+H21+Y21)</f>
        <v>4.7</v>
      </c>
      <c r="AD21" s="67" t="n">
        <f aca="false">IF(OR(A21="",AC21=""),0,IFERROR(L21*AC21*VLOOKUP(M21,'TABELA DE PESOS'!$A$2:$B$9,2,FALSE()),0))</f>
        <v>41.736</v>
      </c>
      <c r="AE21" s="67" t="n">
        <f aca="false">IF(OR(A21="",NOT(ISNUMBER(C21))),"",C21+H21+Z21)</f>
        <v>4.7</v>
      </c>
      <c r="AF21" s="67" t="n">
        <f aca="false">IF(OR(A21="",AE21=""),0,IFERROR(N21*AE21*VLOOKUP(O21,'TABELA DE PESOS'!$A$2:$B$9,2,FALSE()),0))</f>
        <v>0</v>
      </c>
      <c r="AG21" s="68" t="n">
        <f aca="false">IF(OR(A21="",P21="",NOT(ISNUMBER(C21))),0,P21*(INT(C21/R21)+1))</f>
        <v>20</v>
      </c>
      <c r="AH21" s="69" t="n">
        <f aca="false">IF(OR(A21="",P21=""),0,2*((D21-2*F21)+(E21-2*F21))/100+2*10*Q21/1000)</f>
        <v>1.72</v>
      </c>
      <c r="AI21" s="67" t="n">
        <f aca="false">IF(OR(A21="",P21=""),0,IFERROR(AG21*AH21*VLOOKUP(Q21,'TABELA DE PESOS'!$A$2:$B$9,2,FALSE()),0))</f>
        <v>13.588</v>
      </c>
      <c r="AJ21" s="68" t="n">
        <f aca="false">IF(OR(A21="",S21="",NOT(ISNUMBER(C21))),0,S21*(INT(C21/U21)+1))</f>
        <v>20</v>
      </c>
      <c r="AK21" s="69" t="n">
        <f aca="false">IF(OR(A21="",S21=""),0,2*((D21-2*F21)+(E21-2*F21))/100+2*10*T21/1000)</f>
        <v>1.72</v>
      </c>
      <c r="AL21" s="67" t="n">
        <f aca="false">IF(OR(A21="",S21=""),0,IFERROR(AJ21*AK21*VLOOKUP(T21,'TABELA DE PESOS'!$A$2:$B$9,2,FALSE()),0))</f>
        <v>13.588</v>
      </c>
      <c r="AM21" s="68" t="n">
        <f aca="false">IF(OR(A21="",V21="",NOT(ISNUMBER(C21))),0,V21*(INT(C21/X21)+1))</f>
        <v>0</v>
      </c>
      <c r="AN21" s="69" t="n">
        <f aca="false">IF(OR(A21="",V21=""),0,2*((D21-2*F21)+(E21-2*F21))/100+2*10*W21/1000)</f>
        <v>0</v>
      </c>
      <c r="AO21" s="67" t="n">
        <f aca="false">IF(OR(A21="",V21=""),0,IFERROR(AM21*AN21*VLOOKUP(W21,'TABELA DE PESOS'!$A$2:$B$9,2,FALSE()),0))</f>
        <v>0</v>
      </c>
      <c r="AP21" s="70" t="n">
        <f aca="false">IF(A21="",0,AB21+AD21+AF21+AI21+AL21+AO21)</f>
        <v>113.4116</v>
      </c>
      <c r="AQ21" s="71" t="n">
        <f aca="false">IF(OR(A21="",NOT(ISNUMBER(C21))),0,(D21/100)*(E21/100)*C21)</f>
        <v>0.702</v>
      </c>
      <c r="AR21" s="72" t="n">
        <f aca="false">IF(OR(A21="",NOT(ISNUMBER(C21))),0,2*(D21/100+E21/100)*C21)</f>
        <v>7.02</v>
      </c>
      <c r="AS21" s="74" t="s">
        <v>167</v>
      </c>
    </row>
    <row r="22" customFormat="false" ht="15" hidden="false" customHeight="true" outlineLevel="0" collapsed="false">
      <c r="A22" s="42" t="s">
        <v>168</v>
      </c>
      <c r="B22" s="42" t="s">
        <v>73</v>
      </c>
      <c r="C22" s="43" t="str">
        <f aca="false">IF(B22&lt;&gt;"",IFERROR(VLOOKUP(B22,PISOS!A:D,4,0),"PENDENTE"),"")</f>
        <v>PENDENTE</v>
      </c>
      <c r="D22" s="42" t="n">
        <v>130</v>
      </c>
      <c r="E22" s="42" t="n">
        <v>20</v>
      </c>
      <c r="F22" s="42" t="n">
        <v>3</v>
      </c>
      <c r="G22" s="44" t="n">
        <v>50</v>
      </c>
      <c r="H22" s="45" t="n">
        <f aca="false">IF(OR(A22="",K22=""),0,G22*K22/1000)</f>
        <v>0.8</v>
      </c>
      <c r="I22" s="45" t="n">
        <f aca="false">IF(OR(A22="",K22="",NOT(ISNUMBER(C22))),0,IF((C22+H22)&gt;12,G22*K22/1000,0))</f>
        <v>0</v>
      </c>
      <c r="J22" s="42" t="n">
        <v>16</v>
      </c>
      <c r="K22" s="42" t="n">
        <v>16</v>
      </c>
      <c r="L22" s="42" t="n">
        <v>14</v>
      </c>
      <c r="M22" s="42" t="n">
        <v>10</v>
      </c>
      <c r="N22" s="42"/>
      <c r="O22" s="42"/>
      <c r="P22" s="42" t="n">
        <v>1</v>
      </c>
      <c r="Q22" s="42" t="n">
        <v>8</v>
      </c>
      <c r="R22" s="43" t="n">
        <v>0.2</v>
      </c>
      <c r="S22" s="46"/>
      <c r="T22" s="46"/>
      <c r="U22" s="47"/>
      <c r="V22" s="48"/>
      <c r="W22" s="48"/>
      <c r="X22" s="49"/>
      <c r="Y22" s="50" t="n">
        <f aca="false">IF(OR(A22="",M22="",NOT(ISNUMBER(C22))),0,IF((C22+H22)&gt;12,G22*M22/1000,0))</f>
        <v>0</v>
      </c>
      <c r="Z22" s="50" t="n">
        <f aca="false">IF(OR(A22="",O22="",NOT(ISNUMBER(C22))),0,IF((C22+H22)&gt;12,G22*O22/1000,0))</f>
        <v>0</v>
      </c>
      <c r="AA22" s="51" t="str">
        <f aca="false">IF(OR(A22="",NOT(ISNUMBER(C22))),"",C22+H22+I22)</f>
        <v/>
      </c>
      <c r="AB22" s="51" t="n">
        <f aca="false">IF(OR(A22="",AA22=""),0,IFERROR(J22*AA22*VLOOKUP(K22,'TABELA DE PESOS'!$A$2:$B$9,2,FALSE()),0))</f>
        <v>0</v>
      </c>
      <c r="AC22" s="51" t="str">
        <f aca="false">IF(OR(A22="",NOT(ISNUMBER(C22))),"",C22+H22+Y22)</f>
        <v/>
      </c>
      <c r="AD22" s="51" t="n">
        <f aca="false">IF(OR(A22="",AC22=""),0,IFERROR(L22*AC22*VLOOKUP(M22,'TABELA DE PESOS'!$A$2:$B$9,2,FALSE()),0))</f>
        <v>0</v>
      </c>
      <c r="AE22" s="51" t="str">
        <f aca="false">IF(OR(A22="",NOT(ISNUMBER(C22))),"",C22+H22+Z22)</f>
        <v/>
      </c>
      <c r="AF22" s="51" t="n">
        <f aca="false">IF(OR(A22="",AE22=""),0,IFERROR(N22*AE22*VLOOKUP(O22,'TABELA DE PESOS'!$A$2:$B$9,2,FALSE()),0))</f>
        <v>0</v>
      </c>
      <c r="AG22" s="52" t="n">
        <f aca="false">IF(OR(A22="",P22="",NOT(ISNUMBER(C22))),0,P22*(INT(C22/R22)+1))</f>
        <v>0</v>
      </c>
      <c r="AH22" s="53" t="n">
        <f aca="false">IF(OR(A22="",P22=""),0,2*((D22-2*F22)+(E22-2*F22))/100+2*10*Q22/1000)</f>
        <v>2.92</v>
      </c>
      <c r="AI22" s="51" t="n">
        <f aca="false">IF(OR(A22="",P22=""),0,IFERROR(AG22*AH22*VLOOKUP(Q22,'TABELA DE PESOS'!$A$2:$B$9,2,FALSE()),0))</f>
        <v>0</v>
      </c>
      <c r="AJ22" s="52" t="n">
        <f aca="false">IF(OR(A22="",S22="",NOT(ISNUMBER(C22))),0,S22*(INT(C22/U22)+1))</f>
        <v>0</v>
      </c>
      <c r="AK22" s="53" t="n">
        <f aca="false">IF(OR(A22="",S22=""),0,2*((D22-2*F22)+(E22-2*F22))/100+2*10*T22/1000)</f>
        <v>0</v>
      </c>
      <c r="AL22" s="51" t="n">
        <f aca="false">IF(OR(A22="",S22=""),0,IFERROR(AJ22*AK22*VLOOKUP(T22,'TABELA DE PESOS'!$A$2:$B$9,2,FALSE()),0))</f>
        <v>0</v>
      </c>
      <c r="AM22" s="52" t="n">
        <f aca="false">IF(OR(A22="",V22="",NOT(ISNUMBER(C22))),0,V22*(INT(C22/X22)+1))</f>
        <v>0</v>
      </c>
      <c r="AN22" s="53" t="n">
        <f aca="false">IF(OR(A22="",V22=""),0,2*((D22-2*F22)+(E22-2*F22))/100+2*10*W22/1000)</f>
        <v>0</v>
      </c>
      <c r="AO22" s="51" t="n">
        <f aca="false">IF(OR(A22="",V22=""),0,IFERROR(AM22*AN22*VLOOKUP(W22,'TABELA DE PESOS'!$A$2:$B$9,2,FALSE()),0))</f>
        <v>0</v>
      </c>
      <c r="AP22" s="54" t="n">
        <f aca="false">IF(A22="",0,AB22+AD22+AF22+AI22+AL22+AO22)</f>
        <v>0</v>
      </c>
      <c r="AQ22" s="55" t="n">
        <f aca="false">IF(OR(A22="",NOT(ISNUMBER(C22))),0,(D22/100)*(E22/100)*C22)</f>
        <v>0</v>
      </c>
      <c r="AR22" s="56" t="n">
        <f aca="false">IF(OR(A22="",NOT(ISNUMBER(C22))),0,2*(D22/100+E22/100)*C22)</f>
        <v>0</v>
      </c>
      <c r="AS22" s="57" t="s">
        <v>169</v>
      </c>
    </row>
    <row r="23" customFormat="false" ht="15" hidden="false" customHeight="true" outlineLevel="0" collapsed="false">
      <c r="A23" s="58" t="s">
        <v>170</v>
      </c>
      <c r="B23" s="58" t="s">
        <v>73</v>
      </c>
      <c r="C23" s="59" t="str">
        <f aca="false">IF(B23&lt;&gt;"",IFERROR(VLOOKUP(B23,PISOS!A:D,4,0),"PENDENTE"),"")</f>
        <v>PENDENTE</v>
      </c>
      <c r="D23" s="58" t="n">
        <v>20</v>
      </c>
      <c r="E23" s="58" t="n">
        <v>100</v>
      </c>
      <c r="F23" s="58" t="n">
        <v>3</v>
      </c>
      <c r="G23" s="60" t="n">
        <v>50</v>
      </c>
      <c r="H23" s="61" t="n">
        <f aca="false">IF(OR(A23="",K23=""),0,G23*K23/1000)</f>
        <v>0.8</v>
      </c>
      <c r="I23" s="61" t="n">
        <f aca="false">IF(OR(A23="",K23="",NOT(ISNUMBER(C23))),0,IF((C23+H23)&gt;12,G23*K23/1000,0))</f>
        <v>0</v>
      </c>
      <c r="J23" s="58" t="n">
        <v>24</v>
      </c>
      <c r="K23" s="58" t="n">
        <v>16</v>
      </c>
      <c r="L23" s="58"/>
      <c r="M23" s="58"/>
      <c r="N23" s="58"/>
      <c r="O23" s="58"/>
      <c r="P23" s="58" t="n">
        <v>1</v>
      </c>
      <c r="Q23" s="58" t="n">
        <v>8</v>
      </c>
      <c r="R23" s="59" t="n">
        <v>0.2</v>
      </c>
      <c r="S23" s="62"/>
      <c r="T23" s="62"/>
      <c r="U23" s="63"/>
      <c r="V23" s="64"/>
      <c r="W23" s="64"/>
      <c r="X23" s="65"/>
      <c r="Y23" s="66" t="n">
        <f aca="false">IF(OR(A23="",M23="",NOT(ISNUMBER(C23))),0,IF((C23+H23)&gt;12,G23*M23/1000,0))</f>
        <v>0</v>
      </c>
      <c r="Z23" s="66" t="n">
        <f aca="false">IF(OR(A23="",O23="",NOT(ISNUMBER(C23))),0,IF((C23+H23)&gt;12,G23*O23/1000,0))</f>
        <v>0</v>
      </c>
      <c r="AA23" s="67" t="str">
        <f aca="false">IF(OR(A23="",NOT(ISNUMBER(C23))),"",C23+H23+I23)</f>
        <v/>
      </c>
      <c r="AB23" s="67" t="n">
        <f aca="false">IF(OR(A23="",AA23=""),0,IFERROR(J23*AA23*VLOOKUP(K23,'TABELA DE PESOS'!$A$2:$B$9,2,FALSE()),0))</f>
        <v>0</v>
      </c>
      <c r="AC23" s="67" t="str">
        <f aca="false">IF(OR(A23="",NOT(ISNUMBER(C23))),"",C23+H23+Y23)</f>
        <v/>
      </c>
      <c r="AD23" s="67" t="n">
        <f aca="false">IF(OR(A23="",AC23=""),0,IFERROR(L23*AC23*VLOOKUP(M23,'TABELA DE PESOS'!$A$2:$B$9,2,FALSE()),0))</f>
        <v>0</v>
      </c>
      <c r="AE23" s="67" t="str">
        <f aca="false">IF(OR(A23="",NOT(ISNUMBER(C23))),"",C23+H23+Z23)</f>
        <v/>
      </c>
      <c r="AF23" s="67" t="n">
        <f aca="false">IF(OR(A23="",AE23=""),0,IFERROR(N23*AE23*VLOOKUP(O23,'TABELA DE PESOS'!$A$2:$B$9,2,FALSE()),0))</f>
        <v>0</v>
      </c>
      <c r="AG23" s="68" t="n">
        <f aca="false">IF(OR(A23="",P23="",NOT(ISNUMBER(C23))),0,P23*(INT(C23/R23)+1))</f>
        <v>0</v>
      </c>
      <c r="AH23" s="69" t="n">
        <f aca="false">IF(OR(A23="",P23=""),0,2*((D23-2*F23)+(E23-2*F23))/100+2*10*Q23/1000)</f>
        <v>2.32</v>
      </c>
      <c r="AI23" s="67" t="n">
        <f aca="false">IF(OR(A23="",P23=""),0,IFERROR(AG23*AH23*VLOOKUP(Q23,'TABELA DE PESOS'!$A$2:$B$9,2,FALSE()),0))</f>
        <v>0</v>
      </c>
      <c r="AJ23" s="68" t="n">
        <f aca="false">IF(OR(A23="",S23="",NOT(ISNUMBER(C23))),0,S23*(INT(C23/U23)+1))</f>
        <v>0</v>
      </c>
      <c r="AK23" s="69" t="n">
        <f aca="false">IF(OR(A23="",S23=""),0,2*((D23-2*F23)+(E23-2*F23))/100+2*10*T23/1000)</f>
        <v>0</v>
      </c>
      <c r="AL23" s="67" t="n">
        <f aca="false">IF(OR(A23="",S23=""),0,IFERROR(AJ23*AK23*VLOOKUP(T23,'TABELA DE PESOS'!$A$2:$B$9,2,FALSE()),0))</f>
        <v>0</v>
      </c>
      <c r="AM23" s="68" t="n">
        <f aca="false">IF(OR(A23="",V23="",NOT(ISNUMBER(C23))),0,V23*(INT(C23/X23)+1))</f>
        <v>0</v>
      </c>
      <c r="AN23" s="69" t="n">
        <f aca="false">IF(OR(A23="",V23=""),0,2*((D23-2*F23)+(E23-2*F23))/100+2*10*W23/1000)</f>
        <v>0</v>
      </c>
      <c r="AO23" s="67" t="n">
        <f aca="false">IF(OR(A23="",V23=""),0,IFERROR(AM23*AN23*VLOOKUP(W23,'TABELA DE PESOS'!$A$2:$B$9,2,FALSE()),0))</f>
        <v>0</v>
      </c>
      <c r="AP23" s="70" t="n">
        <f aca="false">IF(A23="",0,AB23+AD23+AF23+AI23+AL23+AO23)</f>
        <v>0</v>
      </c>
      <c r="AQ23" s="71" t="n">
        <f aca="false">IF(OR(A23="",NOT(ISNUMBER(C23))),0,(D23/100)*(E23/100)*C23)</f>
        <v>0</v>
      </c>
      <c r="AR23" s="72" t="n">
        <f aca="false">IF(OR(A23="",NOT(ISNUMBER(C23))),0,2*(D23/100+E23/100)*C23)</f>
        <v>0</v>
      </c>
      <c r="AS23" s="57" t="s">
        <v>171</v>
      </c>
    </row>
    <row r="24" customFormat="false" ht="15" hidden="false" customHeight="true" outlineLevel="0" collapsed="false">
      <c r="A24" s="42" t="s">
        <v>172</v>
      </c>
      <c r="B24" s="42" t="s">
        <v>73</v>
      </c>
      <c r="C24" s="43" t="str">
        <f aca="false">IF(B24&lt;&gt;"",IFERROR(VLOOKUP(B24,PISOS!A:D,4,0),"PENDENTE"),"")</f>
        <v>PENDENTE</v>
      </c>
      <c r="D24" s="42" t="n">
        <v>20</v>
      </c>
      <c r="E24" s="42" t="n">
        <v>80</v>
      </c>
      <c r="F24" s="42" t="n">
        <v>3</v>
      </c>
      <c r="G24" s="44" t="n">
        <v>50</v>
      </c>
      <c r="H24" s="45" t="n">
        <f aca="false">IF(OR(A24="",K24=""),0,G24*K24/1000)</f>
        <v>0.8</v>
      </c>
      <c r="I24" s="45" t="n">
        <f aca="false">IF(OR(A24="",K24="",NOT(ISNUMBER(C24))),0,IF((C24+H24)&gt;12,G24*K24/1000,0))</f>
        <v>0</v>
      </c>
      <c r="J24" s="42" t="n">
        <v>8</v>
      </c>
      <c r="K24" s="42" t="n">
        <v>16</v>
      </c>
      <c r="L24" s="42" t="n">
        <v>12</v>
      </c>
      <c r="M24" s="42" t="n">
        <v>12</v>
      </c>
      <c r="N24" s="42"/>
      <c r="O24" s="42"/>
      <c r="P24" s="42" t="n">
        <v>1</v>
      </c>
      <c r="Q24" s="42" t="n">
        <v>8</v>
      </c>
      <c r="R24" s="43" t="n">
        <v>0.2</v>
      </c>
      <c r="S24" s="46"/>
      <c r="T24" s="46"/>
      <c r="U24" s="47"/>
      <c r="V24" s="48"/>
      <c r="W24" s="48"/>
      <c r="X24" s="49"/>
      <c r="Y24" s="50" t="n">
        <f aca="false">IF(OR(A24="",M24="",NOT(ISNUMBER(C24))),0,IF((C24+H24)&gt;12,G24*M24/1000,0))</f>
        <v>0</v>
      </c>
      <c r="Z24" s="50" t="n">
        <f aca="false">IF(OR(A24="",O24="",NOT(ISNUMBER(C24))),0,IF((C24+H24)&gt;12,G24*O24/1000,0))</f>
        <v>0</v>
      </c>
      <c r="AA24" s="51" t="str">
        <f aca="false">IF(OR(A24="",NOT(ISNUMBER(C24))),"",C24+H24+I24)</f>
        <v/>
      </c>
      <c r="AB24" s="51" t="n">
        <f aca="false">IF(OR(A24="",AA24=""),0,IFERROR(J24*AA24*VLOOKUP(K24,'TABELA DE PESOS'!$A$2:$B$9,2,FALSE()),0))</f>
        <v>0</v>
      </c>
      <c r="AC24" s="51" t="str">
        <f aca="false">IF(OR(A24="",NOT(ISNUMBER(C24))),"",C24+H24+Y24)</f>
        <v/>
      </c>
      <c r="AD24" s="51" t="n">
        <f aca="false">IF(OR(A24="",AC24=""),0,IFERROR(L24*AC24*VLOOKUP(M24,'TABELA DE PESOS'!$A$2:$B$9,2,FALSE()),0))</f>
        <v>0</v>
      </c>
      <c r="AE24" s="51" t="str">
        <f aca="false">IF(OR(A24="",NOT(ISNUMBER(C24))),"",C24+H24+Z24)</f>
        <v/>
      </c>
      <c r="AF24" s="51" t="n">
        <f aca="false">IF(OR(A24="",AE24=""),0,IFERROR(N24*AE24*VLOOKUP(O24,'TABELA DE PESOS'!$A$2:$B$9,2,FALSE()),0))</f>
        <v>0</v>
      </c>
      <c r="AG24" s="52" t="n">
        <f aca="false">IF(OR(A24="",P24="",NOT(ISNUMBER(C24))),0,P24*(INT(C24/R24)+1))</f>
        <v>0</v>
      </c>
      <c r="AH24" s="53" t="n">
        <f aca="false">IF(OR(A24="",P24=""),0,2*((D24-2*F24)+(E24-2*F24))/100+2*10*Q24/1000)</f>
        <v>1.92</v>
      </c>
      <c r="AI24" s="51" t="n">
        <f aca="false">IF(OR(A24="",P24=""),0,IFERROR(AG24*AH24*VLOOKUP(Q24,'TABELA DE PESOS'!$A$2:$B$9,2,FALSE()),0))</f>
        <v>0</v>
      </c>
      <c r="AJ24" s="52" t="n">
        <f aca="false">IF(OR(A24="",S24="",NOT(ISNUMBER(C24))),0,S24*(INT(C24/U24)+1))</f>
        <v>0</v>
      </c>
      <c r="AK24" s="53" t="n">
        <f aca="false">IF(OR(A24="",S24=""),0,2*((D24-2*F24)+(E24-2*F24))/100+2*10*T24/1000)</f>
        <v>0</v>
      </c>
      <c r="AL24" s="51" t="n">
        <f aca="false">IF(OR(A24="",S24=""),0,IFERROR(AJ24*AK24*VLOOKUP(T24,'TABELA DE PESOS'!$A$2:$B$9,2,FALSE()),0))</f>
        <v>0</v>
      </c>
      <c r="AM24" s="52" t="n">
        <f aca="false">IF(OR(A24="",V24="",NOT(ISNUMBER(C24))),0,V24*(INT(C24/X24)+1))</f>
        <v>0</v>
      </c>
      <c r="AN24" s="53" t="n">
        <f aca="false">IF(OR(A24="",V24=""),0,2*((D24-2*F24)+(E24-2*F24))/100+2*10*W24/1000)</f>
        <v>0</v>
      </c>
      <c r="AO24" s="51" t="n">
        <f aca="false">IF(OR(A24="",V24=""),0,IFERROR(AM24*AN24*VLOOKUP(W24,'TABELA DE PESOS'!$A$2:$B$9,2,FALSE()),0))</f>
        <v>0</v>
      </c>
      <c r="AP24" s="54" t="n">
        <f aca="false">IF(A24="",0,AB24+AD24+AF24+AI24+AL24+AO24)</f>
        <v>0</v>
      </c>
      <c r="AQ24" s="55" t="n">
        <f aca="false">IF(OR(A24="",NOT(ISNUMBER(C24))),0,(D24/100)*(E24/100)*C24)</f>
        <v>0</v>
      </c>
      <c r="AR24" s="56" t="n">
        <f aca="false">IF(OR(A24="",NOT(ISNUMBER(C24))),0,2*(D24/100+E24/100)*C24)</f>
        <v>0</v>
      </c>
      <c r="AS24" s="57" t="s">
        <v>171</v>
      </c>
    </row>
    <row r="25" customFormat="false" ht="15" hidden="false" customHeight="true" outlineLevel="0" collapsed="false">
      <c r="A25" s="58"/>
      <c r="B25" s="58"/>
      <c r="C25" s="59"/>
      <c r="D25" s="58"/>
      <c r="E25" s="58"/>
      <c r="F25" s="58" t="n">
        <v>2.5</v>
      </c>
      <c r="G25" s="60" t="n">
        <v>50</v>
      </c>
      <c r="H25" s="61" t="n">
        <f aca="false">IF(OR(A25="",K25=""),0,G25*K25/1000)</f>
        <v>0</v>
      </c>
      <c r="I25" s="61" t="n">
        <f aca="false">IF(OR(A25="",K25="",NOT(ISNUMBER(C25))),0,IF((C25+H25)&gt;12,G25*K25/1000,0))</f>
        <v>0</v>
      </c>
      <c r="J25" s="58"/>
      <c r="K25" s="58"/>
      <c r="L25" s="58"/>
      <c r="M25" s="58"/>
      <c r="N25" s="58"/>
      <c r="O25" s="58"/>
      <c r="P25" s="58"/>
      <c r="Q25" s="58"/>
      <c r="R25" s="59"/>
      <c r="S25" s="62"/>
      <c r="T25" s="62"/>
      <c r="U25" s="63"/>
      <c r="V25" s="64"/>
      <c r="W25" s="64"/>
      <c r="X25" s="65"/>
      <c r="Y25" s="66" t="n">
        <f aca="false">IF(OR(A25="",M25="",NOT(ISNUMBER(C25))),0,IF((C25+H25)&gt;12,G25*M25/1000,0))</f>
        <v>0</v>
      </c>
      <c r="Z25" s="66" t="n">
        <f aca="false">IF(OR(A25="",O25="",NOT(ISNUMBER(C25))),0,IF((C25+H25)&gt;12,G25*O25/1000,0))</f>
        <v>0</v>
      </c>
      <c r="AA25" s="67" t="str">
        <f aca="false">IF(OR(A25="",NOT(ISNUMBER(C25))),"",C25+H25+I25)</f>
        <v/>
      </c>
      <c r="AB25" s="67" t="n">
        <f aca="false">IF(OR(A25="",AA25=""),0,IFERROR(J25*AA25*VLOOKUP(K25,'TABELA DE PESOS'!$A$2:$B$9,2,FALSE()),0))</f>
        <v>0</v>
      </c>
      <c r="AC25" s="67" t="str">
        <f aca="false">IF(OR(A25="",NOT(ISNUMBER(C25))),"",C25+H25+Y25)</f>
        <v/>
      </c>
      <c r="AD25" s="67" t="n">
        <f aca="false">IF(OR(A25="",AC25=""),0,IFERROR(L25*AC25*VLOOKUP(M25,'TABELA DE PESOS'!$A$2:$B$9,2,FALSE()),0))</f>
        <v>0</v>
      </c>
      <c r="AE25" s="67" t="str">
        <f aca="false">IF(OR(A25="",NOT(ISNUMBER(C25))),"",C25+H25+Z25)</f>
        <v/>
      </c>
      <c r="AF25" s="67" t="n">
        <f aca="false">IF(OR(A25="",AE25=""),0,IFERROR(N25*AE25*VLOOKUP(O25,'TABELA DE PESOS'!$A$2:$B$9,2,FALSE()),0))</f>
        <v>0</v>
      </c>
      <c r="AG25" s="68" t="n">
        <f aca="false">IF(OR(A25="",P25="",NOT(ISNUMBER(C25))),0,P25*(INT(C25/R25)+1))</f>
        <v>0</v>
      </c>
      <c r="AH25" s="69" t="n">
        <f aca="false">IF(OR(A25="",P25=""),0,2*((D25-2*F25)+(E25-2*F25))/100+2*10*Q25/1000)</f>
        <v>0</v>
      </c>
      <c r="AI25" s="67" t="n">
        <f aca="false">IF(OR(A25="",P25=""),0,IFERROR(AG25*AH25*VLOOKUP(Q25,'TABELA DE PESOS'!$A$2:$B$9,2,FALSE()),0))</f>
        <v>0</v>
      </c>
      <c r="AJ25" s="68" t="n">
        <f aca="false">IF(OR(A25="",S25="",NOT(ISNUMBER(C25))),0,S25*(INT(C25/U25)+1))</f>
        <v>0</v>
      </c>
      <c r="AK25" s="69" t="n">
        <f aca="false">IF(OR(A25="",S25=""),0,2*((D25-2*F25)+(E25-2*F25))/100+2*10*T25/1000)</f>
        <v>0</v>
      </c>
      <c r="AL25" s="67" t="n">
        <f aca="false">IF(OR(A25="",S25=""),0,IFERROR(AJ25*AK25*VLOOKUP(T25,'TABELA DE PESOS'!$A$2:$B$9,2,FALSE()),0))</f>
        <v>0</v>
      </c>
      <c r="AM25" s="68" t="n">
        <f aca="false">IF(OR(A25="",V25="",NOT(ISNUMBER(C25))),0,V25*(INT(C25/X25)+1))</f>
        <v>0</v>
      </c>
      <c r="AN25" s="69" t="n">
        <f aca="false">IF(OR(A25="",V25=""),0,2*((D25-2*F25)+(E25-2*F25))/100+2*10*W25/1000)</f>
        <v>0</v>
      </c>
      <c r="AO25" s="67" t="n">
        <f aca="false">IF(OR(A25="",V25=""),0,IFERROR(AM25*AN25*VLOOKUP(W25,'TABELA DE PESOS'!$A$2:$B$9,2,FALSE()),0))</f>
        <v>0</v>
      </c>
      <c r="AP25" s="70" t="n">
        <f aca="false">IF(A25="",0,AB25+AD25+AF25+AI25+AL25+AO25)</f>
        <v>0</v>
      </c>
      <c r="AQ25" s="71" t="n">
        <f aca="false">IF(OR(A25="",NOT(ISNUMBER(C25))),0,(D25/100)*(E25/100)*C25)</f>
        <v>0</v>
      </c>
      <c r="AR25" s="72" t="n">
        <f aca="false">IF(OR(A25="",NOT(ISNUMBER(C25))),0,2*(D25/100+E25/100)*C25)</f>
        <v>0</v>
      </c>
      <c r="AS25" s="74"/>
    </row>
    <row r="26" customFormat="false" ht="15" hidden="false" customHeight="true" outlineLevel="0" collapsed="false">
      <c r="A26" s="75" t="s">
        <v>138</v>
      </c>
      <c r="B26" s="75"/>
      <c r="C26" s="75"/>
      <c r="D26" s="75"/>
      <c r="E26" s="75"/>
      <c r="F26" s="75"/>
      <c r="G26" s="75"/>
      <c r="H26" s="75"/>
      <c r="I26" s="75"/>
      <c r="J26" s="75"/>
      <c r="K26" s="75"/>
      <c r="L26" s="75"/>
      <c r="M26" s="75"/>
      <c r="N26" s="75"/>
      <c r="O26" s="75"/>
      <c r="P26" s="75"/>
      <c r="Q26" s="75"/>
      <c r="R26" s="75"/>
      <c r="S26" s="75"/>
      <c r="T26" s="75"/>
      <c r="U26" s="75"/>
      <c r="V26" s="75"/>
      <c r="W26" s="75"/>
      <c r="X26" s="75"/>
      <c r="Y26" s="76"/>
      <c r="Z26" s="76"/>
      <c r="AA26" s="76"/>
      <c r="AB26" s="77" t="n">
        <f aca="false">SUM(AB6:AB25)</f>
        <v>537.34746</v>
      </c>
      <c r="AC26" s="76"/>
      <c r="AD26" s="77" t="n">
        <f aca="false">SUM(AD6:AD25)</f>
        <v>165.25944</v>
      </c>
      <c r="AE26" s="76"/>
      <c r="AF26" s="77" t="n">
        <f aca="false">SUM(AF6:AF25)</f>
        <v>0</v>
      </c>
      <c r="AG26" s="76"/>
      <c r="AH26" s="76"/>
      <c r="AI26" s="77" t="n">
        <f aca="false">SUM(AI6:AI25)</f>
        <v>77.6884596712063</v>
      </c>
      <c r="AJ26" s="76"/>
      <c r="AK26" s="76"/>
      <c r="AL26" s="77" t="n">
        <f aca="false">SUM(AL6:AL25)</f>
        <v>43.924</v>
      </c>
      <c r="AM26" s="76"/>
      <c r="AN26" s="76"/>
      <c r="AO26" s="77" t="n">
        <f aca="false">SUM(AO6:AO25)</f>
        <v>0</v>
      </c>
      <c r="AP26" s="77" t="n">
        <f aca="false">SUM(AP6:AP25)</f>
        <v>824.219359671206</v>
      </c>
      <c r="AQ26" s="77" t="n">
        <f aca="false">SUM(AQ6:AQ25)</f>
        <v>3.77009533039368</v>
      </c>
      <c r="AR26" s="77" t="n">
        <f aca="false">SUM(AR6:AR25)</f>
        <v>40.5919377385824</v>
      </c>
      <c r="AS26" s="76"/>
    </row>
  </sheetData>
  <mergeCells count="12">
    <mergeCell ref="A1:AU1"/>
    <mergeCell ref="A2:AU2"/>
    <mergeCell ref="A4:F4"/>
    <mergeCell ref="G4:I4"/>
    <mergeCell ref="J4:O4"/>
    <mergeCell ref="P4:R4"/>
    <mergeCell ref="S4:U4"/>
    <mergeCell ref="V4:X4"/>
    <mergeCell ref="Y4:Z4"/>
    <mergeCell ref="AA4:AF4"/>
    <mergeCell ref="AG4:AO4"/>
    <mergeCell ref="A26:X26"/>
  </mergeCells>
  <conditionalFormatting sqref="C6:C25">
    <cfRule type="cellIs" priority="2" operator="equal" aboveAverage="0" equalAverage="0" bottom="0" percent="0" rank="0" text="" dxfId="0">
      <formula>"PENDENTE"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23"/>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4" topLeftCell="A5" activePane="bottomLeft" state="frozen"/>
      <selection pane="topLeft" activeCell="A1" activeCellId="0" sqref="A1"/>
      <selection pane="bottomLeft" activeCell="J12" activeCellId="0" sqref="J12"/>
    </sheetView>
  </sheetViews>
  <sheetFormatPr defaultColWidth="8.5078125" defaultRowHeight="15" zeroHeight="false" outlineLevelRow="0" outlineLevelCol="0"/>
  <cols>
    <col collapsed="false" customWidth="true" hidden="false" outlineLevel="0" max="1" min="1" style="0" width="7"/>
    <col collapsed="false" customWidth="true" hidden="false" outlineLevel="0" max="3" min="2" style="0" width="9"/>
    <col collapsed="false" customWidth="true" hidden="false" outlineLevel="0" max="5" min="4" style="0" width="7"/>
    <col collapsed="false" customWidth="true" hidden="false" outlineLevel="0" max="10" min="6" style="0" width="8"/>
    <col collapsed="false" customWidth="true" hidden="false" outlineLevel="0" max="11" min="11" style="0" width="10"/>
    <col collapsed="false" customWidth="true" hidden="false" outlineLevel="0" max="12" min="12" style="0" width="8"/>
    <col collapsed="false" customWidth="true" hidden="false" outlineLevel="0" max="13" min="13" style="0" width="9"/>
    <col collapsed="false" customWidth="true" hidden="false" outlineLevel="0" max="14" min="14" style="0" width="8"/>
    <col collapsed="false" customWidth="true" hidden="false" outlineLevel="0" max="15" min="15" style="0" width="9"/>
    <col collapsed="false" customWidth="true" hidden="false" outlineLevel="0" max="17" min="16" style="0" width="10"/>
    <col collapsed="false" customWidth="true" hidden="false" outlineLevel="0" max="18" min="18" style="0" width="8"/>
    <col collapsed="false" customWidth="true" hidden="false" outlineLevel="0" max="19" min="19" style="0" width="9"/>
    <col collapsed="false" customWidth="true" hidden="false" outlineLevel="0" max="20" min="20" style="0" width="8"/>
    <col collapsed="false" customWidth="true" hidden="false" outlineLevel="0" max="21" min="21" style="0" width="9"/>
    <col collapsed="false" customWidth="true" hidden="false" outlineLevel="0" max="25" min="22" style="0" width="10"/>
    <col collapsed="false" customWidth="true" hidden="false" outlineLevel="0" max="26" min="26" style="0" width="12"/>
    <col collapsed="false" customWidth="true" hidden="false" outlineLevel="0" max="29" min="27" style="0" width="10"/>
  </cols>
  <sheetData>
    <row r="1" customFormat="false" ht="17.25" hidden="false" customHeight="true" outlineLevel="0" collapsed="false">
      <c r="A1" s="78" t="s">
        <v>173</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row>
    <row r="2" customFormat="false" ht="15" hidden="false" customHeight="true" outlineLevel="0" collapsed="false">
      <c r="A2" s="79" t="s">
        <v>174</v>
      </c>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row>
    <row r="3" customFormat="false" ht="15" hidden="false" customHeight="true" outlineLevel="0" collapsed="false">
      <c r="A3" s="80" t="s">
        <v>175</v>
      </c>
      <c r="B3" s="80"/>
      <c r="C3" s="80"/>
      <c r="D3" s="80"/>
      <c r="E3" s="80"/>
      <c r="F3" s="80" t="s">
        <v>176</v>
      </c>
      <c r="G3" s="80"/>
      <c r="H3" s="80"/>
      <c r="I3" s="80"/>
      <c r="J3" s="80"/>
      <c r="K3" s="80"/>
      <c r="L3" s="80" t="s">
        <v>177</v>
      </c>
      <c r="M3" s="80"/>
      <c r="N3" s="80"/>
      <c r="O3" s="80"/>
      <c r="P3" s="80"/>
      <c r="Q3" s="80"/>
      <c r="R3" s="80" t="s">
        <v>178</v>
      </c>
      <c r="S3" s="80"/>
      <c r="T3" s="80"/>
      <c r="U3" s="80"/>
      <c r="V3" s="80"/>
      <c r="W3" s="80"/>
      <c r="X3" s="80" t="s">
        <v>179</v>
      </c>
      <c r="Y3" s="80"/>
      <c r="Z3" s="81" t="s">
        <v>86</v>
      </c>
      <c r="AA3" s="80" t="s">
        <v>87</v>
      </c>
      <c r="AB3" s="80"/>
      <c r="AC3" s="81" t="s">
        <v>88</v>
      </c>
    </row>
    <row r="4" customFormat="false" ht="32.25" hidden="false" customHeight="true" outlineLevel="0" collapsed="false">
      <c r="A4" s="82" t="s">
        <v>180</v>
      </c>
      <c r="B4" s="82" t="s">
        <v>181</v>
      </c>
      <c r="C4" s="82" t="s">
        <v>182</v>
      </c>
      <c r="D4" s="82" t="s">
        <v>183</v>
      </c>
      <c r="E4" s="82" t="s">
        <v>184</v>
      </c>
      <c r="F4" s="82" t="s">
        <v>185</v>
      </c>
      <c r="G4" s="82" t="s">
        <v>186</v>
      </c>
      <c r="H4" s="82" t="s">
        <v>187</v>
      </c>
      <c r="I4" s="82" t="s">
        <v>188</v>
      </c>
      <c r="J4" s="82" t="s">
        <v>189</v>
      </c>
      <c r="K4" s="82" t="s">
        <v>190</v>
      </c>
      <c r="L4" s="82" t="s">
        <v>191</v>
      </c>
      <c r="M4" s="82" t="s">
        <v>192</v>
      </c>
      <c r="N4" s="82" t="s">
        <v>193</v>
      </c>
      <c r="O4" s="82" t="s">
        <v>194</v>
      </c>
      <c r="P4" s="82" t="s">
        <v>195</v>
      </c>
      <c r="Q4" s="82" t="s">
        <v>196</v>
      </c>
      <c r="R4" s="82" t="s">
        <v>197</v>
      </c>
      <c r="S4" s="82" t="s">
        <v>198</v>
      </c>
      <c r="T4" s="82" t="s">
        <v>199</v>
      </c>
      <c r="U4" s="82" t="s">
        <v>200</v>
      </c>
      <c r="V4" s="82" t="s">
        <v>201</v>
      </c>
      <c r="W4" s="82" t="s">
        <v>202</v>
      </c>
      <c r="X4" s="82" t="s">
        <v>203</v>
      </c>
      <c r="Y4" s="82" t="s">
        <v>204</v>
      </c>
      <c r="Z4" s="82" t="s">
        <v>130</v>
      </c>
      <c r="AA4" s="82" t="s">
        <v>205</v>
      </c>
      <c r="AB4" s="82" t="s">
        <v>206</v>
      </c>
      <c r="AC4" s="82" t="s">
        <v>207</v>
      </c>
    </row>
    <row r="5" customFormat="false" ht="15" hidden="false" customHeight="true" outlineLevel="0" collapsed="false">
      <c r="A5" s="83" t="s">
        <v>208</v>
      </c>
      <c r="B5" s="84" t="n">
        <v>4</v>
      </c>
      <c r="C5" s="84" t="n">
        <v>3.3</v>
      </c>
      <c r="D5" s="85" t="n">
        <v>0.4</v>
      </c>
      <c r="E5" s="85" t="n">
        <v>0.05</v>
      </c>
      <c r="F5" s="86" t="n">
        <v>12</v>
      </c>
      <c r="G5" s="85" t="n">
        <v>0.15</v>
      </c>
      <c r="H5" s="86" t="n">
        <v>10</v>
      </c>
      <c r="I5" s="85" t="n">
        <v>0.15</v>
      </c>
      <c r="J5" s="86" t="n">
        <v>8</v>
      </c>
      <c r="K5" s="86" t="n">
        <v>2</v>
      </c>
      <c r="L5" s="87" t="n">
        <f aca="false">IF(OR(NOT(ISNUMBER(B5)),NOT(ISNUMBER(C5))),0,INT((C5-2*E5)/G5)+1)</f>
        <v>22</v>
      </c>
      <c r="M5" s="88" t="n">
        <f aca="false">IF(OR(NOT(ISNUMBER(B5)),NOT(ISNUMBER(C5))),"",B5-2*E5+IF(B5-2*E5&gt;12,50*F5/1000,0))</f>
        <v>3.9</v>
      </c>
      <c r="N5" s="87" t="n">
        <f aca="false">IF(OR(NOT(ISNUMBER(B5)),NOT(ISNUMBER(C5))),0,INT((B5-2*E5)/G5)+1)</f>
        <v>27</v>
      </c>
      <c r="O5" s="88" t="n">
        <f aca="false">IF(OR(NOT(ISNUMBER(B5)),NOT(ISNUMBER(C5))),"",C5-2*E5+IF(C5-2*E5&gt;12,50*F5/1000,0))</f>
        <v>3.2</v>
      </c>
      <c r="P5" s="88" t="n">
        <f aca="false">IF(OR(NOT(ISNUMBER(B5)),NOT(ISNUMBER(C5))),0,L5*M5+N5*O5)</f>
        <v>172.2</v>
      </c>
      <c r="Q5" s="88" t="n">
        <f aca="false">IF(P5=0,0,IFERROR(P5*VLOOKUP(F5,'TABELA DE PESOS'!$A$2:$B$9,2,FALSE()),0))</f>
        <v>152.9136</v>
      </c>
      <c r="R5" s="87" t="n">
        <f aca="false">IF(OR(NOT(ISNUMBER(B5)),NOT(ISNUMBER(C5))),0,INT((C5-2*E5)/I5)+1)</f>
        <v>22</v>
      </c>
      <c r="S5" s="88" t="n">
        <f aca="false">IF(OR(NOT(ISNUMBER(B5)),NOT(ISNUMBER(C5))),"",B5-2*E5+IF(B5-2*E5&gt;12,50*H5/1000,0))</f>
        <v>3.9</v>
      </c>
      <c r="T5" s="87" t="n">
        <f aca="false">IF(OR(NOT(ISNUMBER(B5)),NOT(ISNUMBER(C5))),0,INT((B5-2*E5)/I5)+1)</f>
        <v>27</v>
      </c>
      <c r="U5" s="88" t="n">
        <f aca="false">IF(OR(NOT(ISNUMBER(B5)),NOT(ISNUMBER(C5))),"",C5-2*E5+IF(C5-2*E5&gt;12,50*H5/1000,0))</f>
        <v>3.2</v>
      </c>
      <c r="V5" s="88" t="n">
        <f aca="false">IF(OR(NOT(ISNUMBER(B5)),NOT(ISNUMBER(C5))),0,R5*S5+T5*U5)</f>
        <v>172.2</v>
      </c>
      <c r="W5" s="88" t="n">
        <f aca="false">IF(V5=0,0,IFERROR(V5*VLOOKUP(H5,'TABELA DE PESOS'!$A$2:$B$9,2,FALSE()),0))</f>
        <v>106.2474</v>
      </c>
      <c r="X5" s="88" t="n">
        <f aca="false">IF(OR(NOT(ISNUMBER(B5)),NOT(ISNUMBER(C5))),0,K5*(2*(B5-2*E5)+2*(C5-2*E5)))</f>
        <v>28.4</v>
      </c>
      <c r="Y5" s="88" t="n">
        <f aca="false">IF(X5=0,0,IFERROR(X5*VLOOKUP(J5,'TABELA DE PESOS'!$A$2:$B$9,2,FALSE()),0))</f>
        <v>11.218</v>
      </c>
      <c r="Z5" s="89" t="n">
        <f aca="false">Q5+W5+Y5</f>
        <v>270.379</v>
      </c>
      <c r="AA5" s="90" t="n">
        <f aca="false">IF(OR(NOT(ISNUMBER(B5)),NOT(ISNUMBER(C5))),0,B5*C5*D5)</f>
        <v>5.28</v>
      </c>
      <c r="AB5" s="90" t="n">
        <f aca="false">IF(OR(NOT(ISNUMBER(B5)),NOT(ISNUMBER(C5))),0,B5*C5*0.05)</f>
        <v>0.66</v>
      </c>
      <c r="AC5" s="89" t="n">
        <f aca="false">IF(OR(NOT(ISNUMBER(B5)),NOT(ISNUMBER(C5))),0,2*(B5+C5)*D5)</f>
        <v>5.84</v>
      </c>
    </row>
    <row r="6" customFormat="false" ht="15" hidden="false" customHeight="true" outlineLevel="0" collapsed="false">
      <c r="A6" s="91" t="s">
        <v>209</v>
      </c>
      <c r="B6" s="84" t="n">
        <v>5</v>
      </c>
      <c r="C6" s="84" t="n">
        <v>2.9</v>
      </c>
      <c r="D6" s="84" t="n">
        <v>0.6</v>
      </c>
      <c r="E6" s="84" t="n">
        <v>0.05</v>
      </c>
      <c r="F6" s="92" t="n">
        <v>16</v>
      </c>
      <c r="G6" s="84" t="n">
        <v>0.15</v>
      </c>
      <c r="H6" s="92" t="n">
        <v>12</v>
      </c>
      <c r="I6" s="84" t="n">
        <v>0.15</v>
      </c>
      <c r="J6" s="92" t="n">
        <v>8</v>
      </c>
      <c r="K6" s="92" t="n">
        <v>4</v>
      </c>
      <c r="L6" s="93" t="n">
        <f aca="false">IF(OR(NOT(ISNUMBER(B6)),NOT(ISNUMBER(C6))),0,INT((C6-2*E6)/G6)+1)</f>
        <v>19</v>
      </c>
      <c r="M6" s="94" t="n">
        <f aca="false">IF(OR(NOT(ISNUMBER(B6)),NOT(ISNUMBER(C6))),"",B6-2*E6+IF(B6-2*E6&gt;12,50*F6/1000,0))</f>
        <v>4.9</v>
      </c>
      <c r="N6" s="93" t="n">
        <f aca="false">IF(OR(NOT(ISNUMBER(B6)),NOT(ISNUMBER(C6))),0,INT((B6-2*E6)/G6)+1)</f>
        <v>33</v>
      </c>
      <c r="O6" s="94" t="n">
        <f aca="false">IF(OR(NOT(ISNUMBER(B6)),NOT(ISNUMBER(C6))),"",C6-2*E6+IF(C6-2*E6&gt;12,50*F6/1000,0))</f>
        <v>2.8</v>
      </c>
      <c r="P6" s="94" t="n">
        <f aca="false">IF(OR(NOT(ISNUMBER(B6)),NOT(ISNUMBER(C6))),0,L6*M6+N6*O6)</f>
        <v>185.5</v>
      </c>
      <c r="Q6" s="94" t="n">
        <f aca="false">IF(P6=0,0,IFERROR(P6*VLOOKUP(F6,'TABELA DE PESOS'!$A$2:$B$9,2,FALSE()),0))</f>
        <v>292.719</v>
      </c>
      <c r="R6" s="93" t="n">
        <f aca="false">IF(OR(NOT(ISNUMBER(B6)),NOT(ISNUMBER(C6))),0,INT((C6-2*E6)/I6)+1)</f>
        <v>19</v>
      </c>
      <c r="S6" s="94" t="n">
        <f aca="false">IF(OR(NOT(ISNUMBER(B6)),NOT(ISNUMBER(C6))),"",B6-2*E6+IF(B6-2*E6&gt;12,50*H6/1000,0))</f>
        <v>4.9</v>
      </c>
      <c r="T6" s="93" t="n">
        <f aca="false">IF(OR(NOT(ISNUMBER(B6)),NOT(ISNUMBER(C6))),0,INT((B6-2*E6)/I6)+1)</f>
        <v>33</v>
      </c>
      <c r="U6" s="94" t="n">
        <f aca="false">IF(OR(NOT(ISNUMBER(B6)),NOT(ISNUMBER(C6))),"",C6-2*E6+IF(C6-2*E6&gt;12,50*H6/1000,0))</f>
        <v>2.8</v>
      </c>
      <c r="V6" s="94" t="n">
        <f aca="false">IF(OR(NOT(ISNUMBER(B6)),NOT(ISNUMBER(C6))),0,R6*S6+T6*U6)</f>
        <v>185.5</v>
      </c>
      <c r="W6" s="94" t="n">
        <f aca="false">IF(V6=0,0,IFERROR(V6*VLOOKUP(H6,'TABELA DE PESOS'!$A$2:$B$9,2,FALSE()),0))</f>
        <v>164.724</v>
      </c>
      <c r="X6" s="94" t="n">
        <f aca="false">IF(OR(NOT(ISNUMBER(B6)),NOT(ISNUMBER(C6))),0,K6*(2*(B6-2*E6)+2*(C6-2*E6)))</f>
        <v>61.6</v>
      </c>
      <c r="Y6" s="94" t="n">
        <f aca="false">IF(X6=0,0,IFERROR(X6*VLOOKUP(J6,'TABELA DE PESOS'!$A$2:$B$9,2,FALSE()),0))</f>
        <v>24.332</v>
      </c>
      <c r="Z6" s="89" t="n">
        <f aca="false">Q6+W6+Y6</f>
        <v>481.775</v>
      </c>
      <c r="AA6" s="90" t="n">
        <f aca="false">IF(OR(NOT(ISNUMBER(B6)),NOT(ISNUMBER(C6))),0,B6*C6*D6)</f>
        <v>8.7</v>
      </c>
      <c r="AB6" s="90" t="n">
        <f aca="false">IF(OR(NOT(ISNUMBER(B6)),NOT(ISNUMBER(C6))),0,B6*C6*0.05)</f>
        <v>0.725</v>
      </c>
      <c r="AC6" s="89" t="n">
        <f aca="false">IF(OR(NOT(ISNUMBER(B6)),NOT(ISNUMBER(C6))),0,2*(B6+C6)*D6)</f>
        <v>9.48</v>
      </c>
    </row>
    <row r="7" customFormat="false" ht="15" hidden="false" customHeight="true" outlineLevel="0" collapsed="false">
      <c r="A7" s="83" t="s">
        <v>210</v>
      </c>
      <c r="B7" s="85" t="n">
        <v>1.5</v>
      </c>
      <c r="C7" s="85" t="n">
        <v>1.8</v>
      </c>
      <c r="D7" s="85" t="n">
        <v>0.4</v>
      </c>
      <c r="E7" s="85" t="n">
        <v>0.05</v>
      </c>
      <c r="F7" s="86" t="n">
        <v>16</v>
      </c>
      <c r="G7" s="85" t="n">
        <v>0.15</v>
      </c>
      <c r="H7" s="86" t="n">
        <v>12</v>
      </c>
      <c r="I7" s="85" t="n">
        <v>0.15</v>
      </c>
      <c r="J7" s="86" t="n">
        <v>8</v>
      </c>
      <c r="K7" s="86" t="n">
        <v>2</v>
      </c>
      <c r="L7" s="87" t="n">
        <f aca="false">IF(OR(NOT(ISNUMBER(B7)),NOT(ISNUMBER(C7))),0,INT((C7-2*E7)/G7)+1)</f>
        <v>12</v>
      </c>
      <c r="M7" s="88" t="n">
        <f aca="false">IF(OR(NOT(ISNUMBER(B7)),NOT(ISNUMBER(C7))),"",B7-2*E7+IF(B7-2*E7&gt;12,50*F7/1000,0))</f>
        <v>1.4</v>
      </c>
      <c r="N7" s="87" t="n">
        <f aca="false">IF(OR(NOT(ISNUMBER(B7)),NOT(ISNUMBER(C7))),0,INT((B7-2*E7)/G7)+1)</f>
        <v>10</v>
      </c>
      <c r="O7" s="88" t="n">
        <f aca="false">IF(OR(NOT(ISNUMBER(B7)),NOT(ISNUMBER(C7))),"",C7-2*E7+IF(C7-2*E7&gt;12,50*F7/1000,0))</f>
        <v>1.7</v>
      </c>
      <c r="P7" s="88" t="n">
        <f aca="false">IF(OR(NOT(ISNUMBER(B7)),NOT(ISNUMBER(C7))),0,L7*M7+N7*O7)</f>
        <v>33.8</v>
      </c>
      <c r="Q7" s="88" t="n">
        <f aca="false">IF(P7=0,0,IFERROR(P7*VLOOKUP(F7,'TABELA DE PESOS'!$A$2:$B$9,2,FALSE()),0))</f>
        <v>53.3364</v>
      </c>
      <c r="R7" s="87" t="n">
        <f aca="false">IF(OR(NOT(ISNUMBER(B7)),NOT(ISNUMBER(C7))),0,INT((C7-2*E7)/I7)+1)</f>
        <v>12</v>
      </c>
      <c r="S7" s="88" t="n">
        <f aca="false">IF(OR(NOT(ISNUMBER(B7)),NOT(ISNUMBER(C7))),"",B7-2*E7+IF(B7-2*E7&gt;12,50*H7/1000,0))</f>
        <v>1.4</v>
      </c>
      <c r="T7" s="87" t="n">
        <f aca="false">IF(OR(NOT(ISNUMBER(B7)),NOT(ISNUMBER(C7))),0,INT((B7-2*E7)/I7)+1)</f>
        <v>10</v>
      </c>
      <c r="U7" s="88" t="n">
        <f aca="false">IF(OR(NOT(ISNUMBER(B7)),NOT(ISNUMBER(C7))),"",C7-2*E7+IF(C7-2*E7&gt;12,50*H7/1000,0))</f>
        <v>1.7</v>
      </c>
      <c r="V7" s="88" t="n">
        <f aca="false">IF(OR(NOT(ISNUMBER(B7)),NOT(ISNUMBER(C7))),0,R7*S7+T7*U7)</f>
        <v>33.8</v>
      </c>
      <c r="W7" s="88" t="n">
        <f aca="false">IF(V7=0,0,IFERROR(V7*VLOOKUP(H7,'TABELA DE PESOS'!$A$2:$B$9,2,FALSE()),0))</f>
        <v>30.0144</v>
      </c>
      <c r="X7" s="88" t="n">
        <f aca="false">IF(OR(NOT(ISNUMBER(B7)),NOT(ISNUMBER(C7))),0,K7*(2*(B7-2*E7)+2*(C7-2*E7)))</f>
        <v>12.4</v>
      </c>
      <c r="Y7" s="88" t="n">
        <f aca="false">IF(X7=0,0,IFERROR(X7*VLOOKUP(J7,'TABELA DE PESOS'!$A$2:$B$9,2,FALSE()),0))</f>
        <v>4.898</v>
      </c>
      <c r="Z7" s="89" t="n">
        <f aca="false">Q7+W7+Y7</f>
        <v>88.2488</v>
      </c>
      <c r="AA7" s="90" t="n">
        <f aca="false">IF(OR(NOT(ISNUMBER(B7)),NOT(ISNUMBER(C7))),0,B7*C7*D7)</f>
        <v>1.08</v>
      </c>
      <c r="AB7" s="90" t="n">
        <f aca="false">IF(OR(NOT(ISNUMBER(B7)),NOT(ISNUMBER(C7))),0,B7*C7*0.05)</f>
        <v>0.135</v>
      </c>
      <c r="AC7" s="89" t="n">
        <f aca="false">IF(OR(NOT(ISNUMBER(B7)),NOT(ISNUMBER(C7))),0,2*(B7+C7)*D7)</f>
        <v>2.64</v>
      </c>
    </row>
    <row r="8" customFormat="false" ht="15" hidden="false" customHeight="true" outlineLevel="0" collapsed="false">
      <c r="A8" s="91" t="s">
        <v>211</v>
      </c>
      <c r="B8" s="84" t="n">
        <v>1.6</v>
      </c>
      <c r="C8" s="84" t="n">
        <v>1.4</v>
      </c>
      <c r="D8" s="84" t="n">
        <v>0.4</v>
      </c>
      <c r="E8" s="84" t="n">
        <v>0.05</v>
      </c>
      <c r="F8" s="92" t="n">
        <v>12</v>
      </c>
      <c r="G8" s="84" t="n">
        <v>0.15</v>
      </c>
      <c r="H8" s="92" t="n">
        <v>10</v>
      </c>
      <c r="I8" s="84" t="n">
        <v>0.15</v>
      </c>
      <c r="J8" s="92" t="n">
        <v>8</v>
      </c>
      <c r="K8" s="92" t="n">
        <v>2</v>
      </c>
      <c r="L8" s="93" t="n">
        <f aca="false">IF(OR(NOT(ISNUMBER(B8)),NOT(ISNUMBER(C8))),0,INT((C8-2*E8)/G8)+1)</f>
        <v>9</v>
      </c>
      <c r="M8" s="94" t="n">
        <f aca="false">IF(OR(NOT(ISNUMBER(B8)),NOT(ISNUMBER(C8))),"",B8-2*E8+IF(B8-2*E8&gt;12,50*F8/1000,0))</f>
        <v>1.5</v>
      </c>
      <c r="N8" s="93" t="n">
        <f aca="false">IF(OR(NOT(ISNUMBER(B8)),NOT(ISNUMBER(C8))),0,INT((B8-2*E8)/G8)+1)</f>
        <v>11</v>
      </c>
      <c r="O8" s="94" t="n">
        <f aca="false">IF(OR(NOT(ISNUMBER(B8)),NOT(ISNUMBER(C8))),"",C8-2*E8+IF(C8-2*E8&gt;12,50*F8/1000,0))</f>
        <v>1.3</v>
      </c>
      <c r="P8" s="94" t="n">
        <f aca="false">IF(OR(NOT(ISNUMBER(B8)),NOT(ISNUMBER(C8))),0,L8*M8+N8*O8)</f>
        <v>27.8</v>
      </c>
      <c r="Q8" s="94" t="n">
        <f aca="false">IF(P8=0,0,IFERROR(P8*VLOOKUP(F8,'TABELA DE PESOS'!$A$2:$B$9,2,FALSE()),0))</f>
        <v>24.6864</v>
      </c>
      <c r="R8" s="93" t="n">
        <f aca="false">IF(OR(NOT(ISNUMBER(B8)),NOT(ISNUMBER(C8))),0,INT((C8-2*E8)/I8)+1)</f>
        <v>9</v>
      </c>
      <c r="S8" s="94" t="n">
        <f aca="false">IF(OR(NOT(ISNUMBER(B8)),NOT(ISNUMBER(C8))),"",B8-2*E8+IF(B8-2*E8&gt;12,50*H8/1000,0))</f>
        <v>1.5</v>
      </c>
      <c r="T8" s="93" t="n">
        <f aca="false">IF(OR(NOT(ISNUMBER(B8)),NOT(ISNUMBER(C8))),0,INT((B8-2*E8)/I8)+1)</f>
        <v>11</v>
      </c>
      <c r="U8" s="94" t="n">
        <f aca="false">IF(OR(NOT(ISNUMBER(B8)),NOT(ISNUMBER(C8))),"",C8-2*E8+IF(C8-2*E8&gt;12,50*H8/1000,0))</f>
        <v>1.3</v>
      </c>
      <c r="V8" s="94" t="n">
        <f aca="false">IF(OR(NOT(ISNUMBER(B8)),NOT(ISNUMBER(C8))),0,R8*S8+T8*U8)</f>
        <v>27.8</v>
      </c>
      <c r="W8" s="94" t="n">
        <f aca="false">IF(V8=0,0,IFERROR(V8*VLOOKUP(H8,'TABELA DE PESOS'!$A$2:$B$9,2,FALSE()),0))</f>
        <v>17.1526</v>
      </c>
      <c r="X8" s="94" t="n">
        <f aca="false">IF(OR(NOT(ISNUMBER(B8)),NOT(ISNUMBER(C8))),0,K8*(2*(B8-2*E8)+2*(C8-2*E8)))</f>
        <v>11.2</v>
      </c>
      <c r="Y8" s="94" t="n">
        <f aca="false">IF(X8=0,0,IFERROR(X8*VLOOKUP(J8,'TABELA DE PESOS'!$A$2:$B$9,2,FALSE()),0))</f>
        <v>4.424</v>
      </c>
      <c r="Z8" s="89" t="n">
        <f aca="false">Q8+W8+Y8</f>
        <v>46.263</v>
      </c>
      <c r="AA8" s="90" t="n">
        <f aca="false">IF(OR(NOT(ISNUMBER(B8)),NOT(ISNUMBER(C8))),0,B8*C8*D8)</f>
        <v>0.896</v>
      </c>
      <c r="AB8" s="90" t="n">
        <f aca="false">IF(OR(NOT(ISNUMBER(B8)),NOT(ISNUMBER(C8))),0,B8*C8*0.05)</f>
        <v>0.112</v>
      </c>
      <c r="AC8" s="89" t="n">
        <f aca="false">IF(OR(NOT(ISNUMBER(B8)),NOT(ISNUMBER(C8))),0,2*(B8+C8)*D8)</f>
        <v>2.4</v>
      </c>
    </row>
    <row r="9" customFormat="false" ht="15" hidden="false" customHeight="true" outlineLevel="0" collapsed="false">
      <c r="A9" s="83" t="s">
        <v>212</v>
      </c>
      <c r="B9" s="85" t="n">
        <v>1</v>
      </c>
      <c r="C9" s="85" t="n">
        <v>1</v>
      </c>
      <c r="D9" s="85" t="n">
        <v>0.4</v>
      </c>
      <c r="E9" s="85" t="n">
        <v>0.05</v>
      </c>
      <c r="F9" s="86" t="n">
        <v>10</v>
      </c>
      <c r="G9" s="85" t="n">
        <v>0.15</v>
      </c>
      <c r="H9" s="86" t="n">
        <v>10</v>
      </c>
      <c r="I9" s="85" t="n">
        <v>0.15</v>
      </c>
      <c r="J9" s="86" t="n">
        <v>8</v>
      </c>
      <c r="K9" s="86" t="n">
        <v>2</v>
      </c>
      <c r="L9" s="87" t="n">
        <f aca="false">IF(OR(NOT(ISNUMBER(B9)),NOT(ISNUMBER(C9))),0,INT((C9-2*E9)/G9)+1)</f>
        <v>7</v>
      </c>
      <c r="M9" s="88" t="n">
        <f aca="false">IF(OR(NOT(ISNUMBER(B9)),NOT(ISNUMBER(C9))),"",B9-2*E9+IF(B9-2*E9&gt;12,50*F9/1000,0))</f>
        <v>0.9</v>
      </c>
      <c r="N9" s="87" t="n">
        <f aca="false">IF(OR(NOT(ISNUMBER(B9)),NOT(ISNUMBER(C9))),0,INT((B9-2*E9)/G9)+1)</f>
        <v>7</v>
      </c>
      <c r="O9" s="88" t="n">
        <f aca="false">IF(OR(NOT(ISNUMBER(B9)),NOT(ISNUMBER(C9))),"",C9-2*E9+IF(C9-2*E9&gt;12,50*F9/1000,0))</f>
        <v>0.9</v>
      </c>
      <c r="P9" s="88" t="n">
        <f aca="false">IF(OR(NOT(ISNUMBER(B9)),NOT(ISNUMBER(C9))),0,L9*M9+N9*O9)</f>
        <v>12.6</v>
      </c>
      <c r="Q9" s="88" t="n">
        <f aca="false">IF(P9=0,0,IFERROR(P9*VLOOKUP(F9,'TABELA DE PESOS'!$A$2:$B$9,2,FALSE()),0))</f>
        <v>7.7742</v>
      </c>
      <c r="R9" s="87" t="n">
        <f aca="false">IF(OR(NOT(ISNUMBER(B9)),NOT(ISNUMBER(C9))),0,INT((C9-2*E9)/I9)+1)</f>
        <v>7</v>
      </c>
      <c r="S9" s="88" t="n">
        <f aca="false">IF(OR(NOT(ISNUMBER(B9)),NOT(ISNUMBER(C9))),"",B9-2*E9+IF(B9-2*E9&gt;12,50*H9/1000,0))</f>
        <v>0.9</v>
      </c>
      <c r="T9" s="87" t="n">
        <f aca="false">IF(OR(NOT(ISNUMBER(B9)),NOT(ISNUMBER(C9))),0,INT((B9-2*E9)/I9)+1)</f>
        <v>7</v>
      </c>
      <c r="U9" s="88" t="n">
        <f aca="false">IF(OR(NOT(ISNUMBER(B9)),NOT(ISNUMBER(C9))),"",C9-2*E9+IF(C9-2*E9&gt;12,50*H9/1000,0))</f>
        <v>0.9</v>
      </c>
      <c r="V9" s="88" t="n">
        <f aca="false">IF(OR(NOT(ISNUMBER(B9)),NOT(ISNUMBER(C9))),0,R9*S9+T9*U9)</f>
        <v>12.6</v>
      </c>
      <c r="W9" s="88" t="n">
        <f aca="false">IF(V9=0,0,IFERROR(V9*VLOOKUP(H9,'TABELA DE PESOS'!$A$2:$B$9,2,FALSE()),0))</f>
        <v>7.7742</v>
      </c>
      <c r="X9" s="88" t="n">
        <f aca="false">IF(OR(NOT(ISNUMBER(B9)),NOT(ISNUMBER(C9))),0,K9*(2*(B9-2*E9)+2*(C9-2*E9)))</f>
        <v>7.2</v>
      </c>
      <c r="Y9" s="88" t="n">
        <f aca="false">IF(X9=0,0,IFERROR(X9*VLOOKUP(J9,'TABELA DE PESOS'!$A$2:$B$9,2,FALSE()),0))</f>
        <v>2.844</v>
      </c>
      <c r="Z9" s="89" t="n">
        <f aca="false">Q9+W9+Y9</f>
        <v>18.3924</v>
      </c>
      <c r="AA9" s="90" t="n">
        <f aca="false">IF(OR(NOT(ISNUMBER(B9)),NOT(ISNUMBER(C9))),0,B9*C9*D9)</f>
        <v>0.4</v>
      </c>
      <c r="AB9" s="90" t="n">
        <f aca="false">IF(OR(NOT(ISNUMBER(B9)),NOT(ISNUMBER(C9))),0,B9*C9*0.05)</f>
        <v>0.05</v>
      </c>
      <c r="AC9" s="89" t="n">
        <f aca="false">IF(OR(NOT(ISNUMBER(B9)),NOT(ISNUMBER(C9))),0,2*(B9+C9)*D9)</f>
        <v>1.6</v>
      </c>
    </row>
    <row r="10" customFormat="false" ht="15" hidden="false" customHeight="true" outlineLevel="0" collapsed="false">
      <c r="A10" s="91" t="s">
        <v>213</v>
      </c>
      <c r="B10" s="84" t="n">
        <v>1</v>
      </c>
      <c r="C10" s="84" t="n">
        <v>2.08</v>
      </c>
      <c r="D10" s="84" t="n">
        <v>0.4</v>
      </c>
      <c r="E10" s="84" t="n">
        <v>0.05</v>
      </c>
      <c r="F10" s="92" t="n">
        <v>10</v>
      </c>
      <c r="G10" s="84" t="n">
        <v>0.15</v>
      </c>
      <c r="H10" s="92" t="n">
        <v>10</v>
      </c>
      <c r="I10" s="84" t="n">
        <v>0.15</v>
      </c>
      <c r="J10" s="92" t="n">
        <v>8</v>
      </c>
      <c r="K10" s="92" t="n">
        <v>2</v>
      </c>
      <c r="L10" s="93" t="n">
        <f aca="false">IF(OR(NOT(ISNUMBER(B10)),NOT(ISNUMBER(C10))),0,INT((C10-2*E10)/G10)+1)</f>
        <v>14</v>
      </c>
      <c r="M10" s="94" t="n">
        <f aca="false">IF(OR(NOT(ISNUMBER(B10)),NOT(ISNUMBER(C10))),"",B10-2*E10+IF(B10-2*E10&gt;12,50*F10/1000,0))</f>
        <v>0.9</v>
      </c>
      <c r="N10" s="93" t="n">
        <f aca="false">IF(OR(NOT(ISNUMBER(B10)),NOT(ISNUMBER(C10))),0,INT((B10-2*E10)/G10)+1)</f>
        <v>7</v>
      </c>
      <c r="O10" s="94" t="n">
        <f aca="false">IF(OR(NOT(ISNUMBER(B10)),NOT(ISNUMBER(C10))),"",C10-2*E10+IF(C10-2*E10&gt;12,50*F10/1000,0))</f>
        <v>1.98</v>
      </c>
      <c r="P10" s="94" t="n">
        <f aca="false">IF(OR(NOT(ISNUMBER(B10)),NOT(ISNUMBER(C10))),0,L10*M10+N10*O10)</f>
        <v>26.46</v>
      </c>
      <c r="Q10" s="94" t="n">
        <f aca="false">IF(P10=0,0,IFERROR(P10*VLOOKUP(F10,'TABELA DE PESOS'!$A$2:$B$9,2,FALSE()),0))</f>
        <v>16.32582</v>
      </c>
      <c r="R10" s="93" t="n">
        <f aca="false">IF(OR(NOT(ISNUMBER(B10)),NOT(ISNUMBER(C10))),0,INT((C10-2*E10)/I10)+1)</f>
        <v>14</v>
      </c>
      <c r="S10" s="94" t="n">
        <f aca="false">IF(OR(NOT(ISNUMBER(B10)),NOT(ISNUMBER(C10))),"",B10-2*E10+IF(B10-2*E10&gt;12,50*H10/1000,0))</f>
        <v>0.9</v>
      </c>
      <c r="T10" s="93" t="n">
        <f aca="false">IF(OR(NOT(ISNUMBER(B10)),NOT(ISNUMBER(C10))),0,INT((B10-2*E10)/I10)+1)</f>
        <v>7</v>
      </c>
      <c r="U10" s="94" t="n">
        <f aca="false">IF(OR(NOT(ISNUMBER(B10)),NOT(ISNUMBER(C10))),"",C10-2*E10+IF(C10-2*E10&gt;12,50*H10/1000,0))</f>
        <v>1.98</v>
      </c>
      <c r="V10" s="94" t="n">
        <f aca="false">IF(OR(NOT(ISNUMBER(B10)),NOT(ISNUMBER(C10))),0,R10*S10+T10*U10)</f>
        <v>26.46</v>
      </c>
      <c r="W10" s="94" t="n">
        <f aca="false">IF(V10=0,0,IFERROR(V10*VLOOKUP(H10,'TABELA DE PESOS'!$A$2:$B$9,2,FALSE()),0))</f>
        <v>16.32582</v>
      </c>
      <c r="X10" s="94" t="n">
        <f aca="false">IF(OR(NOT(ISNUMBER(B10)),NOT(ISNUMBER(C10))),0,K10*(2*(B10-2*E10)+2*(C10-2*E10)))</f>
        <v>11.52</v>
      </c>
      <c r="Y10" s="94" t="n">
        <f aca="false">IF(X10=0,0,IFERROR(X10*VLOOKUP(J10,'TABELA DE PESOS'!$A$2:$B$9,2,FALSE()),0))</f>
        <v>4.5504</v>
      </c>
      <c r="Z10" s="89" t="n">
        <f aca="false">Q10+W10+Y10</f>
        <v>37.20204</v>
      </c>
      <c r="AA10" s="90" t="n">
        <f aca="false">IF(OR(NOT(ISNUMBER(B10)),NOT(ISNUMBER(C10))),0,B10*C10*D10)</f>
        <v>0.832</v>
      </c>
      <c r="AB10" s="90" t="n">
        <f aca="false">IF(OR(NOT(ISNUMBER(B10)),NOT(ISNUMBER(C10))),0,B10*C10*0.05)</f>
        <v>0.104</v>
      </c>
      <c r="AC10" s="89" t="n">
        <f aca="false">IF(OR(NOT(ISNUMBER(B10)),NOT(ISNUMBER(C10))),0,2*(B10+C10)*D10)</f>
        <v>2.464</v>
      </c>
    </row>
    <row r="11" customFormat="false" ht="15" hidden="false" customHeight="true" outlineLevel="0" collapsed="false">
      <c r="A11" s="83" t="s">
        <v>214</v>
      </c>
      <c r="B11" s="85" t="n">
        <v>2.48</v>
      </c>
      <c r="C11" s="85" t="n">
        <v>1</v>
      </c>
      <c r="D11" s="85" t="n">
        <v>0.4</v>
      </c>
      <c r="E11" s="85" t="n">
        <v>0.05</v>
      </c>
      <c r="F11" s="86" t="n">
        <v>10</v>
      </c>
      <c r="G11" s="85" t="n">
        <v>0.15</v>
      </c>
      <c r="H11" s="86" t="n">
        <v>10</v>
      </c>
      <c r="I11" s="85" t="n">
        <v>0.15</v>
      </c>
      <c r="J11" s="86" t="n">
        <v>8</v>
      </c>
      <c r="K11" s="86" t="n">
        <v>2</v>
      </c>
      <c r="L11" s="87" t="n">
        <f aca="false">IF(OR(NOT(ISNUMBER(B11)),NOT(ISNUMBER(C11))),0,INT((C11-2*E11)/G11)+1)</f>
        <v>7</v>
      </c>
      <c r="M11" s="88" t="n">
        <f aca="false">IF(OR(NOT(ISNUMBER(B11)),NOT(ISNUMBER(C11))),"",B11-2*E11+IF(B11-2*E11&gt;12,50*F11/1000,0))</f>
        <v>2.38</v>
      </c>
      <c r="N11" s="87" t="n">
        <f aca="false">IF(OR(NOT(ISNUMBER(B11)),NOT(ISNUMBER(C11))),0,INT((B11-2*E11)/G11)+1)</f>
        <v>16</v>
      </c>
      <c r="O11" s="88" t="n">
        <f aca="false">IF(OR(NOT(ISNUMBER(B11)),NOT(ISNUMBER(C11))),"",C11-2*E11+IF(C11-2*E11&gt;12,50*F11/1000,0))</f>
        <v>0.9</v>
      </c>
      <c r="P11" s="88" t="n">
        <f aca="false">IF(OR(NOT(ISNUMBER(B11)),NOT(ISNUMBER(C11))),0,L11*M11+N11*O11)</f>
        <v>31.06</v>
      </c>
      <c r="Q11" s="88" t="n">
        <f aca="false">IF(P11=0,0,IFERROR(P11*VLOOKUP(F11,'TABELA DE PESOS'!$A$2:$B$9,2,FALSE()),0))</f>
        <v>19.16402</v>
      </c>
      <c r="R11" s="87" t="n">
        <f aca="false">IF(OR(NOT(ISNUMBER(B11)),NOT(ISNUMBER(C11))),0,INT((C11-2*E11)/I11)+1)</f>
        <v>7</v>
      </c>
      <c r="S11" s="88" t="n">
        <f aca="false">IF(OR(NOT(ISNUMBER(B11)),NOT(ISNUMBER(C11))),"",B11-2*E11+IF(B11-2*E11&gt;12,50*H11/1000,0))</f>
        <v>2.38</v>
      </c>
      <c r="T11" s="87" t="n">
        <f aca="false">IF(OR(NOT(ISNUMBER(B11)),NOT(ISNUMBER(C11))),0,INT((B11-2*E11)/I11)+1)</f>
        <v>16</v>
      </c>
      <c r="U11" s="88" t="n">
        <f aca="false">IF(OR(NOT(ISNUMBER(B11)),NOT(ISNUMBER(C11))),"",C11-2*E11+IF(C11-2*E11&gt;12,50*H11/1000,0))</f>
        <v>0.9</v>
      </c>
      <c r="V11" s="88" t="n">
        <f aca="false">IF(OR(NOT(ISNUMBER(B11)),NOT(ISNUMBER(C11))),0,R11*S11+T11*U11)</f>
        <v>31.06</v>
      </c>
      <c r="W11" s="88" t="n">
        <f aca="false">IF(V11=0,0,IFERROR(V11*VLOOKUP(H11,'TABELA DE PESOS'!$A$2:$B$9,2,FALSE()),0))</f>
        <v>19.16402</v>
      </c>
      <c r="X11" s="88" t="n">
        <f aca="false">IF(OR(NOT(ISNUMBER(B11)),NOT(ISNUMBER(C11))),0,K11*(2*(B11-2*E11)+2*(C11-2*E11)))</f>
        <v>13.12</v>
      </c>
      <c r="Y11" s="88" t="n">
        <f aca="false">IF(X11=0,0,IFERROR(X11*VLOOKUP(J11,'TABELA DE PESOS'!$A$2:$B$9,2,FALSE()),0))</f>
        <v>5.1824</v>
      </c>
      <c r="Z11" s="89" t="n">
        <f aca="false">Q11+W11+Y11</f>
        <v>43.51044</v>
      </c>
      <c r="AA11" s="90" t="n">
        <f aca="false">IF(OR(NOT(ISNUMBER(B11)),NOT(ISNUMBER(C11))),0,B11*C11*D11)</f>
        <v>0.992</v>
      </c>
      <c r="AB11" s="90" t="n">
        <f aca="false">IF(OR(NOT(ISNUMBER(B11)),NOT(ISNUMBER(C11))),0,B11*C11*0.05)</f>
        <v>0.124</v>
      </c>
      <c r="AC11" s="89" t="n">
        <f aca="false">IF(OR(NOT(ISNUMBER(B11)),NOT(ISNUMBER(C11))),0,2*(B11+C11)*D11)</f>
        <v>2.784</v>
      </c>
    </row>
    <row r="12" customFormat="false" ht="15" hidden="false" customHeight="true" outlineLevel="0" collapsed="false">
      <c r="A12" s="83" t="s">
        <v>215</v>
      </c>
      <c r="B12" s="85" t="n">
        <v>63</v>
      </c>
      <c r="C12" s="85" t="n">
        <v>0.8</v>
      </c>
      <c r="D12" s="85" t="n">
        <v>0.4</v>
      </c>
      <c r="E12" s="85" t="n">
        <v>0.05</v>
      </c>
      <c r="F12" s="86" t="n">
        <v>10</v>
      </c>
      <c r="G12" s="85" t="n">
        <v>0.2</v>
      </c>
      <c r="H12" s="86" t="n">
        <v>10</v>
      </c>
      <c r="I12" s="85" t="n">
        <v>0.1</v>
      </c>
      <c r="J12" s="86"/>
      <c r="K12" s="86"/>
      <c r="L12" s="87" t="n">
        <f aca="false">IF(OR(NOT(ISNUMBER(B12)),NOT(ISNUMBER(C12))),0,INT((C12-2*E12)/G12)+1)</f>
        <v>4</v>
      </c>
      <c r="M12" s="88" t="n">
        <f aca="false">IF(OR(NOT(ISNUMBER(B12)),NOT(ISNUMBER(C12))),"",B12-2*E12+IF(B12-2*E12&gt;12,50*F12/1000,0))</f>
        <v>63.4</v>
      </c>
      <c r="N12" s="87" t="n">
        <f aca="false">IF(OR(NOT(ISNUMBER(B12)),NOT(ISNUMBER(C12))),0,INT((B12-2*E12)/G12)+1)</f>
        <v>315</v>
      </c>
      <c r="O12" s="88" t="n">
        <f aca="false">IF(OR(NOT(ISNUMBER(B12)),NOT(ISNUMBER(C12))),"",C12-2*E12+IF(C12-2*E12&gt;12,50*F12/1000,0))</f>
        <v>0.7</v>
      </c>
      <c r="P12" s="88" t="n">
        <f aca="false">IF(OR(NOT(ISNUMBER(B12)),NOT(ISNUMBER(C12))),0,L12*M12+N12*O12)</f>
        <v>474.1</v>
      </c>
      <c r="Q12" s="88"/>
      <c r="R12" s="87" t="n">
        <f aca="false">IF(OR(NOT(ISNUMBER(B12)),NOT(ISNUMBER(C12))),0,INT((C12-2*E12)/I12)+1)</f>
        <v>8</v>
      </c>
      <c r="S12" s="88" t="n">
        <f aca="false">IF(OR(NOT(ISNUMBER(B12)),NOT(ISNUMBER(C12))),"",B12-2*E12+IF(B12-2*E12&gt;12,50*H12/1000,0))</f>
        <v>63.4</v>
      </c>
      <c r="T12" s="87" t="n">
        <f aca="false">IF(OR(NOT(ISNUMBER(B12)),NOT(ISNUMBER(C12))),0,INT((B12-2*E12)/I12)+1)</f>
        <v>630</v>
      </c>
      <c r="U12" s="88" t="n">
        <f aca="false">IF(OR(NOT(ISNUMBER(B12)),NOT(ISNUMBER(C12))),"",C12-2*E12+IF(C12-2*E12&gt;12,50*H12/1000,0))</f>
        <v>0.7</v>
      </c>
      <c r="V12" s="88" t="n">
        <f aca="false">IF(OR(NOT(ISNUMBER(B12)),NOT(ISNUMBER(C12))),0,R12*S12+T12*U12)</f>
        <v>948.2</v>
      </c>
      <c r="W12" s="88"/>
      <c r="X12" s="88"/>
      <c r="Y12" s="88"/>
      <c r="Z12" s="89"/>
      <c r="AA12" s="90" t="n">
        <f aca="false">IF(OR(NOT(ISNUMBER(B12)),NOT(ISNUMBER(C12))),0,B12*C12*D12)</f>
        <v>20.16</v>
      </c>
      <c r="AB12" s="90" t="n">
        <f aca="false">IF(OR(NOT(ISNUMBER(B12)),NOT(ISNUMBER(C12))),0,B12*C12*0.05)</f>
        <v>2.52</v>
      </c>
      <c r="AC12" s="89" t="n">
        <f aca="false">IF(OR(NOT(ISNUMBER(B12)),NOT(ISNUMBER(C12))),0,2*(B12+C12)*D12)</f>
        <v>51.04</v>
      </c>
    </row>
    <row r="13" customFormat="false" ht="15" hidden="false" customHeight="true" outlineLevel="0" collapsed="false">
      <c r="A13" s="95" t="s">
        <v>138</v>
      </c>
      <c r="B13" s="95"/>
      <c r="C13" s="95"/>
      <c r="D13" s="95"/>
      <c r="E13" s="95"/>
      <c r="F13" s="95"/>
      <c r="G13" s="95"/>
      <c r="H13" s="95"/>
      <c r="I13" s="95"/>
      <c r="J13" s="95"/>
      <c r="K13" s="95"/>
      <c r="L13" s="95"/>
      <c r="M13" s="95"/>
      <c r="N13" s="95"/>
      <c r="O13" s="95"/>
      <c r="P13" s="96" t="n">
        <f aca="false">SUM(P5:P12)</f>
        <v>963.52</v>
      </c>
      <c r="Q13" s="96" t="n">
        <f aca="false">SUM(Q5:Q11)</f>
        <v>566.91944</v>
      </c>
      <c r="R13" s="95"/>
      <c r="S13" s="95"/>
      <c r="T13" s="95"/>
      <c r="U13" s="95"/>
      <c r="V13" s="96" t="n">
        <f aca="false">SUM(V5:V12)</f>
        <v>1437.62</v>
      </c>
      <c r="W13" s="96" t="n">
        <f aca="false">SUM(W5:W11)</f>
        <v>361.40244</v>
      </c>
      <c r="X13" s="96" t="n">
        <f aca="false">SUM(X5:X11)</f>
        <v>145.44</v>
      </c>
      <c r="Y13" s="96" t="n">
        <f aca="false">SUM(Y5:Y11)</f>
        <v>57.4488</v>
      </c>
      <c r="Z13" s="96" t="n">
        <f aca="false">SUM(Z5:Z11)</f>
        <v>985.77068</v>
      </c>
      <c r="AA13" s="97" t="n">
        <f aca="false">SUM(AA5:AA12)</f>
        <v>38.34</v>
      </c>
      <c r="AB13" s="97" t="n">
        <f aca="false">SUM(AB5:AB12)</f>
        <v>4.43</v>
      </c>
      <c r="AC13" s="96" t="n">
        <f aca="false">SUM(AC5:AC12)</f>
        <v>78.248</v>
      </c>
    </row>
    <row r="15" customFormat="false" ht="15" hidden="false" customHeight="true" outlineLevel="0" collapsed="false">
      <c r="A15" s="98" t="s">
        <v>216</v>
      </c>
      <c r="B15" s="98"/>
      <c r="C15" s="98"/>
      <c r="D15" s="98"/>
      <c r="E15" s="98"/>
    </row>
    <row r="16" customFormat="false" ht="21.75" hidden="false" customHeight="true" outlineLevel="0" collapsed="false">
      <c r="A16" s="82" t="s">
        <v>217</v>
      </c>
      <c r="B16" s="82" t="s">
        <v>218</v>
      </c>
      <c r="C16" s="82" t="s">
        <v>219</v>
      </c>
      <c r="D16" s="82" t="s">
        <v>220</v>
      </c>
    </row>
    <row r="17" customFormat="false" ht="15" hidden="false" customHeight="true" outlineLevel="0" collapsed="false">
      <c r="A17" s="99" t="n">
        <v>8</v>
      </c>
      <c r="B17" s="100" t="n">
        <f aca="false">SUMPRODUCT((F5:F11=8)*Q5:Q11)+SUMPRODUCT((H5:H11=8)*W5:W11)+SUMPRODUCT((J5:J11=8)*Y5:Y11)</f>
        <v>57.4488</v>
      </c>
      <c r="C17" s="101" t="n">
        <f aca="false">IFERROR(B17/Z13,0)</f>
        <v>0.0582780571237927</v>
      </c>
      <c r="D17" s="102" t="n">
        <f aca="false">IFERROR(VLOOKUP(A17,'TABELA DE PESOS'!$A$2:$B$9,2,FALSE()),0)</f>
        <v>0.395</v>
      </c>
    </row>
    <row r="18" customFormat="false" ht="15" hidden="false" customHeight="true" outlineLevel="0" collapsed="false">
      <c r="A18" s="99" t="n">
        <v>10</v>
      </c>
      <c r="B18" s="100" t="n">
        <f aca="false">SUMPRODUCT((F5:F11=10)*Q5:Q11)+SUMPRODUCT((H5:H11=10)*W5:W11)+SUMPRODUCT((J5:J11=10)*Y5:Y11)</f>
        <v>209.92808</v>
      </c>
      <c r="C18" s="101" t="n">
        <f aca="false">IFERROR(B18/Z13,0)</f>
        <v>0.212958332256342</v>
      </c>
      <c r="D18" s="102" t="n">
        <f aca="false">IFERROR(VLOOKUP(A18,'TABELA DE PESOS'!$A$2:$B$9,2,FALSE()),0)</f>
        <v>0.617</v>
      </c>
    </row>
    <row r="19" customFormat="false" ht="15" hidden="false" customHeight="true" outlineLevel="0" collapsed="false">
      <c r="A19" s="99" t="n">
        <v>12</v>
      </c>
      <c r="B19" s="100" t="n">
        <f aca="false">SUMPRODUCT((F5:F11=12)*Q5:Q11)+SUMPRODUCT((H5:H11=12)*W5:W11)+SUMPRODUCT((J5:J11=12)*Y5:Y11)</f>
        <v>372.3384</v>
      </c>
      <c r="C19" s="101" t="n">
        <f aca="false">IFERROR(B19/Z13,0)</f>
        <v>0.377712999132821</v>
      </c>
      <c r="D19" s="102" t="n">
        <f aca="false">IFERROR(VLOOKUP(A19,'TABELA DE PESOS'!$A$2:$B$9,2,FALSE()),0)</f>
        <v>0.888</v>
      </c>
    </row>
    <row r="20" customFormat="false" ht="15" hidden="false" customHeight="true" outlineLevel="0" collapsed="false">
      <c r="A20" s="99" t="n">
        <v>16</v>
      </c>
      <c r="B20" s="100" t="n">
        <f aca="false">SUMPRODUCT((F5:F11=16)*Q5:Q11)+SUMPRODUCT((H5:H11=16)*W5:W11)+SUMPRODUCT((J5:J11=16)*Y5:Y11)</f>
        <v>346.0554</v>
      </c>
      <c r="C20" s="101" t="n">
        <f aca="false">IFERROR(B20/Z13,0)</f>
        <v>0.351050611487045</v>
      </c>
      <c r="D20" s="102" t="n">
        <f aca="false">IFERROR(VLOOKUP(A20,'TABELA DE PESOS'!$A$2:$B$9,2,FALSE()),0)</f>
        <v>1.578</v>
      </c>
    </row>
    <row r="21" customFormat="false" ht="15" hidden="false" customHeight="true" outlineLevel="0" collapsed="false">
      <c r="A21" s="103" t="s">
        <v>221</v>
      </c>
      <c r="B21" s="96" t="n">
        <f aca="false">SUM(B17:B20)</f>
        <v>985.77068</v>
      </c>
      <c r="C21" s="104" t="n">
        <f aca="false">IFERROR(B21/Z13,0)</f>
        <v>1</v>
      </c>
    </row>
    <row r="23" customFormat="false" ht="15" hidden="false" customHeight="true" outlineLevel="0" collapsed="false">
      <c r="A23" s="105" t="s">
        <v>222</v>
      </c>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row>
  </sheetData>
  <mergeCells count="10">
    <mergeCell ref="A1:AC1"/>
    <mergeCell ref="A2:AC2"/>
    <mergeCell ref="A3:E3"/>
    <mergeCell ref="F3:K3"/>
    <mergeCell ref="L3:Q3"/>
    <mergeCell ref="R3:W3"/>
    <mergeCell ref="X3:Y3"/>
    <mergeCell ref="AA3:AB3"/>
    <mergeCell ref="A15:E15"/>
    <mergeCell ref="A23:AC23"/>
  </mergeCells>
  <conditionalFormatting sqref="B5:C12">
    <cfRule type="cellIs" priority="2" operator="equal" aboveAverage="0" equalAverage="0" bottom="0" percent="0" rank="0" text="" dxfId="1">
      <formula>"PENDENTE"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0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pane xSplit="0" ySplit="5" topLeftCell="A6" activePane="bottomLeft" state="frozen"/>
      <selection pane="topLeft" activeCell="A1" activeCellId="0" sqref="A1"/>
      <selection pane="bottomLeft" activeCell="H10" activeCellId="0" sqref="H10"/>
    </sheetView>
  </sheetViews>
  <sheetFormatPr defaultColWidth="8.507812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8"/>
    <col collapsed="false" customWidth="true" hidden="false" outlineLevel="0" max="4" min="4" style="0" width="7.67"/>
    <col collapsed="false" customWidth="true" hidden="false" outlineLevel="0" max="5" min="5" style="0" width="10.66"/>
    <col collapsed="false" customWidth="true" hidden="false" outlineLevel="0" max="7" min="6" style="0" width="7"/>
    <col collapsed="false" customWidth="true" hidden="false" outlineLevel="0" max="12" min="8" style="0" width="6"/>
    <col collapsed="false" customWidth="true" hidden="false" outlineLevel="0" max="14" min="13" style="0" width="7"/>
    <col collapsed="false" customWidth="true" hidden="false" outlineLevel="0" max="17" min="15" style="0" width="9"/>
    <col collapsed="false" customWidth="true" hidden="false" outlineLevel="0" max="19" min="18" style="0" width="8"/>
    <col collapsed="false" customWidth="true" hidden="false" outlineLevel="0" max="23" min="20" style="0" width="9"/>
    <col collapsed="false" customWidth="true" hidden="false" outlineLevel="0" max="27" min="24" style="0" width="8"/>
    <col collapsed="false" customWidth="true" hidden="false" outlineLevel="0" max="28" min="28" style="0" width="12"/>
  </cols>
  <sheetData>
    <row r="1" customFormat="false" ht="21.75" hidden="false" customHeight="true" outlineLevel="0" collapsed="false">
      <c r="A1" s="106" t="s">
        <v>223</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row>
    <row r="2" customFormat="false" ht="15.75" hidden="false" customHeight="true" outlineLevel="0" collapsed="false">
      <c r="A2" s="107" t="s">
        <v>224</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row>
    <row r="3" customFormat="false" ht="6" hidden="false" customHeight="true" outlineLevel="0" collapsed="false">
      <c r="A3" s="108"/>
      <c r="B3" s="108"/>
      <c r="C3" s="108"/>
      <c r="D3" s="108"/>
      <c r="E3" s="108"/>
      <c r="F3" s="108"/>
      <c r="G3" s="108"/>
      <c r="H3" s="108"/>
      <c r="I3" s="108"/>
      <c r="J3" s="108"/>
      <c r="K3" s="108"/>
      <c r="L3" s="108"/>
      <c r="M3" s="108"/>
      <c r="N3" s="108"/>
      <c r="O3" s="108"/>
      <c r="P3" s="108"/>
      <c r="Q3" s="108"/>
      <c r="R3" s="108"/>
      <c r="S3" s="108"/>
      <c r="T3" s="108"/>
      <c r="U3" s="108"/>
      <c r="V3" s="108"/>
    </row>
    <row r="4" customFormat="false" ht="19.5" hidden="false" customHeight="true" outlineLevel="0" collapsed="false">
      <c r="A4" s="109" t="s">
        <v>225</v>
      </c>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row>
    <row r="5" customFormat="false" ht="39.75" hidden="false" customHeight="true" outlineLevel="0" collapsed="false">
      <c r="A5" s="110" t="s">
        <v>226</v>
      </c>
      <c r="B5" s="110" t="s">
        <v>227</v>
      </c>
      <c r="C5" s="110" t="s">
        <v>228</v>
      </c>
      <c r="D5" s="110" t="s">
        <v>229</v>
      </c>
      <c r="E5" s="110" t="s">
        <v>230</v>
      </c>
      <c r="F5" s="111" t="s">
        <v>231</v>
      </c>
      <c r="G5" s="111" t="s">
        <v>232</v>
      </c>
      <c r="H5" s="110" t="s">
        <v>233</v>
      </c>
      <c r="I5" s="110" t="s">
        <v>234</v>
      </c>
      <c r="J5" s="110" t="s">
        <v>235</v>
      </c>
      <c r="K5" s="110" t="s">
        <v>236</v>
      </c>
      <c r="L5" s="110" t="s">
        <v>237</v>
      </c>
      <c r="M5" s="110" t="s">
        <v>238</v>
      </c>
      <c r="N5" s="110" t="s">
        <v>239</v>
      </c>
      <c r="O5" s="110" t="s">
        <v>240</v>
      </c>
      <c r="P5" s="110" t="s">
        <v>241</v>
      </c>
      <c r="Q5" s="110" t="s">
        <v>242</v>
      </c>
      <c r="R5" s="110" t="s">
        <v>243</v>
      </c>
      <c r="S5" s="110" t="s">
        <v>244</v>
      </c>
      <c r="T5" s="110" t="s">
        <v>245</v>
      </c>
      <c r="U5" s="110" t="s">
        <v>246</v>
      </c>
      <c r="V5" s="110" t="s">
        <v>247</v>
      </c>
      <c r="W5" s="110" t="s">
        <v>130</v>
      </c>
      <c r="X5" s="110" t="s">
        <v>248</v>
      </c>
      <c r="Y5" s="110" t="s">
        <v>249</v>
      </c>
      <c r="Z5" s="110" t="s">
        <v>250</v>
      </c>
      <c r="AA5" s="110" t="s">
        <v>207</v>
      </c>
      <c r="AB5" s="110" t="s">
        <v>251</v>
      </c>
    </row>
    <row r="6" customFormat="false" ht="15" hidden="false" customHeight="true" outlineLevel="0" collapsed="false">
      <c r="A6" s="112" t="s">
        <v>252</v>
      </c>
      <c r="B6" s="113" t="n">
        <v>6.47</v>
      </c>
      <c r="C6" s="114" t="n">
        <v>1</v>
      </c>
      <c r="D6" s="115" t="n">
        <v>0.2</v>
      </c>
      <c r="E6" s="115" t="n">
        <v>3.15</v>
      </c>
      <c r="F6" s="115" t="n">
        <v>0.4</v>
      </c>
      <c r="G6" s="115" t="n">
        <v>0.8</v>
      </c>
      <c r="H6" s="114" t="n">
        <v>10</v>
      </c>
      <c r="I6" s="115" t="n">
        <v>0.15</v>
      </c>
      <c r="J6" s="114" t="n">
        <v>10</v>
      </c>
      <c r="K6" s="115" t="n">
        <v>0.15</v>
      </c>
      <c r="L6" s="114" t="n">
        <v>10</v>
      </c>
      <c r="M6" s="115" t="n">
        <v>0.15</v>
      </c>
      <c r="N6" s="114" t="n">
        <v>10</v>
      </c>
      <c r="O6" s="115" t="n">
        <v>0.15</v>
      </c>
      <c r="P6" s="114" t="n">
        <v>8</v>
      </c>
      <c r="Q6" s="115" t="n">
        <v>0.15</v>
      </c>
      <c r="R6" s="116" t="n">
        <f aca="false">IF(NOT(ISNUMBER(B6)),0,2*C6*(INT(B6/I6)+1)*(E6+75*H6/1000)*VLOOKUP(H6,'TABELA DE PESOS'!$A$2:$B$9,2,FALSE()))</f>
        <v>211.7544</v>
      </c>
      <c r="S6" s="116" t="n">
        <f aca="false">IF(NOT(ISNUMBER(B6)),0,2*C6*(INT(E6/K6)+1)*(B6+IF(B6&gt;12,50*J6/1000,0))*VLOOKUP(J6,'TABELA DE PESOS'!$A$2:$B$9,2,FALSE()))</f>
        <v>175.64756</v>
      </c>
      <c r="T6" s="116" t="n">
        <f aca="false">IF(NOT(ISNUMBER(B6)),0,C6*((INT(B6/M6)+1)*(G6-0.1)+(INT(G6/M6)+1)*(B6+IF(B6&gt;12,50*L6/1000,0)))*VLOOKUP(L6,'TABELA DE PESOS'!$A$2:$B$9,2,FALSE()))</f>
        <v>42.95554</v>
      </c>
      <c r="U6" s="116" t="n">
        <f aca="false">IF(NOT(ISNUMBER(B6)),0,C6*((INT(B6/O6)+1)*(G6-0.1)+(INT(G6/O6)+1)*(B6+IF(B6&gt;12,50*N6/1000,0)))*VLOOKUP(N6,'TABELA DE PESOS'!$A$2:$B$9,2,FALSE()))</f>
        <v>42.95554</v>
      </c>
      <c r="V6" s="116" t="n">
        <f aca="false">IF(OR(NOT(ISNUMBER(B6)),P6=""),0,C6*(INT(B6/Q6)+1)*(2*(G6-0.1)+2*(F6-0.1)+2*10*P6/1000)*VLOOKUP(P6,'TABELA DE PESOS'!$A$2:$B$9,2,FALSE()))</f>
        <v>37.5408</v>
      </c>
      <c r="W6" s="117" t="n">
        <f aca="false">R6+S6+T6+U6+V6</f>
        <v>510.85384</v>
      </c>
      <c r="X6" s="118" t="n">
        <f aca="false">IF(NOT(ISNUMBER(B6)),0,C6*D6*E6*B6)</f>
        <v>4.0761</v>
      </c>
      <c r="Y6" s="118" t="n">
        <f aca="false">IF(NOT(ISNUMBER(B6)),0,C6*G6*F6*B6)</f>
        <v>2.0704</v>
      </c>
      <c r="Z6" s="118" t="n">
        <f aca="false">IF(NOT(ISNUMBER(B6)),0,C6*G6*0.05*B6)</f>
        <v>0.2588</v>
      </c>
      <c r="AA6" s="119" t="n">
        <f aca="false">IF(NOT(ISNUMBER(B6)),0,C6*2*E6*B6)</f>
        <v>40.761</v>
      </c>
      <c r="AB6" s="120" t="s">
        <v>253</v>
      </c>
    </row>
    <row r="7" customFormat="false" ht="15" hidden="false" customHeight="true" outlineLevel="0" collapsed="false">
      <c r="A7" s="112" t="s">
        <v>254</v>
      </c>
      <c r="B7" s="113" t="s">
        <v>255</v>
      </c>
      <c r="C7" s="114" t="n">
        <v>1</v>
      </c>
      <c r="D7" s="115" t="n">
        <v>0.2</v>
      </c>
      <c r="E7" s="115" t="n">
        <v>0.7</v>
      </c>
      <c r="F7" s="115" t="n">
        <v>0.4</v>
      </c>
      <c r="G7" s="115" t="n">
        <v>2.65</v>
      </c>
      <c r="H7" s="114" t="n">
        <v>10</v>
      </c>
      <c r="I7" s="115" t="n">
        <v>0.15</v>
      </c>
      <c r="J7" s="114" t="n">
        <v>10</v>
      </c>
      <c r="K7" s="115" t="n">
        <v>0.15</v>
      </c>
      <c r="L7" s="114" t="n">
        <v>10</v>
      </c>
      <c r="M7" s="115" t="n">
        <v>0.15</v>
      </c>
      <c r="N7" s="114" t="n">
        <v>10</v>
      </c>
      <c r="O7" s="115" t="n">
        <v>0.15</v>
      </c>
      <c r="P7" s="121"/>
      <c r="Q7" s="121"/>
      <c r="R7" s="116" t="n">
        <f aca="false">IF(NOT(ISNUMBER(B7)),0,2*C7*(INT(B7/I7)+1)*(E7+75*H7/1000)*VLOOKUP(H7,'TABELA DE PESOS'!$A$2:$B$9,2,FALSE()))</f>
        <v>0</v>
      </c>
      <c r="S7" s="116" t="n">
        <f aca="false">IF(NOT(ISNUMBER(B7)),0,2*C7*(INT(E7/K7)+1)*(B7+IF(B7&gt;12,50*J7/1000,0))*VLOOKUP(J7,'TABELA DE PESOS'!$A$2:$B$9,2,FALSE()))</f>
        <v>0</v>
      </c>
      <c r="T7" s="116" t="n">
        <f aca="false">IF(NOT(ISNUMBER(B7)),0,C7*((INT(B7/M7)+1)*(G7-0.1)+(INT(G7/M7)+1)*(B7+IF(B7&gt;12,50*L7/1000,0)))*VLOOKUP(L7,'TABELA DE PESOS'!$A$2:$B$9,2,FALSE()))</f>
        <v>0</v>
      </c>
      <c r="U7" s="116" t="n">
        <f aca="false">IF(NOT(ISNUMBER(B7)),0,C7*((INT(B7/O7)+1)*(G7-0.1)+(INT(G7/O7)+1)*(B7+IF(B7&gt;12,50*N7/1000,0)))*VLOOKUP(N7,'TABELA DE PESOS'!$A$2:$B$9,2,FALSE()))</f>
        <v>0</v>
      </c>
      <c r="V7" s="116" t="n">
        <f aca="false">IF(OR(NOT(ISNUMBER(B7)),P7=""),0,C7*(INT(B7/Q7)+1)*(2*(G7-0.1)+2*(F7-0.1)+2*10*P7/1000)*VLOOKUP(P7,'TABELA DE PESOS'!$A$2:$B$9,2,FALSE()))</f>
        <v>0</v>
      </c>
      <c r="W7" s="117" t="n">
        <f aca="false">R7+S7+T7+U7+V7</f>
        <v>0</v>
      </c>
      <c r="X7" s="118" t="n">
        <f aca="false">IF(NOT(ISNUMBER(B7)),0,C7*D7*E7*B7)</f>
        <v>0</v>
      </c>
      <c r="Y7" s="118" t="n">
        <f aca="false">IF(NOT(ISNUMBER(B7)),0,C7*G7*F7*B7)</f>
        <v>0</v>
      </c>
      <c r="Z7" s="118" t="n">
        <f aca="false">IF(NOT(ISNUMBER(B7)),0,C7*G7*0.05*B7)</f>
        <v>0</v>
      </c>
      <c r="AA7" s="119" t="n">
        <f aca="false">IF(NOT(ISNUMBER(B7)),0,C7*2*E7*B7)</f>
        <v>0</v>
      </c>
      <c r="AB7" s="120" t="s">
        <v>256</v>
      </c>
    </row>
    <row r="8" customFormat="false" ht="15" hidden="false" customHeight="true" outlineLevel="0" collapsed="false">
      <c r="A8" s="112" t="s">
        <v>257</v>
      </c>
      <c r="B8" s="113" t="s">
        <v>255</v>
      </c>
      <c r="C8" s="114" t="n">
        <v>1</v>
      </c>
      <c r="D8" s="115" t="n">
        <v>0.2</v>
      </c>
      <c r="E8" s="115" t="n">
        <v>0.7</v>
      </c>
      <c r="F8" s="115" t="n">
        <v>0.4</v>
      </c>
      <c r="G8" s="115" t="n">
        <v>1.85</v>
      </c>
      <c r="H8" s="114" t="n">
        <v>10</v>
      </c>
      <c r="I8" s="115" t="n">
        <v>0.15</v>
      </c>
      <c r="J8" s="114" t="n">
        <v>10</v>
      </c>
      <c r="K8" s="115" t="n">
        <v>0.15</v>
      </c>
      <c r="L8" s="114" t="n">
        <v>10</v>
      </c>
      <c r="M8" s="115" t="n">
        <v>0.15</v>
      </c>
      <c r="N8" s="114" t="n">
        <v>10</v>
      </c>
      <c r="O8" s="115" t="n">
        <v>0.15</v>
      </c>
      <c r="P8" s="121"/>
      <c r="Q8" s="121"/>
      <c r="R8" s="116" t="n">
        <f aca="false">IF(NOT(ISNUMBER(B8)),0,2*C8*(INT(B8/I8)+1)*(E8+75*H8/1000)*VLOOKUP(H8,'TABELA DE PESOS'!$A$2:$B$9,2,FALSE()))</f>
        <v>0</v>
      </c>
      <c r="S8" s="116" t="n">
        <f aca="false">IF(NOT(ISNUMBER(B8)),0,2*C8*(INT(E8/K8)+1)*(B8+IF(B8&gt;12,50*J8/1000,0))*VLOOKUP(J8,'TABELA DE PESOS'!$A$2:$B$9,2,FALSE()))</f>
        <v>0</v>
      </c>
      <c r="T8" s="116" t="n">
        <f aca="false">IF(NOT(ISNUMBER(B8)),0,C8*((INT(B8/M8)+1)*(G8-0.1)+(INT(G8/M8)+1)*(B8+IF(B8&gt;12,50*L8/1000,0)))*VLOOKUP(L8,'TABELA DE PESOS'!$A$2:$B$9,2,FALSE()))</f>
        <v>0</v>
      </c>
      <c r="U8" s="116" t="n">
        <f aca="false">IF(NOT(ISNUMBER(B8)),0,C8*((INT(B8/O8)+1)*(G8-0.1)+(INT(G8/O8)+1)*(B8+IF(B8&gt;12,50*N8/1000,0)))*VLOOKUP(N8,'TABELA DE PESOS'!$A$2:$B$9,2,FALSE()))</f>
        <v>0</v>
      </c>
      <c r="V8" s="116" t="n">
        <f aca="false">IF(OR(NOT(ISNUMBER(B8)),P8=""),0,C8*(INT(B8/Q8)+1)*(2*(G8-0.1)+2*(F8-0.1)+2*10*P8/1000)*VLOOKUP(P8,'TABELA DE PESOS'!$A$2:$B$9,2,FALSE()))</f>
        <v>0</v>
      </c>
      <c r="W8" s="117" t="n">
        <f aca="false">R8+S8+T8+U8+V8</f>
        <v>0</v>
      </c>
      <c r="X8" s="118" t="n">
        <f aca="false">IF(NOT(ISNUMBER(B8)),0,C8*D8*E8*B8)</f>
        <v>0</v>
      </c>
      <c r="Y8" s="118" t="n">
        <f aca="false">IF(NOT(ISNUMBER(B8)),0,C8*G8*F8*B8)</f>
        <v>0</v>
      </c>
      <c r="Z8" s="118" t="n">
        <f aca="false">IF(NOT(ISNUMBER(B8)),0,C8*G8*0.05*B8)</f>
        <v>0</v>
      </c>
      <c r="AA8" s="119" t="n">
        <f aca="false">IF(NOT(ISNUMBER(B8)),0,C8*2*E8*B8)</f>
        <v>0</v>
      </c>
      <c r="AB8" s="120" t="s">
        <v>256</v>
      </c>
    </row>
    <row r="9" customFormat="false" ht="15" hidden="false" customHeight="true" outlineLevel="0" collapsed="false">
      <c r="A9" s="112" t="s">
        <v>258</v>
      </c>
      <c r="B9" s="113" t="s">
        <v>255</v>
      </c>
      <c r="C9" s="114" t="n">
        <v>1</v>
      </c>
      <c r="D9" s="115" t="n">
        <v>0.2</v>
      </c>
      <c r="E9" s="115" t="n">
        <v>0.9</v>
      </c>
      <c r="F9" s="115" t="n">
        <v>0.5</v>
      </c>
      <c r="G9" s="115" t="n">
        <v>2.35</v>
      </c>
      <c r="H9" s="114" t="n">
        <v>10</v>
      </c>
      <c r="I9" s="115" t="n">
        <v>0.15</v>
      </c>
      <c r="J9" s="114" t="n">
        <v>10</v>
      </c>
      <c r="K9" s="115" t="n">
        <v>0.15</v>
      </c>
      <c r="L9" s="114" t="n">
        <v>10</v>
      </c>
      <c r="M9" s="115" t="n">
        <v>0.15</v>
      </c>
      <c r="N9" s="114" t="n">
        <v>10</v>
      </c>
      <c r="O9" s="115" t="n">
        <v>0.15</v>
      </c>
      <c r="P9" s="121"/>
      <c r="Q9" s="121"/>
      <c r="R9" s="116" t="n">
        <f aca="false">IF(NOT(ISNUMBER(B9)),0,2*C9*(INT(B9/I9)+1)*(E9+75*H9/1000)*VLOOKUP(H9,'TABELA DE PESOS'!$A$2:$B$9,2,FALSE()))</f>
        <v>0</v>
      </c>
      <c r="S9" s="116" t="n">
        <f aca="false">IF(NOT(ISNUMBER(B9)),0,2*C9*(INT(E9/K9)+1)*(B9+IF(B9&gt;12,50*J9/1000,0))*VLOOKUP(J9,'TABELA DE PESOS'!$A$2:$B$9,2,FALSE()))</f>
        <v>0</v>
      </c>
      <c r="T9" s="116" t="n">
        <f aca="false">IF(NOT(ISNUMBER(B9)),0,C9*((INT(B9/M9)+1)*(G9-0.1)+(INT(G9/M9)+1)*(B9+IF(B9&gt;12,50*L9/1000,0)))*VLOOKUP(L9,'TABELA DE PESOS'!$A$2:$B$9,2,FALSE()))</f>
        <v>0</v>
      </c>
      <c r="U9" s="116" t="n">
        <f aca="false">IF(NOT(ISNUMBER(B9)),0,C9*((INT(B9/O9)+1)*(G9-0.1)+(INT(G9/O9)+1)*(B9+IF(B9&gt;12,50*N9/1000,0)))*VLOOKUP(N9,'TABELA DE PESOS'!$A$2:$B$9,2,FALSE()))</f>
        <v>0</v>
      </c>
      <c r="V9" s="116" t="n">
        <f aca="false">IF(OR(NOT(ISNUMBER(B9)),P9=""),0,C9*(INT(B9/Q9)+1)*(2*(G9-0.1)+2*(F9-0.1)+2*10*P9/1000)*VLOOKUP(P9,'TABELA DE PESOS'!$A$2:$B$9,2,FALSE()))</f>
        <v>0</v>
      </c>
      <c r="W9" s="117" t="n">
        <f aca="false">R9+S9+T9+U9+V9</f>
        <v>0</v>
      </c>
      <c r="X9" s="118" t="n">
        <f aca="false">IF(NOT(ISNUMBER(B9)),0,C9*D9*E9*B9)</f>
        <v>0</v>
      </c>
      <c r="Y9" s="118" t="n">
        <f aca="false">IF(NOT(ISNUMBER(B9)),0,C9*G9*F9*B9)</f>
        <v>0</v>
      </c>
      <c r="Z9" s="118" t="n">
        <f aca="false">IF(NOT(ISNUMBER(B9)),0,C9*G9*0.05*B9)</f>
        <v>0</v>
      </c>
      <c r="AA9" s="119" t="n">
        <f aca="false">IF(NOT(ISNUMBER(B9)),0,C9*2*E9*B9)</f>
        <v>0</v>
      </c>
      <c r="AB9" s="120" t="s">
        <v>256</v>
      </c>
    </row>
    <row r="10" customFormat="false" ht="15" hidden="false" customHeight="true" outlineLevel="0" collapsed="false">
      <c r="A10" s="112" t="s">
        <v>259</v>
      </c>
      <c r="B10" s="113" t="n">
        <v>63</v>
      </c>
      <c r="C10" s="114" t="n">
        <v>1</v>
      </c>
      <c r="D10" s="115" t="n">
        <v>0.2</v>
      </c>
      <c r="E10" s="115" t="n">
        <v>3.15</v>
      </c>
      <c r="F10" s="115" t="n">
        <v>0.4</v>
      </c>
      <c r="G10" s="115" t="n">
        <v>0.8</v>
      </c>
      <c r="H10" s="114" t="n">
        <v>10</v>
      </c>
      <c r="I10" s="115" t="n">
        <v>0.2</v>
      </c>
      <c r="J10" s="114" t="n">
        <v>10</v>
      </c>
      <c r="K10" s="115" t="n">
        <v>0.15</v>
      </c>
      <c r="L10" s="114" t="n">
        <v>10</v>
      </c>
      <c r="M10" s="115" t="n">
        <v>0.1</v>
      </c>
      <c r="N10" s="114" t="n">
        <v>10</v>
      </c>
      <c r="O10" s="115" t="n">
        <v>0.2</v>
      </c>
      <c r="P10" s="121"/>
      <c r="Q10" s="121"/>
      <c r="R10" s="116" t="n">
        <f aca="false">IF(NOT(ISNUMBER(B10)),0,2*C10*(INT(B10/I10)+1)*(E10+75*H10/1000)*VLOOKUP(H10,'TABELA DE PESOS'!$A$2:$B$9,2,FALSE()))</f>
        <v>1520.7816</v>
      </c>
      <c r="S10" s="116" t="n">
        <f aca="false">IF(NOT(ISNUMBER(B10)),0,2*C10*(INT(E10/K10)+1)*(B10+IF(B10&gt;12,50*J10/1000,0))*VLOOKUP(J10,'TABELA DE PESOS'!$A$2:$B$9,2,FALSE()))</f>
        <v>1723.898</v>
      </c>
      <c r="T10" s="116" t="n">
        <f aca="false">IF(NOT(ISNUMBER(B10)),0,C10*((INT(B10/M10)+1)*(G10-0.1)+(INT(G10/M10)+1)*(B10+IF(B10&gt;12,50*L10/1000,0)))*VLOOKUP(L10,'TABELA DE PESOS'!$A$2:$B$9,2,FALSE()))</f>
        <v>625.1444</v>
      </c>
      <c r="U10" s="116" t="n">
        <f aca="false">IF(NOT(ISNUMBER(B10)),0,C10*((INT(B10/O10)+1)*(G10-0.1)+(INT(G10/O10)+1)*(B10+IF(B10&gt;12,50*N10/1000,0)))*VLOOKUP(N10,'TABELA DE PESOS'!$A$2:$B$9,2,FALSE()))</f>
        <v>332.3779</v>
      </c>
      <c r="V10" s="116" t="n">
        <f aca="false">IF(OR(NOT(ISNUMBER(B10)),P10=""),0,C10*(INT(B10/Q10)+1)*(2*(G10-0.1)+2*(F10-0.1)+2*10*P10/1000)*VLOOKUP(P10,'TABELA DE PESOS'!$A$2:$B$9,2,FALSE()))</f>
        <v>0</v>
      </c>
      <c r="W10" s="117" t="n">
        <f aca="false">R10+S10+T10+U10+V10</f>
        <v>4202.2019</v>
      </c>
      <c r="X10" s="118" t="n">
        <f aca="false">IF(NOT(ISNUMBER(B10)),0,C10*D10*E10*B10)</f>
        <v>39.69</v>
      </c>
      <c r="Y10" s="118" t="n">
        <f aca="false">IF(NOT(ISNUMBER(B10)),0,C10*G10*F10*B10)</f>
        <v>20.16</v>
      </c>
      <c r="Z10" s="118" t="n">
        <f aca="false">IF(NOT(ISNUMBER(B10)),0,C10*G10*0.05*B10)</f>
        <v>2.52</v>
      </c>
      <c r="AA10" s="119" t="n">
        <f aca="false">IF(NOT(ISNUMBER(B10)),0,C10*2*E10*B10)</f>
        <v>396.9</v>
      </c>
      <c r="AB10" s="120" t="s">
        <v>256</v>
      </c>
    </row>
    <row r="11" customFormat="false" ht="15" hidden="false" customHeight="true" outlineLevel="0" collapsed="false">
      <c r="A11" s="112" t="s">
        <v>260</v>
      </c>
      <c r="B11" s="113" t="s">
        <v>255</v>
      </c>
      <c r="C11" s="114" t="n">
        <v>1</v>
      </c>
      <c r="D11" s="115" t="n">
        <v>0.2</v>
      </c>
      <c r="E11" s="115" t="n">
        <v>1.6</v>
      </c>
      <c r="F11" s="115" t="n">
        <v>0.4</v>
      </c>
      <c r="G11" s="115" t="n">
        <v>2.15</v>
      </c>
      <c r="H11" s="114" t="n">
        <v>10</v>
      </c>
      <c r="I11" s="115" t="n">
        <v>0.15</v>
      </c>
      <c r="J11" s="114" t="n">
        <v>10</v>
      </c>
      <c r="K11" s="115" t="n">
        <v>0.15</v>
      </c>
      <c r="L11" s="114" t="n">
        <v>12</v>
      </c>
      <c r="M11" s="115" t="n">
        <v>0.15</v>
      </c>
      <c r="N11" s="114" t="n">
        <v>10</v>
      </c>
      <c r="O11" s="115" t="n">
        <v>0.15</v>
      </c>
      <c r="P11" s="121"/>
      <c r="Q11" s="121"/>
      <c r="R11" s="116" t="n">
        <f aca="false">IF(NOT(ISNUMBER(B11)),0,2*C11*(INT(B11/I11)+1)*(E11+75*H11/1000)*VLOOKUP(H11,'TABELA DE PESOS'!$A$2:$B$9,2,FALSE()))</f>
        <v>0</v>
      </c>
      <c r="S11" s="116" t="n">
        <f aca="false">IF(NOT(ISNUMBER(B11)),0,2*C11*(INT(E11/K11)+1)*(B11+IF(B11&gt;12,50*J11/1000,0))*VLOOKUP(J11,'TABELA DE PESOS'!$A$2:$B$9,2,FALSE()))</f>
        <v>0</v>
      </c>
      <c r="T11" s="116" t="n">
        <f aca="false">IF(NOT(ISNUMBER(B11)),0,C11*((INT(B11/M11)+1)*(G11-0.1)+(INT(G11/M11)+1)*(B11+IF(B11&gt;12,50*L11/1000,0)))*VLOOKUP(L11,'TABELA DE PESOS'!$A$2:$B$9,2,FALSE()))</f>
        <v>0</v>
      </c>
      <c r="U11" s="116" t="n">
        <f aca="false">IF(NOT(ISNUMBER(B11)),0,C11*((INT(B11/O11)+1)*(G11-0.1)+(INT(G11/O11)+1)*(B11+IF(B11&gt;12,50*N11/1000,0)))*VLOOKUP(N11,'TABELA DE PESOS'!$A$2:$B$9,2,FALSE()))</f>
        <v>0</v>
      </c>
      <c r="V11" s="116" t="n">
        <f aca="false">IF(OR(NOT(ISNUMBER(B11)),P11=""),0,C11*(INT(B11/Q11)+1)*(2*(G11-0.1)+2*(F11-0.1)+2*10*P11/1000)*VLOOKUP(P11,'TABELA DE PESOS'!$A$2:$B$9,2,FALSE()))</f>
        <v>0</v>
      </c>
      <c r="W11" s="117" t="n">
        <f aca="false">R11+S11+T11+U11+V11</f>
        <v>0</v>
      </c>
      <c r="X11" s="118" t="n">
        <f aca="false">IF(NOT(ISNUMBER(B11)),0,C11*D11*E11*B11)</f>
        <v>0</v>
      </c>
      <c r="Y11" s="118" t="n">
        <f aca="false">IF(NOT(ISNUMBER(B11)),0,C11*G11*F11*B11)</f>
        <v>0</v>
      </c>
      <c r="Z11" s="118" t="n">
        <f aca="false">IF(NOT(ISNUMBER(B11)),0,C11*G11*0.05*B11)</f>
        <v>0</v>
      </c>
      <c r="AA11" s="119" t="n">
        <f aca="false">IF(NOT(ISNUMBER(B11)),0,C11*2*E11*B11)</f>
        <v>0</v>
      </c>
      <c r="AB11" s="120" t="s">
        <v>256</v>
      </c>
    </row>
    <row r="12" customFormat="false" ht="36" hidden="false" customHeight="true" outlineLevel="0" collapsed="false">
      <c r="A12" s="122" t="s">
        <v>261</v>
      </c>
      <c r="B12" s="123"/>
      <c r="C12" s="123"/>
      <c r="D12" s="123"/>
      <c r="E12" s="123"/>
      <c r="F12" s="123"/>
      <c r="G12" s="123"/>
      <c r="H12" s="123"/>
      <c r="I12" s="123"/>
      <c r="J12" s="123"/>
      <c r="K12" s="123"/>
      <c r="L12" s="123"/>
      <c r="M12" s="123"/>
      <c r="N12" s="123"/>
      <c r="O12" s="123"/>
      <c r="P12" s="123"/>
      <c r="Q12" s="123"/>
      <c r="R12" s="117" t="n">
        <f aca="false">SUM(R6:R11)</f>
        <v>1732.536</v>
      </c>
      <c r="S12" s="117" t="n">
        <f aca="false">SUM(S6:S11)</f>
        <v>1899.54556</v>
      </c>
      <c r="T12" s="117" t="n">
        <f aca="false">SUM(T6:T11)</f>
        <v>668.09994</v>
      </c>
      <c r="U12" s="117" t="n">
        <f aca="false">SUM(U6:U11)</f>
        <v>375.33344</v>
      </c>
      <c r="V12" s="117" t="n">
        <f aca="false">SUM(V6:V11)</f>
        <v>37.5408</v>
      </c>
      <c r="W12" s="117" t="n">
        <f aca="false">SUM(W6:W11)</f>
        <v>4713.05574</v>
      </c>
      <c r="X12" s="124" t="n">
        <f aca="false">SUM(X6:X11)</f>
        <v>43.7661</v>
      </c>
      <c r="Y12" s="124" t="n">
        <f aca="false">SUM(Y6:Y11)</f>
        <v>22.2304</v>
      </c>
      <c r="Z12" s="124" t="n">
        <f aca="false">SUM(Z6:Z11)</f>
        <v>2.7788</v>
      </c>
      <c r="AA12" s="125" t="n">
        <f aca="false">SUM(AA6:AA11)</f>
        <v>437.661</v>
      </c>
      <c r="AB12" s="126"/>
    </row>
    <row r="13" customFormat="false" ht="15" hidden="false" customHeight="true" outlineLevel="0" collapsed="false">
      <c r="A13" s="108"/>
      <c r="B13" s="108"/>
      <c r="C13" s="108"/>
      <c r="D13" s="108"/>
      <c r="E13" s="108"/>
      <c r="F13" s="108"/>
      <c r="G13" s="108"/>
      <c r="H13" s="108"/>
      <c r="I13" s="108"/>
      <c r="J13" s="108"/>
      <c r="K13" s="108"/>
      <c r="L13" s="108"/>
      <c r="M13" s="108"/>
      <c r="N13" s="108"/>
      <c r="O13" s="108"/>
      <c r="P13" s="108"/>
      <c r="Q13" s="108"/>
      <c r="R13" s="108"/>
      <c r="S13" s="108"/>
      <c r="T13" s="108"/>
      <c r="U13" s="108"/>
      <c r="V13" s="108"/>
    </row>
    <row r="14" customFormat="false" ht="19.5" hidden="false" customHeight="true" outlineLevel="0" collapsed="false">
      <c r="A14" s="127" t="s">
        <v>262</v>
      </c>
      <c r="B14" s="127"/>
      <c r="C14" s="127"/>
      <c r="D14" s="127"/>
      <c r="E14" s="127"/>
      <c r="F14" s="127"/>
      <c r="G14" s="127"/>
      <c r="H14" s="127"/>
      <c r="I14" s="127"/>
      <c r="J14" s="127"/>
      <c r="K14" s="127"/>
      <c r="L14" s="127"/>
      <c r="M14" s="127"/>
      <c r="N14" s="127"/>
      <c r="O14" s="127"/>
      <c r="P14" s="127"/>
      <c r="Q14" s="127"/>
      <c r="R14" s="127"/>
      <c r="S14" s="127"/>
      <c r="T14" s="127"/>
      <c r="U14" s="108"/>
      <c r="V14" s="108"/>
    </row>
    <row r="15" customFormat="false" ht="39.75" hidden="false" customHeight="true" outlineLevel="0" collapsed="false">
      <c r="A15" s="110" t="s">
        <v>226</v>
      </c>
      <c r="B15" s="110" t="s">
        <v>90</v>
      </c>
      <c r="C15" s="110" t="s">
        <v>227</v>
      </c>
      <c r="D15" s="110" t="s">
        <v>229</v>
      </c>
      <c r="E15" s="110" t="s">
        <v>263</v>
      </c>
      <c r="F15" s="110" t="s">
        <v>228</v>
      </c>
      <c r="G15" s="110" t="s">
        <v>264</v>
      </c>
      <c r="H15" s="110" t="s">
        <v>265</v>
      </c>
      <c r="I15" s="110" t="s">
        <v>266</v>
      </c>
      <c r="J15" s="110" t="s">
        <v>267</v>
      </c>
      <c r="K15" s="110" t="s">
        <v>241</v>
      </c>
      <c r="L15" s="110" t="s">
        <v>242</v>
      </c>
      <c r="M15" s="110" t="s">
        <v>268</v>
      </c>
      <c r="N15" s="110" t="s">
        <v>269</v>
      </c>
      <c r="O15" s="110" t="s">
        <v>270</v>
      </c>
      <c r="P15" s="110" t="s">
        <v>247</v>
      </c>
      <c r="Q15" s="110" t="s">
        <v>130</v>
      </c>
      <c r="R15" s="110" t="s">
        <v>205</v>
      </c>
      <c r="S15" s="110" t="s">
        <v>207</v>
      </c>
      <c r="T15" s="110" t="s">
        <v>251</v>
      </c>
      <c r="U15" s="108"/>
      <c r="V15" s="108"/>
    </row>
    <row r="16" customFormat="false" ht="15" hidden="false" customHeight="true" outlineLevel="0" collapsed="false">
      <c r="A16" s="121" t="s">
        <v>271</v>
      </c>
      <c r="B16" s="121" t="s">
        <v>272</v>
      </c>
      <c r="C16" s="115" t="n">
        <v>0.8</v>
      </c>
      <c r="D16" s="115" t="n">
        <v>0.4</v>
      </c>
      <c r="E16" s="113" t="n">
        <v>7.2</v>
      </c>
      <c r="F16" s="114" t="n">
        <v>1</v>
      </c>
      <c r="G16" s="114" t="n">
        <v>16</v>
      </c>
      <c r="H16" s="115" t="n">
        <v>0.1</v>
      </c>
      <c r="I16" s="114" t="n">
        <v>10</v>
      </c>
      <c r="J16" s="115" t="n">
        <v>0.2</v>
      </c>
      <c r="K16" s="114" t="n">
        <v>8</v>
      </c>
      <c r="L16" s="115" t="n">
        <v>0.15</v>
      </c>
      <c r="M16" s="115" t="n">
        <v>0.03</v>
      </c>
      <c r="N16" s="116" t="n">
        <f aca="false">IF(NOT(ISNUMBER(E16)),0,2*F16*(INT(C16/H16)+1)*(E16+50*G16/1000)*VLOOKUP(G16,'TABELA DE PESOS'!$A$2:$B$9,2,FALSE()))</f>
        <v>227.232</v>
      </c>
      <c r="O16" s="116" t="n">
        <f aca="false">IF(NOT(ISNUMBER(E16)),0,2*F16*(INT(E16/J16)+1)*C16*VLOOKUP(I16,'TABELA DE PESOS'!$A$2:$B$9,2,FALSE()))</f>
        <v>36.5264</v>
      </c>
      <c r="P16" s="116" t="n">
        <f aca="false">IF(NOT(ISNUMBER(E16)),0,F16*(INT(E16/L16)+1)*(2*(C16-2*M16)+2*(D16-2*M16)+2*10*K16/1000)*VLOOKUP(K16,'TABELA DE PESOS'!$A$2:$B$9,2,FALSE()))</f>
        <v>44.9036</v>
      </c>
      <c r="Q16" s="117" t="n">
        <f aca="false">N16+O16+P16</f>
        <v>308.662</v>
      </c>
      <c r="R16" s="118" t="n">
        <f aca="false">IF(NOT(ISNUMBER(E16)),0,F16*D16*E16*C16)</f>
        <v>2.304</v>
      </c>
      <c r="S16" s="119" t="n">
        <f aca="false">IF(NOT(ISNUMBER(E16)),0,F16*2*E16*C16)</f>
        <v>11.52</v>
      </c>
      <c r="T16" s="120" t="s">
        <v>273</v>
      </c>
      <c r="U16" s="108"/>
      <c r="V16" s="108"/>
    </row>
    <row r="17" customFormat="false" ht="15" hidden="false" customHeight="true" outlineLevel="0" collapsed="false">
      <c r="A17" s="121" t="s">
        <v>271</v>
      </c>
      <c r="B17" s="121" t="s">
        <v>274</v>
      </c>
      <c r="C17" s="115" t="n">
        <v>1.98</v>
      </c>
      <c r="D17" s="115" t="n">
        <v>0.3</v>
      </c>
      <c r="E17" s="113" t="s">
        <v>255</v>
      </c>
      <c r="F17" s="114" t="n">
        <v>1</v>
      </c>
      <c r="G17" s="114" t="n">
        <v>16</v>
      </c>
      <c r="H17" s="115" t="n">
        <v>0.1</v>
      </c>
      <c r="I17" s="114" t="n">
        <v>10</v>
      </c>
      <c r="J17" s="115" t="n">
        <v>0.2</v>
      </c>
      <c r="K17" s="114" t="n">
        <v>8</v>
      </c>
      <c r="L17" s="115" t="n">
        <v>0.15</v>
      </c>
      <c r="M17" s="115" t="n">
        <v>0.03</v>
      </c>
      <c r="N17" s="116" t="n">
        <f aca="false">IF(NOT(ISNUMBER(E17)),0,2*F17*(INT(C17/H17)+1)*(E17+50*G17/1000)*VLOOKUP(G17,'TABELA DE PESOS'!$A$2:$B$9,2,FALSE()))</f>
        <v>0</v>
      </c>
      <c r="O17" s="116" t="n">
        <f aca="false">IF(NOT(ISNUMBER(E17)),0,2*F17*(INT(E17/J17)+1)*C17*VLOOKUP(I17,'TABELA DE PESOS'!$A$2:$B$9,2,FALSE()))</f>
        <v>0</v>
      </c>
      <c r="P17" s="116" t="n">
        <f aca="false">IF(NOT(ISNUMBER(E17)),0,F17*(INT(E17/L17)+1)*(2*(C17-2*M17)+2*(D17-2*M17)+2*10*K17/1000)*VLOOKUP(K17,'TABELA DE PESOS'!$A$2:$B$9,2,FALSE()))</f>
        <v>0</v>
      </c>
      <c r="Q17" s="117" t="n">
        <f aca="false">N17+O17+P17</f>
        <v>0</v>
      </c>
      <c r="R17" s="118" t="n">
        <f aca="false">IF(NOT(ISNUMBER(E17)),0,F17*D17*E17*C17)</f>
        <v>0</v>
      </c>
      <c r="S17" s="119" t="n">
        <f aca="false">IF(NOT(ISNUMBER(E17)),0,F17*2*E17*C17)</f>
        <v>0</v>
      </c>
      <c r="T17" s="120" t="s">
        <v>273</v>
      </c>
      <c r="U17" s="108"/>
      <c r="V17" s="108"/>
    </row>
    <row r="18" customFormat="false" ht="24.75" hidden="false" customHeight="true" outlineLevel="0" collapsed="false">
      <c r="A18" s="128" t="s">
        <v>275</v>
      </c>
      <c r="B18" s="123"/>
      <c r="C18" s="123"/>
      <c r="D18" s="123"/>
      <c r="E18" s="123"/>
      <c r="F18" s="123"/>
      <c r="G18" s="123"/>
      <c r="H18" s="123"/>
      <c r="I18" s="123"/>
      <c r="J18" s="123"/>
      <c r="K18" s="123"/>
      <c r="L18" s="123"/>
      <c r="M18" s="123"/>
      <c r="N18" s="117" t="n">
        <f aca="false">SUM(N16:N17)</f>
        <v>227.232</v>
      </c>
      <c r="O18" s="117" t="n">
        <f aca="false">SUM(O16:O17)</f>
        <v>36.5264</v>
      </c>
      <c r="P18" s="117" t="n">
        <f aca="false">SUM(P16:P17)</f>
        <v>44.9036</v>
      </c>
      <c r="Q18" s="117" t="n">
        <f aca="false">SUM(Q16:Q17)</f>
        <v>308.662</v>
      </c>
      <c r="R18" s="124" t="n">
        <f aca="false">SUM(R16:R17)</f>
        <v>2.304</v>
      </c>
      <c r="S18" s="125" t="n">
        <f aca="false">SUM(S16:S17)</f>
        <v>11.52</v>
      </c>
      <c r="T18" s="123"/>
      <c r="U18" s="108"/>
      <c r="V18" s="108"/>
    </row>
    <row r="19" customFormat="false" ht="30" hidden="false" customHeight="true" outlineLevel="0" collapsed="false">
      <c r="A19" s="108"/>
      <c r="B19" s="110" t="s">
        <v>276</v>
      </c>
      <c r="C19" s="110" t="s">
        <v>277</v>
      </c>
      <c r="D19" s="110" t="s">
        <v>278</v>
      </c>
      <c r="E19" s="110" t="s">
        <v>279</v>
      </c>
      <c r="F19" s="110" t="s">
        <v>280</v>
      </c>
      <c r="G19" s="110" t="s">
        <v>207</v>
      </c>
      <c r="H19" s="108"/>
      <c r="I19" s="108"/>
      <c r="J19" s="108"/>
      <c r="K19" s="108"/>
      <c r="L19" s="108"/>
      <c r="M19" s="108"/>
      <c r="N19" s="108"/>
      <c r="O19" s="108"/>
      <c r="P19" s="108"/>
      <c r="Q19" s="108"/>
      <c r="R19" s="108"/>
      <c r="S19" s="108"/>
      <c r="T19" s="108"/>
      <c r="U19" s="108"/>
      <c r="V19" s="108"/>
    </row>
    <row r="20" customFormat="false" ht="27" hidden="false" customHeight="true" outlineLevel="0" collapsed="false">
      <c r="A20" s="129" t="s">
        <v>281</v>
      </c>
      <c r="B20" s="130" t="n">
        <f aca="false">W12+Q18</f>
        <v>5021.71774</v>
      </c>
      <c r="C20" s="131" t="n">
        <f aca="false">X12</f>
        <v>43.7661</v>
      </c>
      <c r="D20" s="131" t="n">
        <f aca="false">Y12</f>
        <v>22.2304</v>
      </c>
      <c r="E20" s="131" t="n">
        <f aca="false">Z12</f>
        <v>2.7788</v>
      </c>
      <c r="F20" s="131" t="n">
        <f aca="false">C20+D20+E20+R18</f>
        <v>71.0793</v>
      </c>
      <c r="G20" s="132" t="n">
        <f aca="false">AA12+S18</f>
        <v>449.181</v>
      </c>
      <c r="H20" s="108"/>
      <c r="I20" s="108"/>
      <c r="J20" s="108"/>
      <c r="K20" s="108"/>
      <c r="L20" s="108"/>
      <c r="M20" s="108"/>
      <c r="N20" s="108"/>
      <c r="O20" s="108"/>
      <c r="P20" s="108"/>
      <c r="Q20" s="108"/>
      <c r="R20" s="108"/>
      <c r="S20" s="108"/>
      <c r="T20" s="108"/>
      <c r="U20" s="108"/>
      <c r="V20" s="108"/>
    </row>
    <row r="21" customFormat="false" ht="15" hidden="false" customHeight="true" outlineLevel="0" collapsed="false">
      <c r="A21" s="108"/>
      <c r="B21" s="108"/>
      <c r="C21" s="108"/>
      <c r="D21" s="108"/>
      <c r="E21" s="108"/>
      <c r="F21" s="108"/>
      <c r="G21" s="108"/>
      <c r="H21" s="108"/>
      <c r="I21" s="108"/>
      <c r="J21" s="108"/>
      <c r="K21" s="108"/>
      <c r="L21" s="108"/>
      <c r="M21" s="108"/>
      <c r="N21" s="108"/>
      <c r="O21" s="108"/>
      <c r="P21" s="108"/>
      <c r="Q21" s="108"/>
      <c r="R21" s="108"/>
      <c r="S21" s="108"/>
      <c r="T21" s="108"/>
      <c r="U21" s="108"/>
      <c r="V21" s="108"/>
    </row>
    <row r="22" customFormat="false" ht="15" hidden="false" customHeight="true" outlineLevel="0" collapsed="false">
      <c r="A22" s="133" t="s">
        <v>282</v>
      </c>
      <c r="B22" s="133"/>
      <c r="C22" s="133"/>
      <c r="D22" s="133"/>
      <c r="E22" s="133"/>
      <c r="F22" s="133"/>
      <c r="G22" s="133"/>
      <c r="H22" s="133"/>
      <c r="I22" s="133"/>
      <c r="J22" s="133"/>
      <c r="K22" s="108"/>
      <c r="L22" s="108"/>
      <c r="M22" s="108"/>
      <c r="N22" s="108"/>
      <c r="O22" s="108"/>
      <c r="P22" s="108"/>
      <c r="Q22" s="108"/>
      <c r="R22" s="108"/>
      <c r="S22" s="108"/>
      <c r="T22" s="108"/>
      <c r="U22" s="108"/>
      <c r="V22" s="108"/>
    </row>
    <row r="23" customFormat="false" ht="15" hidden="false" customHeight="true" outlineLevel="0" collapsed="false">
      <c r="A23" s="134" t="s">
        <v>283</v>
      </c>
      <c r="B23" s="134"/>
      <c r="C23" s="134"/>
      <c r="D23" s="134"/>
      <c r="E23" s="134"/>
      <c r="F23" s="134"/>
      <c r="G23" s="134"/>
      <c r="H23" s="134"/>
      <c r="I23" s="134"/>
      <c r="J23" s="134"/>
      <c r="K23" s="108"/>
      <c r="L23" s="108"/>
      <c r="M23" s="108"/>
      <c r="N23" s="108"/>
      <c r="O23" s="108"/>
      <c r="P23" s="108"/>
      <c r="Q23" s="108"/>
      <c r="R23" s="108"/>
      <c r="S23" s="108"/>
      <c r="T23" s="108"/>
      <c r="U23" s="108"/>
      <c r="V23" s="108"/>
    </row>
    <row r="24" customFormat="false" ht="15" hidden="false" customHeight="true" outlineLevel="0" collapsed="false">
      <c r="A24" s="134" t="s">
        <v>284</v>
      </c>
      <c r="B24" s="134"/>
      <c r="C24" s="134"/>
      <c r="D24" s="134"/>
      <c r="E24" s="134"/>
      <c r="F24" s="134"/>
      <c r="G24" s="134"/>
      <c r="H24" s="134"/>
      <c r="I24" s="134"/>
      <c r="J24" s="134"/>
      <c r="K24" s="108"/>
      <c r="L24" s="108"/>
      <c r="M24" s="108"/>
      <c r="N24" s="108"/>
      <c r="O24" s="108"/>
      <c r="P24" s="108"/>
      <c r="Q24" s="108"/>
      <c r="R24" s="108"/>
      <c r="S24" s="108"/>
      <c r="T24" s="108"/>
      <c r="U24" s="108"/>
      <c r="V24" s="108"/>
    </row>
    <row r="25" customFormat="false" ht="15" hidden="false" customHeight="true" outlineLevel="0" collapsed="false">
      <c r="A25" s="134" t="s">
        <v>285</v>
      </c>
      <c r="B25" s="134"/>
      <c r="C25" s="134"/>
      <c r="D25" s="134"/>
      <c r="E25" s="134"/>
      <c r="F25" s="134"/>
      <c r="G25" s="134"/>
      <c r="H25" s="134"/>
      <c r="I25" s="134"/>
      <c r="J25" s="134"/>
      <c r="K25" s="108"/>
      <c r="L25" s="108"/>
      <c r="M25" s="108"/>
      <c r="N25" s="108"/>
      <c r="O25" s="108"/>
      <c r="P25" s="108"/>
      <c r="Q25" s="108"/>
      <c r="R25" s="108"/>
      <c r="S25" s="108"/>
      <c r="T25" s="108"/>
      <c r="U25" s="108"/>
      <c r="V25" s="108"/>
    </row>
    <row r="26" customFormat="false" ht="15" hidden="false" customHeight="true" outlineLevel="0" collapsed="false">
      <c r="A26" s="134" t="s">
        <v>286</v>
      </c>
      <c r="B26" s="134"/>
      <c r="C26" s="134"/>
      <c r="D26" s="134"/>
      <c r="E26" s="134"/>
      <c r="F26" s="134"/>
      <c r="G26" s="134"/>
      <c r="H26" s="134"/>
      <c r="I26" s="134"/>
      <c r="J26" s="134"/>
      <c r="K26" s="108"/>
      <c r="L26" s="108"/>
      <c r="M26" s="108"/>
      <c r="N26" s="108"/>
      <c r="O26" s="108"/>
      <c r="P26" s="108"/>
      <c r="Q26" s="108"/>
      <c r="R26" s="108"/>
      <c r="S26" s="108"/>
      <c r="T26" s="108"/>
      <c r="U26" s="108"/>
      <c r="V26" s="108"/>
    </row>
    <row r="27" customFormat="false" ht="15" hidden="false" customHeight="true" outlineLevel="0" collapsed="false">
      <c r="A27" s="134" t="s">
        <v>287</v>
      </c>
      <c r="B27" s="134"/>
      <c r="C27" s="134"/>
      <c r="D27" s="134"/>
      <c r="E27" s="134"/>
      <c r="F27" s="134"/>
      <c r="G27" s="134"/>
      <c r="H27" s="134"/>
      <c r="I27" s="134"/>
      <c r="J27" s="134"/>
    </row>
    <row r="28" customFormat="false" ht="15" hidden="false" customHeight="true" outlineLevel="0" collapsed="false">
      <c r="A28" s="134" t="s">
        <v>288</v>
      </c>
      <c r="B28" s="134"/>
      <c r="C28" s="134"/>
      <c r="D28" s="134"/>
      <c r="E28" s="134"/>
      <c r="F28" s="134"/>
      <c r="G28" s="134"/>
      <c r="H28" s="134"/>
      <c r="I28" s="134"/>
      <c r="J28" s="134"/>
    </row>
    <row r="29" customFormat="false" ht="15" hidden="false" customHeight="true" outlineLevel="0" collapsed="false">
      <c r="A29" s="134" t="s">
        <v>289</v>
      </c>
      <c r="B29" s="134"/>
      <c r="C29" s="134"/>
      <c r="D29" s="134"/>
      <c r="E29" s="134"/>
      <c r="F29" s="134"/>
      <c r="G29" s="134"/>
      <c r="H29" s="134"/>
      <c r="I29" s="134"/>
      <c r="J29" s="134"/>
    </row>
    <row r="30" customFormat="false" ht="15" hidden="false" customHeight="true" outlineLevel="0" collapsed="false">
      <c r="A30" s="134" t="s">
        <v>290</v>
      </c>
      <c r="B30" s="134"/>
      <c r="C30" s="134"/>
      <c r="D30" s="134"/>
      <c r="E30" s="134"/>
      <c r="F30" s="134"/>
      <c r="G30" s="134"/>
      <c r="H30" s="134"/>
      <c r="I30" s="134"/>
      <c r="J30" s="134"/>
    </row>
  </sheetData>
  <mergeCells count="13">
    <mergeCell ref="A1:AB1"/>
    <mergeCell ref="A2:AB2"/>
    <mergeCell ref="A4:AB4"/>
    <mergeCell ref="A14:T14"/>
    <mergeCell ref="A22:J22"/>
    <mergeCell ref="A23:J23"/>
    <mergeCell ref="A24:J24"/>
    <mergeCell ref="A25:J25"/>
    <mergeCell ref="A26:J26"/>
    <mergeCell ref="A27:J27"/>
    <mergeCell ref="A28:J28"/>
    <mergeCell ref="A29:J29"/>
    <mergeCell ref="A30:J30"/>
  </mergeCells>
  <dataValidations count="1">
    <dataValidation allowBlank="true" errorStyle="stop" operator="between" showDropDown="false" showErrorMessage="false" showInputMessage="false" sqref="B6:B25" type="list">
      <formula1>"Contenção,Arrimo,Parede Estrutural"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R31" activeCellId="0" sqref="R31"/>
    </sheetView>
  </sheetViews>
  <sheetFormatPr defaultColWidth="8.507812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8"/>
    <col collapsed="false" customWidth="true" hidden="false" outlineLevel="0" max="6" min="4" style="0" width="7"/>
    <col collapsed="false" customWidth="true" hidden="false" outlineLevel="0" max="7" min="7" style="0" width="8"/>
    <col collapsed="false" customWidth="true" hidden="false" outlineLevel="0" max="13" min="8" style="0" width="7"/>
    <col collapsed="false" customWidth="true" hidden="false" outlineLevel="0" max="14" min="14" style="0" width="6"/>
    <col collapsed="false" customWidth="true" hidden="false" outlineLevel="0" max="15" min="15" style="0" width="7"/>
    <col collapsed="false" customWidth="true" hidden="false" outlineLevel="0" max="16" min="16" style="0" width="8"/>
    <col collapsed="false" customWidth="true" hidden="false" outlineLevel="0" max="17" min="17" style="0" width="9"/>
    <col collapsed="false" customWidth="true" hidden="false" outlineLevel="0" max="18" min="18" style="0" width="10"/>
    <col collapsed="false" customWidth="true" hidden="false" outlineLevel="0" max="19" min="19" style="0" width="9"/>
    <col collapsed="false" customWidth="true" hidden="false" outlineLevel="0" max="21" min="20" style="0" width="10"/>
    <col collapsed="false" customWidth="true" hidden="false" outlineLevel="0" max="22" min="22" style="0" width="9"/>
    <col collapsed="false" customWidth="true" hidden="false" outlineLevel="0" max="23" min="23" style="0" width="6"/>
    <col collapsed="false" customWidth="true" hidden="false" outlineLevel="0" max="24" min="24" style="0" width="10"/>
    <col collapsed="false" customWidth="true" hidden="false" outlineLevel="0" max="25" min="25" style="0" width="30"/>
    <col collapsed="false" customWidth="true" hidden="false" outlineLevel="0" max="26" min="26" style="0" width="11"/>
    <col collapsed="false" customWidth="true" hidden="false" outlineLevel="0" max="28" min="27" style="0" width="10"/>
  </cols>
  <sheetData>
    <row r="1" customFormat="false" ht="17.25" hidden="false" customHeight="true" outlineLevel="0" collapsed="false">
      <c r="A1" s="12" t="s">
        <v>291</v>
      </c>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customFormat="false" ht="15" hidden="false" customHeight="true" outlineLevel="0" collapsed="false">
      <c r="A2" s="21" t="s">
        <v>292</v>
      </c>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customFormat="false" ht="6" hidden="false" customHeight="true" outlineLevel="0" collapsed="false"/>
    <row r="4" customFormat="false" ht="19.5" hidden="false" customHeight="true" outlineLevel="0" collapsed="false">
      <c r="A4" s="22" t="s">
        <v>293</v>
      </c>
      <c r="B4" s="22"/>
      <c r="C4" s="22"/>
      <c r="D4" s="22"/>
      <c r="E4" s="22"/>
      <c r="F4" s="22"/>
      <c r="G4" s="22"/>
      <c r="H4" s="22" t="s">
        <v>294</v>
      </c>
      <c r="I4" s="22"/>
      <c r="J4" s="22"/>
      <c r="K4" s="22"/>
      <c r="L4" s="22"/>
      <c r="M4" s="22"/>
      <c r="N4" s="22"/>
      <c r="O4" s="22"/>
      <c r="P4" s="22"/>
      <c r="Q4" s="28" t="s">
        <v>295</v>
      </c>
      <c r="R4" s="28"/>
      <c r="S4" s="28"/>
      <c r="T4" s="28"/>
      <c r="U4" s="28"/>
      <c r="V4" s="28"/>
      <c r="W4" s="28"/>
      <c r="X4" s="28"/>
      <c r="Y4" s="28"/>
      <c r="Z4" s="29" t="s">
        <v>86</v>
      </c>
      <c r="AA4" s="30" t="s">
        <v>296</v>
      </c>
      <c r="AB4" s="30"/>
    </row>
    <row r="5" customFormat="false" ht="43.5" hidden="false" customHeight="true" outlineLevel="0" collapsed="false">
      <c r="A5" s="13" t="s">
        <v>297</v>
      </c>
      <c r="B5" s="13" t="s">
        <v>90</v>
      </c>
      <c r="C5" s="13" t="s">
        <v>298</v>
      </c>
      <c r="D5" s="13" t="s">
        <v>299</v>
      </c>
      <c r="E5" s="13" t="s">
        <v>93</v>
      </c>
      <c r="F5" s="13" t="s">
        <v>94</v>
      </c>
      <c r="G5" s="13" t="s">
        <v>300</v>
      </c>
      <c r="H5" s="13" t="s">
        <v>301</v>
      </c>
      <c r="I5" s="13" t="s">
        <v>302</v>
      </c>
      <c r="J5" s="13" t="s">
        <v>303</v>
      </c>
      <c r="K5" s="13" t="s">
        <v>304</v>
      </c>
      <c r="L5" s="13" t="s">
        <v>305</v>
      </c>
      <c r="M5" s="13" t="s">
        <v>306</v>
      </c>
      <c r="N5" s="13" t="s">
        <v>307</v>
      </c>
      <c r="O5" s="13" t="s">
        <v>308</v>
      </c>
      <c r="P5" s="13" t="s">
        <v>309</v>
      </c>
      <c r="Q5" s="37" t="s">
        <v>310</v>
      </c>
      <c r="R5" s="37" t="s">
        <v>311</v>
      </c>
      <c r="S5" s="37" t="s">
        <v>312</v>
      </c>
      <c r="T5" s="37" t="s">
        <v>313</v>
      </c>
      <c r="U5" s="37" t="s">
        <v>314</v>
      </c>
      <c r="V5" s="37" t="s">
        <v>315</v>
      </c>
      <c r="W5" s="37" t="s">
        <v>316</v>
      </c>
      <c r="X5" s="37" t="s">
        <v>317</v>
      </c>
      <c r="Y5" s="13" t="s">
        <v>318</v>
      </c>
      <c r="Z5" s="38" t="s">
        <v>130</v>
      </c>
      <c r="AA5" s="39" t="s">
        <v>131</v>
      </c>
      <c r="AB5" s="40" t="s">
        <v>132</v>
      </c>
    </row>
    <row r="6" customFormat="false" ht="15" hidden="false" customHeight="true" outlineLevel="0" collapsed="false">
      <c r="A6" s="42" t="s">
        <v>319</v>
      </c>
      <c r="B6" s="42" t="s">
        <v>72</v>
      </c>
      <c r="C6" s="43" t="n">
        <v>5</v>
      </c>
      <c r="D6" s="42" t="n">
        <v>20</v>
      </c>
      <c r="E6" s="42" t="n">
        <v>50</v>
      </c>
      <c r="F6" s="42" t="n">
        <v>2.5</v>
      </c>
      <c r="G6" s="42" t="n">
        <v>50</v>
      </c>
      <c r="H6" s="42" t="n">
        <v>3</v>
      </c>
      <c r="I6" s="42" t="n">
        <v>16</v>
      </c>
      <c r="J6" s="42" t="n">
        <v>2</v>
      </c>
      <c r="K6" s="42" t="n">
        <v>12</v>
      </c>
      <c r="L6" s="42"/>
      <c r="M6" s="42"/>
      <c r="N6" s="42" t="n">
        <v>1</v>
      </c>
      <c r="O6" s="42" t="n">
        <v>8</v>
      </c>
      <c r="P6" s="43" t="n">
        <v>0.15</v>
      </c>
      <c r="Q6" s="51" t="n">
        <f aca="false">IF(A6="","",C6+IF(C6&gt;12,G6*I6/1000,0))</f>
        <v>5</v>
      </c>
      <c r="R6" s="51" t="n">
        <f aca="false">IF(A6="",0,IFERROR(H6*Q6*VLOOKUP(I6,'TABELA DE PESOS'!$A$2:$B$9,2,FALSE()),0))</f>
        <v>23.67</v>
      </c>
      <c r="S6" s="51" t="n">
        <f aca="false">IF(A6="","",C6+IF(C6&gt;12,G6*K6/1000,0))</f>
        <v>5</v>
      </c>
      <c r="T6" s="51" t="n">
        <f aca="false">IF(A6="",0,IFERROR(J6*S6*VLOOKUP(K6,'TABELA DE PESOS'!$A$2:$B$9,2,FALSE()),0))</f>
        <v>8.88</v>
      </c>
      <c r="U6" s="51" t="n">
        <f aca="false">IF(A6="",0,IFERROR(L6*C6*VLOOKUP(M6,'TABELA DE PESOS'!$A$2:$B$9,2,FALSE()),0))</f>
        <v>0</v>
      </c>
      <c r="V6" s="52" t="n">
        <f aca="false">IF(A6="","",2*(D6-2*F6)/100+2*(E6-2*F6)/100+2*10*(O6/1000))</f>
        <v>1.36</v>
      </c>
      <c r="W6" s="53" t="n">
        <f aca="false">IF(A6="","",IFERROR(ROUNDUP(C6/P6,0)+1,0))</f>
        <v>35</v>
      </c>
      <c r="X6" s="51" t="n">
        <f aca="false">IF(A6="",0,IFERROR(N6*V6*W6*VLOOKUP(O6,'TABELA DE PESOS'!$A$2:$B$9,2,FALSE()),0))</f>
        <v>18.802</v>
      </c>
      <c r="Y6" s="135"/>
      <c r="Z6" s="54" t="n">
        <f aca="false">IF(A6="",0,R6+T6+U6+X6)</f>
        <v>51.352</v>
      </c>
      <c r="AA6" s="55" t="n">
        <f aca="false">IF(A6="",0,(D6/100)*(E6/100)*C6)</f>
        <v>0.5</v>
      </c>
      <c r="AB6" s="56" t="n">
        <f aca="false">IF(A6="",0,(2*(E6/100)+D6/100)*C6)</f>
        <v>6</v>
      </c>
    </row>
    <row r="7" customFormat="false" ht="15" hidden="false" customHeight="true" outlineLevel="0" collapsed="false">
      <c r="A7" s="58" t="s">
        <v>320</v>
      </c>
      <c r="B7" s="58" t="s">
        <v>321</v>
      </c>
      <c r="C7" s="59" t="n">
        <v>8</v>
      </c>
      <c r="D7" s="58" t="n">
        <v>25</v>
      </c>
      <c r="E7" s="58" t="n">
        <v>60</v>
      </c>
      <c r="F7" s="58" t="n">
        <v>2.5</v>
      </c>
      <c r="G7" s="58" t="n">
        <v>50</v>
      </c>
      <c r="H7" s="58" t="n">
        <v>4</v>
      </c>
      <c r="I7" s="58" t="n">
        <v>20</v>
      </c>
      <c r="J7" s="58" t="n">
        <v>2</v>
      </c>
      <c r="K7" s="58" t="n">
        <v>16</v>
      </c>
      <c r="L7" s="58"/>
      <c r="M7" s="58"/>
      <c r="N7" s="58" t="n">
        <v>1</v>
      </c>
      <c r="O7" s="58" t="n">
        <v>8</v>
      </c>
      <c r="P7" s="59" t="n">
        <v>0.15</v>
      </c>
      <c r="Q7" s="67" t="n">
        <f aca="false">IF(A7="","",C7+IF(C7&gt;12,G7*I7/1000,0))</f>
        <v>8</v>
      </c>
      <c r="R7" s="67" t="n">
        <f aca="false">IF(A7="",0,IFERROR(H7*Q7*VLOOKUP(I7,'TABELA DE PESOS'!$A$2:$B$9,2,FALSE()),0))</f>
        <v>78.912</v>
      </c>
      <c r="S7" s="67" t="n">
        <f aca="false">IF(A7="","",C7+IF(C7&gt;12,G7*K7/1000,0))</f>
        <v>8</v>
      </c>
      <c r="T7" s="67" t="n">
        <f aca="false">IF(A7="",0,IFERROR(J7*S7*VLOOKUP(K7,'TABELA DE PESOS'!$A$2:$B$9,2,FALSE()),0))</f>
        <v>25.248</v>
      </c>
      <c r="U7" s="67" t="n">
        <f aca="false">IF(A7="",0,IFERROR(L7*C7*VLOOKUP(M7,'TABELA DE PESOS'!$A$2:$B$9,2,FALSE()),0))</f>
        <v>0</v>
      </c>
      <c r="V7" s="68" t="n">
        <f aca="false">IF(A7="","",2*(D7-2*F7)/100+2*(E7-2*F7)/100+2*10*(O7/1000))</f>
        <v>1.66</v>
      </c>
      <c r="W7" s="69" t="n">
        <f aca="false">IF(A7="","",IFERROR(ROUNDUP(C7/P7,0)+1,0))</f>
        <v>55</v>
      </c>
      <c r="X7" s="67" t="n">
        <f aca="false">IF(A7="",0,IFERROR(N7*V7*W7*VLOOKUP(O7,'TABELA DE PESOS'!$A$2:$B$9,2,FALSE()),0))</f>
        <v>36.0635</v>
      </c>
      <c r="Y7" s="74"/>
      <c r="Z7" s="70" t="n">
        <f aca="false">IF(A7="",0,R7+T7+U7+X7)</f>
        <v>140.2235</v>
      </c>
      <c r="AA7" s="71" t="n">
        <f aca="false">IF(A7="",0,(D7/100)*(E7/100)*C7)</f>
        <v>1.2</v>
      </c>
      <c r="AB7" s="72" t="n">
        <f aca="false">IF(A7="",0,(2*(E7/100)+D7/100)*C7)</f>
        <v>11.6</v>
      </c>
    </row>
    <row r="8" customFormat="false" ht="15" hidden="false" customHeight="true" outlineLevel="0" collapsed="false">
      <c r="A8" s="42"/>
      <c r="B8" s="42"/>
      <c r="C8" s="43"/>
      <c r="D8" s="42"/>
      <c r="E8" s="42"/>
      <c r="F8" s="42" t="n">
        <v>2.5</v>
      </c>
      <c r="G8" s="42" t="n">
        <v>50</v>
      </c>
      <c r="H8" s="42"/>
      <c r="I8" s="42"/>
      <c r="J8" s="42"/>
      <c r="K8" s="42"/>
      <c r="L8" s="42"/>
      <c r="M8" s="42"/>
      <c r="N8" s="42"/>
      <c r="O8" s="42"/>
      <c r="P8" s="43"/>
      <c r="Q8" s="51" t="str">
        <f aca="false">IF(A8="","",C8+IF(C8&gt;12,G8*I8/1000,0))</f>
        <v/>
      </c>
      <c r="R8" s="51" t="n">
        <f aca="false">IF(A8="",0,IFERROR(H8*Q8*VLOOKUP(I8,'TABELA DE PESOS'!$A$2:$B$9,2,FALSE()),0))</f>
        <v>0</v>
      </c>
      <c r="S8" s="51" t="str">
        <f aca="false">IF(A8="","",C8+IF(C8&gt;12,G8*K8/1000,0))</f>
        <v/>
      </c>
      <c r="T8" s="51" t="n">
        <f aca="false">IF(A8="",0,IFERROR(J8*S8*VLOOKUP(K8,'TABELA DE PESOS'!$A$2:$B$9,2,FALSE()),0))</f>
        <v>0</v>
      </c>
      <c r="U8" s="51" t="n">
        <f aca="false">IF(A8="",0,IFERROR(L8*C8*VLOOKUP(M8,'TABELA DE PESOS'!$A$2:$B$9,2,FALSE()),0))</f>
        <v>0</v>
      </c>
      <c r="V8" s="52" t="str">
        <f aca="false">IF(A8="","",2*(D8-2*F8)/100+2*(E8-2*F8)/100+2*10*(O8/1000))</f>
        <v/>
      </c>
      <c r="W8" s="53" t="str">
        <f aca="false">IF(A8="","",IFERROR(ROUNDUP(C8/P8,0)+1,0))</f>
        <v/>
      </c>
      <c r="X8" s="51" t="n">
        <f aca="false">IF(A8="",0,IFERROR(N8*V8*W8*VLOOKUP(O8,'TABELA DE PESOS'!$A$2:$B$9,2,FALSE()),0))</f>
        <v>0</v>
      </c>
      <c r="Y8" s="135"/>
      <c r="Z8" s="54" t="n">
        <f aca="false">IF(A8="",0,R8+T8+U8+X8)</f>
        <v>0</v>
      </c>
      <c r="AA8" s="55" t="n">
        <f aca="false">IF(A8="",0,(D8/100)*(E8/100)*C8)</f>
        <v>0</v>
      </c>
      <c r="AB8" s="56" t="n">
        <f aca="false">IF(A8="",0,(2*(E8/100)+D8/100)*C8)</f>
        <v>0</v>
      </c>
    </row>
    <row r="9" customFormat="false" ht="15" hidden="false" customHeight="true" outlineLevel="0" collapsed="false">
      <c r="A9" s="58"/>
      <c r="B9" s="58"/>
      <c r="C9" s="59"/>
      <c r="D9" s="58"/>
      <c r="E9" s="58"/>
      <c r="F9" s="58" t="n">
        <v>2.5</v>
      </c>
      <c r="G9" s="58" t="n">
        <v>50</v>
      </c>
      <c r="H9" s="58"/>
      <c r="I9" s="58"/>
      <c r="J9" s="58"/>
      <c r="K9" s="58"/>
      <c r="L9" s="58"/>
      <c r="M9" s="58"/>
      <c r="N9" s="58"/>
      <c r="O9" s="58"/>
      <c r="P9" s="59"/>
      <c r="Q9" s="67" t="str">
        <f aca="false">IF(A9="","",C9+IF(C9&gt;12,G9*I9/1000,0))</f>
        <v/>
      </c>
      <c r="R9" s="67" t="n">
        <f aca="false">IF(A9="",0,IFERROR(H9*Q9*VLOOKUP(I9,'TABELA DE PESOS'!$A$2:$B$9,2,FALSE()),0))</f>
        <v>0</v>
      </c>
      <c r="S9" s="67" t="str">
        <f aca="false">IF(A9="","",C9+IF(C9&gt;12,G9*K9/1000,0))</f>
        <v/>
      </c>
      <c r="T9" s="67" t="n">
        <f aca="false">IF(A9="",0,IFERROR(J9*S9*VLOOKUP(K9,'TABELA DE PESOS'!$A$2:$B$9,2,FALSE()),0))</f>
        <v>0</v>
      </c>
      <c r="U9" s="67" t="n">
        <f aca="false">IF(A9="",0,IFERROR(L9*C9*VLOOKUP(M9,'TABELA DE PESOS'!$A$2:$B$9,2,FALSE()),0))</f>
        <v>0</v>
      </c>
      <c r="V9" s="68" t="str">
        <f aca="false">IF(A9="","",2*(D9-2*F9)/100+2*(E9-2*F9)/100+2*10*(O9/1000))</f>
        <v/>
      </c>
      <c r="W9" s="69" t="str">
        <f aca="false">IF(A9="","",IFERROR(ROUNDUP(C9/P9,0)+1,0))</f>
        <v/>
      </c>
      <c r="X9" s="67" t="n">
        <f aca="false">IF(A9="",0,IFERROR(N9*V9*W9*VLOOKUP(O9,'TABELA DE PESOS'!$A$2:$B$9,2,FALSE()),0))</f>
        <v>0</v>
      </c>
      <c r="Y9" s="74"/>
      <c r="Z9" s="70" t="n">
        <f aca="false">IF(A9="",0,R9+T9+U9+X9)</f>
        <v>0</v>
      </c>
      <c r="AA9" s="71" t="n">
        <f aca="false">IF(A9="",0,(D9/100)*(E9/100)*C9)</f>
        <v>0</v>
      </c>
      <c r="AB9" s="72" t="n">
        <f aca="false">IF(A9="",0,(2*(E9/100)+D9/100)*C9)</f>
        <v>0</v>
      </c>
    </row>
    <row r="10" customFormat="false" ht="15" hidden="false" customHeight="true" outlineLevel="0" collapsed="false">
      <c r="A10" s="42"/>
      <c r="B10" s="42"/>
      <c r="C10" s="43"/>
      <c r="D10" s="42"/>
      <c r="E10" s="42"/>
      <c r="F10" s="42" t="n">
        <v>2.5</v>
      </c>
      <c r="G10" s="42" t="n">
        <v>50</v>
      </c>
      <c r="H10" s="42"/>
      <c r="I10" s="42"/>
      <c r="J10" s="42"/>
      <c r="K10" s="42"/>
      <c r="L10" s="42"/>
      <c r="M10" s="42"/>
      <c r="N10" s="42"/>
      <c r="O10" s="42"/>
      <c r="P10" s="43"/>
      <c r="Q10" s="51" t="str">
        <f aca="false">IF(A10="","",C10+IF(C10&gt;12,G10*I10/1000,0))</f>
        <v/>
      </c>
      <c r="R10" s="51" t="n">
        <f aca="false">IF(A10="",0,IFERROR(H10*Q10*VLOOKUP(I10,'TABELA DE PESOS'!$A$2:$B$9,2,FALSE()),0))</f>
        <v>0</v>
      </c>
      <c r="S10" s="51" t="str">
        <f aca="false">IF(A10="","",C10+IF(C10&gt;12,G10*K10/1000,0))</f>
        <v/>
      </c>
      <c r="T10" s="51" t="n">
        <f aca="false">IF(A10="",0,IFERROR(J10*S10*VLOOKUP(K10,'TABELA DE PESOS'!$A$2:$B$9,2,FALSE()),0))</f>
        <v>0</v>
      </c>
      <c r="U10" s="51" t="n">
        <f aca="false">IF(A10="",0,IFERROR(L10*C10*VLOOKUP(M10,'TABELA DE PESOS'!$A$2:$B$9,2,FALSE()),0))</f>
        <v>0</v>
      </c>
      <c r="V10" s="52" t="str">
        <f aca="false">IF(A10="","",2*(D10-2*F10)/100+2*(E10-2*F10)/100+2*10*(O10/1000))</f>
        <v/>
      </c>
      <c r="W10" s="53" t="str">
        <f aca="false">IF(A10="","",IFERROR(ROUNDUP(C10/P10,0)+1,0))</f>
        <v/>
      </c>
      <c r="X10" s="51" t="n">
        <f aca="false">IF(A10="",0,IFERROR(N10*V10*W10*VLOOKUP(O10,'TABELA DE PESOS'!$A$2:$B$9,2,FALSE()),0))</f>
        <v>0</v>
      </c>
      <c r="Y10" s="135"/>
      <c r="Z10" s="54" t="n">
        <f aca="false">IF(A10="",0,R10+T10+U10+X10)</f>
        <v>0</v>
      </c>
      <c r="AA10" s="55" t="n">
        <f aca="false">IF(A10="",0,(D10/100)*(E10/100)*C10)</f>
        <v>0</v>
      </c>
      <c r="AB10" s="56" t="n">
        <f aca="false">IF(A10="",0,(2*(E10/100)+D10/100)*C10)</f>
        <v>0</v>
      </c>
    </row>
    <row r="11" customFormat="false" ht="15" hidden="false" customHeight="true" outlineLevel="0" collapsed="false">
      <c r="A11" s="58"/>
      <c r="B11" s="58"/>
      <c r="C11" s="59"/>
      <c r="D11" s="58"/>
      <c r="E11" s="58"/>
      <c r="F11" s="58" t="n">
        <v>2.5</v>
      </c>
      <c r="G11" s="58" t="n">
        <v>50</v>
      </c>
      <c r="H11" s="58"/>
      <c r="I11" s="58"/>
      <c r="J11" s="58"/>
      <c r="K11" s="58"/>
      <c r="L11" s="58"/>
      <c r="M11" s="58"/>
      <c r="N11" s="58"/>
      <c r="O11" s="58"/>
      <c r="P11" s="59"/>
      <c r="Q11" s="67" t="str">
        <f aca="false">IF(A11="","",C11+IF(C11&gt;12,G11*I11/1000,0))</f>
        <v/>
      </c>
      <c r="R11" s="67" t="n">
        <f aca="false">IF(A11="",0,IFERROR(H11*Q11*VLOOKUP(I11,'TABELA DE PESOS'!$A$2:$B$9,2,FALSE()),0))</f>
        <v>0</v>
      </c>
      <c r="S11" s="67" t="str">
        <f aca="false">IF(A11="","",C11+IF(C11&gt;12,G11*K11/1000,0))</f>
        <v/>
      </c>
      <c r="T11" s="67" t="n">
        <f aca="false">IF(A11="",0,IFERROR(J11*S11*VLOOKUP(K11,'TABELA DE PESOS'!$A$2:$B$9,2,FALSE()),0))</f>
        <v>0</v>
      </c>
      <c r="U11" s="67" t="n">
        <f aca="false">IF(A11="",0,IFERROR(L11*C11*VLOOKUP(M11,'TABELA DE PESOS'!$A$2:$B$9,2,FALSE()),0))</f>
        <v>0</v>
      </c>
      <c r="V11" s="68" t="str">
        <f aca="false">IF(A11="","",2*(D11-2*F11)/100+2*(E11-2*F11)/100+2*10*(O11/1000))</f>
        <v/>
      </c>
      <c r="W11" s="69" t="str">
        <f aca="false">IF(A11="","",IFERROR(ROUNDUP(C11/P11,0)+1,0))</f>
        <v/>
      </c>
      <c r="X11" s="67" t="n">
        <f aca="false">IF(A11="",0,IFERROR(N11*V11*W11*VLOOKUP(O11,'TABELA DE PESOS'!$A$2:$B$9,2,FALSE()),0))</f>
        <v>0</v>
      </c>
      <c r="Y11" s="74"/>
      <c r="Z11" s="70" t="n">
        <f aca="false">IF(A11="",0,R11+T11+U11+X11)</f>
        <v>0</v>
      </c>
      <c r="AA11" s="71" t="n">
        <f aca="false">IF(A11="",0,(D11/100)*(E11/100)*C11)</f>
        <v>0</v>
      </c>
      <c r="AB11" s="72" t="n">
        <f aca="false">IF(A11="",0,(2*(E11/100)+D11/100)*C11)</f>
        <v>0</v>
      </c>
    </row>
    <row r="12" customFormat="false" ht="15" hidden="false" customHeight="true" outlineLevel="0" collapsed="false">
      <c r="A12" s="42"/>
      <c r="B12" s="42"/>
      <c r="C12" s="43"/>
      <c r="D12" s="42"/>
      <c r="E12" s="42"/>
      <c r="F12" s="42" t="n">
        <v>2.5</v>
      </c>
      <c r="G12" s="42" t="n">
        <v>50</v>
      </c>
      <c r="H12" s="42"/>
      <c r="I12" s="42"/>
      <c r="J12" s="42"/>
      <c r="K12" s="42"/>
      <c r="L12" s="42"/>
      <c r="M12" s="42"/>
      <c r="N12" s="42"/>
      <c r="O12" s="42"/>
      <c r="P12" s="43"/>
      <c r="Q12" s="51" t="str">
        <f aca="false">IF(A12="","",C12+IF(C12&gt;12,G12*I12/1000,0))</f>
        <v/>
      </c>
      <c r="R12" s="51" t="n">
        <f aca="false">IF(A12="",0,IFERROR(H12*Q12*VLOOKUP(I12,'TABELA DE PESOS'!$A$2:$B$9,2,FALSE()),0))</f>
        <v>0</v>
      </c>
      <c r="S12" s="51" t="str">
        <f aca="false">IF(A12="","",C12+IF(C12&gt;12,G12*K12/1000,0))</f>
        <v/>
      </c>
      <c r="T12" s="51" t="n">
        <f aca="false">IF(A12="",0,IFERROR(J12*S12*VLOOKUP(K12,'TABELA DE PESOS'!$A$2:$B$9,2,FALSE()),0))</f>
        <v>0</v>
      </c>
      <c r="U12" s="51" t="n">
        <f aca="false">IF(A12="",0,IFERROR(L12*C12*VLOOKUP(M12,'TABELA DE PESOS'!$A$2:$B$9,2,FALSE()),0))</f>
        <v>0</v>
      </c>
      <c r="V12" s="52" t="str">
        <f aca="false">IF(A12="","",2*(D12-2*F12)/100+2*(E12-2*F12)/100+2*10*(O12/1000))</f>
        <v/>
      </c>
      <c r="W12" s="53" t="str">
        <f aca="false">IF(A12="","",IFERROR(ROUNDUP(C12/P12,0)+1,0))</f>
        <v/>
      </c>
      <c r="X12" s="51" t="n">
        <f aca="false">IF(A12="",0,IFERROR(N12*V12*W12*VLOOKUP(O12,'TABELA DE PESOS'!$A$2:$B$9,2,FALSE()),0))</f>
        <v>0</v>
      </c>
      <c r="Y12" s="135"/>
      <c r="Z12" s="54" t="n">
        <f aca="false">IF(A12="",0,R12+T12+U12+X12)</f>
        <v>0</v>
      </c>
      <c r="AA12" s="55" t="n">
        <f aca="false">IF(A12="",0,(D12/100)*(E12/100)*C12)</f>
        <v>0</v>
      </c>
      <c r="AB12" s="56" t="n">
        <f aca="false">IF(A12="",0,(2*(E12/100)+D12/100)*C12)</f>
        <v>0</v>
      </c>
    </row>
    <row r="13" customFormat="false" ht="15" hidden="false" customHeight="true" outlineLevel="0" collapsed="false">
      <c r="A13" s="58"/>
      <c r="B13" s="58"/>
      <c r="C13" s="59"/>
      <c r="D13" s="58"/>
      <c r="E13" s="58"/>
      <c r="F13" s="58" t="n">
        <v>2.5</v>
      </c>
      <c r="G13" s="58" t="n">
        <v>50</v>
      </c>
      <c r="H13" s="58"/>
      <c r="I13" s="58"/>
      <c r="J13" s="58"/>
      <c r="K13" s="58"/>
      <c r="L13" s="58"/>
      <c r="M13" s="58"/>
      <c r="N13" s="58"/>
      <c r="O13" s="58"/>
      <c r="P13" s="59"/>
      <c r="Q13" s="67" t="str">
        <f aca="false">IF(A13="","",C13+IF(C13&gt;12,G13*I13/1000,0))</f>
        <v/>
      </c>
      <c r="R13" s="67" t="n">
        <f aca="false">IF(A13="",0,IFERROR(H13*Q13*VLOOKUP(I13,'TABELA DE PESOS'!$A$2:$B$9,2,FALSE()),0))</f>
        <v>0</v>
      </c>
      <c r="S13" s="67" t="str">
        <f aca="false">IF(A13="","",C13+IF(C13&gt;12,G13*K13/1000,0))</f>
        <v/>
      </c>
      <c r="T13" s="67" t="n">
        <f aca="false">IF(A13="",0,IFERROR(J13*S13*VLOOKUP(K13,'TABELA DE PESOS'!$A$2:$B$9,2,FALSE()),0))</f>
        <v>0</v>
      </c>
      <c r="U13" s="67" t="n">
        <f aca="false">IF(A13="",0,IFERROR(L13*C13*VLOOKUP(M13,'TABELA DE PESOS'!$A$2:$B$9,2,FALSE()),0))</f>
        <v>0</v>
      </c>
      <c r="V13" s="68" t="str">
        <f aca="false">IF(A13="","",2*(D13-2*F13)/100+2*(E13-2*F13)/100+2*10*(O13/1000))</f>
        <v/>
      </c>
      <c r="W13" s="69" t="str">
        <f aca="false">IF(A13="","",IFERROR(ROUNDUP(C13/P13,0)+1,0))</f>
        <v/>
      </c>
      <c r="X13" s="67" t="n">
        <f aca="false">IF(A13="",0,IFERROR(N13*V13*W13*VLOOKUP(O13,'TABELA DE PESOS'!$A$2:$B$9,2,FALSE()),0))</f>
        <v>0</v>
      </c>
      <c r="Y13" s="74"/>
      <c r="Z13" s="70" t="n">
        <f aca="false">IF(A13="",0,R13+T13+U13+X13)</f>
        <v>0</v>
      </c>
      <c r="AA13" s="71" t="n">
        <f aca="false">IF(A13="",0,(D13/100)*(E13/100)*C13)</f>
        <v>0</v>
      </c>
      <c r="AB13" s="72" t="n">
        <f aca="false">IF(A13="",0,(2*(E13/100)+D13/100)*C13)</f>
        <v>0</v>
      </c>
    </row>
    <row r="14" customFormat="false" ht="15" hidden="false" customHeight="true" outlineLevel="0" collapsed="false">
      <c r="A14" s="42"/>
      <c r="B14" s="42"/>
      <c r="C14" s="43"/>
      <c r="D14" s="42"/>
      <c r="E14" s="42"/>
      <c r="F14" s="42" t="n">
        <v>2.5</v>
      </c>
      <c r="G14" s="42" t="n">
        <v>50</v>
      </c>
      <c r="H14" s="42"/>
      <c r="I14" s="42"/>
      <c r="J14" s="42"/>
      <c r="K14" s="42"/>
      <c r="L14" s="42"/>
      <c r="M14" s="42"/>
      <c r="N14" s="42"/>
      <c r="O14" s="42"/>
      <c r="P14" s="43"/>
      <c r="Q14" s="51" t="str">
        <f aca="false">IF(A14="","",C14+IF(C14&gt;12,G14*I14/1000,0))</f>
        <v/>
      </c>
      <c r="R14" s="51" t="n">
        <f aca="false">IF(A14="",0,IFERROR(H14*Q14*VLOOKUP(I14,'TABELA DE PESOS'!$A$2:$B$9,2,FALSE()),0))</f>
        <v>0</v>
      </c>
      <c r="S14" s="51" t="str">
        <f aca="false">IF(A14="","",C14+IF(C14&gt;12,G14*K14/1000,0))</f>
        <v/>
      </c>
      <c r="T14" s="51" t="n">
        <f aca="false">IF(A14="",0,IFERROR(J14*S14*VLOOKUP(K14,'TABELA DE PESOS'!$A$2:$B$9,2,FALSE()),0))</f>
        <v>0</v>
      </c>
      <c r="U14" s="51" t="n">
        <f aca="false">IF(A14="",0,IFERROR(L14*C14*VLOOKUP(M14,'TABELA DE PESOS'!$A$2:$B$9,2,FALSE()),0))</f>
        <v>0</v>
      </c>
      <c r="V14" s="52" t="str">
        <f aca="false">IF(A14="","",2*(D14-2*F14)/100+2*(E14-2*F14)/100+2*10*(O14/1000))</f>
        <v/>
      </c>
      <c r="W14" s="53" t="str">
        <f aca="false">IF(A14="","",IFERROR(ROUNDUP(C14/P14,0)+1,0))</f>
        <v/>
      </c>
      <c r="X14" s="51" t="n">
        <f aca="false">IF(A14="",0,IFERROR(N14*V14*W14*VLOOKUP(O14,'TABELA DE PESOS'!$A$2:$B$9,2,FALSE()),0))</f>
        <v>0</v>
      </c>
      <c r="Y14" s="135"/>
      <c r="Z14" s="54" t="n">
        <f aca="false">IF(A14="",0,R14+T14+U14+X14)</f>
        <v>0</v>
      </c>
      <c r="AA14" s="55" t="n">
        <f aca="false">IF(A14="",0,(D14/100)*(E14/100)*C14)</f>
        <v>0</v>
      </c>
      <c r="AB14" s="56" t="n">
        <f aca="false">IF(A14="",0,(2*(E14/100)+D14/100)*C14)</f>
        <v>0</v>
      </c>
    </row>
    <row r="15" customFormat="false" ht="15" hidden="false" customHeight="true" outlineLevel="0" collapsed="false">
      <c r="A15" s="58"/>
      <c r="B15" s="58"/>
      <c r="C15" s="59"/>
      <c r="D15" s="58"/>
      <c r="E15" s="58"/>
      <c r="F15" s="58" t="n">
        <v>2.5</v>
      </c>
      <c r="G15" s="58" t="n">
        <v>50</v>
      </c>
      <c r="H15" s="58"/>
      <c r="I15" s="58"/>
      <c r="J15" s="58"/>
      <c r="K15" s="58"/>
      <c r="L15" s="58"/>
      <c r="M15" s="58"/>
      <c r="N15" s="58"/>
      <c r="O15" s="58"/>
      <c r="P15" s="59"/>
      <c r="Q15" s="67" t="str">
        <f aca="false">IF(A15="","",C15+IF(C15&gt;12,G15*I15/1000,0))</f>
        <v/>
      </c>
      <c r="R15" s="67" t="n">
        <f aca="false">IF(A15="",0,IFERROR(H15*Q15*VLOOKUP(I15,'TABELA DE PESOS'!$A$2:$B$9,2,FALSE()),0))</f>
        <v>0</v>
      </c>
      <c r="S15" s="67" t="str">
        <f aca="false">IF(A15="","",C15+IF(C15&gt;12,G15*K15/1000,0))</f>
        <v/>
      </c>
      <c r="T15" s="67" t="n">
        <f aca="false">IF(A15="",0,IFERROR(J15*S15*VLOOKUP(K15,'TABELA DE PESOS'!$A$2:$B$9,2,FALSE()),0))</f>
        <v>0</v>
      </c>
      <c r="U15" s="67" t="n">
        <f aca="false">IF(A15="",0,IFERROR(L15*C15*VLOOKUP(M15,'TABELA DE PESOS'!$A$2:$B$9,2,FALSE()),0))</f>
        <v>0</v>
      </c>
      <c r="V15" s="68" t="str">
        <f aca="false">IF(A15="","",2*(D15-2*F15)/100+2*(E15-2*F15)/100+2*10*(O15/1000))</f>
        <v/>
      </c>
      <c r="W15" s="69" t="str">
        <f aca="false">IF(A15="","",IFERROR(ROUNDUP(C15/P15,0)+1,0))</f>
        <v/>
      </c>
      <c r="X15" s="67" t="n">
        <f aca="false">IF(A15="",0,IFERROR(N15*V15*W15*VLOOKUP(O15,'TABELA DE PESOS'!$A$2:$B$9,2,FALSE()),0))</f>
        <v>0</v>
      </c>
      <c r="Y15" s="74"/>
      <c r="Z15" s="70" t="n">
        <f aca="false">IF(A15="",0,R15+T15+U15+X15)</f>
        <v>0</v>
      </c>
      <c r="AA15" s="71" t="n">
        <f aca="false">IF(A15="",0,(D15/100)*(E15/100)*C15)</f>
        <v>0</v>
      </c>
      <c r="AB15" s="72" t="n">
        <f aca="false">IF(A15="",0,(2*(E15/100)+D15/100)*C15)</f>
        <v>0</v>
      </c>
    </row>
    <row r="16" customFormat="false" ht="15" hidden="false" customHeight="true" outlineLevel="0" collapsed="false">
      <c r="A16" s="42"/>
      <c r="B16" s="42"/>
      <c r="C16" s="43"/>
      <c r="D16" s="42"/>
      <c r="E16" s="42"/>
      <c r="F16" s="42" t="n">
        <v>2.5</v>
      </c>
      <c r="G16" s="42" t="n">
        <v>50</v>
      </c>
      <c r="H16" s="42"/>
      <c r="I16" s="42"/>
      <c r="J16" s="42"/>
      <c r="K16" s="42"/>
      <c r="L16" s="42"/>
      <c r="M16" s="42"/>
      <c r="N16" s="42"/>
      <c r="O16" s="42"/>
      <c r="P16" s="43"/>
      <c r="Q16" s="51" t="str">
        <f aca="false">IF(A16="","",C16+IF(C16&gt;12,G16*I16/1000,0))</f>
        <v/>
      </c>
      <c r="R16" s="51" t="n">
        <f aca="false">IF(A16="",0,IFERROR(H16*Q16*VLOOKUP(I16,'TABELA DE PESOS'!$A$2:$B$9,2,FALSE()),0))</f>
        <v>0</v>
      </c>
      <c r="S16" s="51" t="str">
        <f aca="false">IF(A16="","",C16+IF(C16&gt;12,G16*K16/1000,0))</f>
        <v/>
      </c>
      <c r="T16" s="51" t="n">
        <f aca="false">IF(A16="",0,IFERROR(J16*S16*VLOOKUP(K16,'TABELA DE PESOS'!$A$2:$B$9,2,FALSE()),0))</f>
        <v>0</v>
      </c>
      <c r="U16" s="51" t="n">
        <f aca="false">IF(A16="",0,IFERROR(L16*C16*VLOOKUP(M16,'TABELA DE PESOS'!$A$2:$B$9,2,FALSE()),0))</f>
        <v>0</v>
      </c>
      <c r="V16" s="52" t="str">
        <f aca="false">IF(A16="","",2*(D16-2*F16)/100+2*(E16-2*F16)/100+2*10*(O16/1000))</f>
        <v/>
      </c>
      <c r="W16" s="53" t="str">
        <f aca="false">IF(A16="","",IFERROR(ROUNDUP(C16/P16,0)+1,0))</f>
        <v/>
      </c>
      <c r="X16" s="51" t="n">
        <f aca="false">IF(A16="",0,IFERROR(N16*V16*W16*VLOOKUP(O16,'TABELA DE PESOS'!$A$2:$B$9,2,FALSE()),0))</f>
        <v>0</v>
      </c>
      <c r="Y16" s="135"/>
      <c r="Z16" s="54" t="n">
        <f aca="false">IF(A16="",0,R16+T16+U16+X16)</f>
        <v>0</v>
      </c>
      <c r="AA16" s="55" t="n">
        <f aca="false">IF(A16="",0,(D16/100)*(E16/100)*C16)</f>
        <v>0</v>
      </c>
      <c r="AB16" s="56" t="n">
        <f aca="false">IF(A16="",0,(2*(E16/100)+D16/100)*C16)</f>
        <v>0</v>
      </c>
    </row>
    <row r="17" customFormat="false" ht="15" hidden="false" customHeight="true" outlineLevel="0" collapsed="false">
      <c r="A17" s="58"/>
      <c r="B17" s="58"/>
      <c r="C17" s="59"/>
      <c r="D17" s="58"/>
      <c r="E17" s="58"/>
      <c r="F17" s="58" t="n">
        <v>2.5</v>
      </c>
      <c r="G17" s="58" t="n">
        <v>50</v>
      </c>
      <c r="H17" s="58"/>
      <c r="I17" s="58"/>
      <c r="J17" s="58"/>
      <c r="K17" s="58"/>
      <c r="L17" s="58"/>
      <c r="M17" s="58"/>
      <c r="N17" s="58"/>
      <c r="O17" s="58"/>
      <c r="P17" s="59"/>
      <c r="Q17" s="67" t="str">
        <f aca="false">IF(A17="","",C17+IF(C17&gt;12,G17*I17/1000,0))</f>
        <v/>
      </c>
      <c r="R17" s="67" t="n">
        <f aca="false">IF(A17="",0,IFERROR(H17*Q17*VLOOKUP(I17,'TABELA DE PESOS'!$A$2:$B$9,2,FALSE()),0))</f>
        <v>0</v>
      </c>
      <c r="S17" s="67" t="str">
        <f aca="false">IF(A17="","",C17+IF(C17&gt;12,G17*K17/1000,0))</f>
        <v/>
      </c>
      <c r="T17" s="67" t="n">
        <f aca="false">IF(A17="",0,IFERROR(J17*S17*VLOOKUP(K17,'TABELA DE PESOS'!$A$2:$B$9,2,FALSE()),0))</f>
        <v>0</v>
      </c>
      <c r="U17" s="67" t="n">
        <f aca="false">IF(A17="",0,IFERROR(L17*C17*VLOOKUP(M17,'TABELA DE PESOS'!$A$2:$B$9,2,FALSE()),0))</f>
        <v>0</v>
      </c>
      <c r="V17" s="68" t="str">
        <f aca="false">IF(A17="","",2*(D17-2*F17)/100+2*(E17-2*F17)/100+2*10*(O17/1000))</f>
        <v/>
      </c>
      <c r="W17" s="69" t="str">
        <f aca="false">IF(A17="","",IFERROR(ROUNDUP(C17/P17,0)+1,0))</f>
        <v/>
      </c>
      <c r="X17" s="67" t="n">
        <f aca="false">IF(A17="",0,IFERROR(N17*V17*W17*VLOOKUP(O17,'TABELA DE PESOS'!$A$2:$B$9,2,FALSE()),0))</f>
        <v>0</v>
      </c>
      <c r="Y17" s="74"/>
      <c r="Z17" s="70" t="n">
        <f aca="false">IF(A17="",0,R17+T17+U17+X17)</f>
        <v>0</v>
      </c>
      <c r="AA17" s="71" t="n">
        <f aca="false">IF(A17="",0,(D17/100)*(E17/100)*C17)</f>
        <v>0</v>
      </c>
      <c r="AB17" s="72" t="n">
        <f aca="false">IF(A17="",0,(2*(E17/100)+D17/100)*C17)</f>
        <v>0</v>
      </c>
    </row>
    <row r="18" customFormat="false" ht="15" hidden="false" customHeight="true" outlineLevel="0" collapsed="false">
      <c r="A18" s="42"/>
      <c r="B18" s="42"/>
      <c r="C18" s="43"/>
      <c r="D18" s="42"/>
      <c r="E18" s="42"/>
      <c r="F18" s="42" t="n">
        <v>2.5</v>
      </c>
      <c r="G18" s="42" t="n">
        <v>50</v>
      </c>
      <c r="H18" s="42"/>
      <c r="I18" s="42"/>
      <c r="J18" s="42"/>
      <c r="K18" s="42"/>
      <c r="L18" s="42"/>
      <c r="M18" s="42"/>
      <c r="N18" s="42"/>
      <c r="O18" s="42"/>
      <c r="P18" s="43"/>
      <c r="Q18" s="51" t="str">
        <f aca="false">IF(A18="","",C18+IF(C18&gt;12,G18*I18/1000,0))</f>
        <v/>
      </c>
      <c r="R18" s="51" t="n">
        <f aca="false">IF(A18="",0,IFERROR(H18*Q18*VLOOKUP(I18,'TABELA DE PESOS'!$A$2:$B$9,2,FALSE()),0))</f>
        <v>0</v>
      </c>
      <c r="S18" s="51" t="str">
        <f aca="false">IF(A18="","",C18+IF(C18&gt;12,G18*K18/1000,0))</f>
        <v/>
      </c>
      <c r="T18" s="51" t="n">
        <f aca="false">IF(A18="",0,IFERROR(J18*S18*VLOOKUP(K18,'TABELA DE PESOS'!$A$2:$B$9,2,FALSE()),0))</f>
        <v>0</v>
      </c>
      <c r="U18" s="51" t="n">
        <f aca="false">IF(A18="",0,IFERROR(L18*C18*VLOOKUP(M18,'TABELA DE PESOS'!$A$2:$B$9,2,FALSE()),0))</f>
        <v>0</v>
      </c>
      <c r="V18" s="52" t="str">
        <f aca="false">IF(A18="","",2*(D18-2*F18)/100+2*(E18-2*F18)/100+2*10*(O18/1000))</f>
        <v/>
      </c>
      <c r="W18" s="53" t="str">
        <f aca="false">IF(A18="","",IFERROR(ROUNDUP(C18/P18,0)+1,0))</f>
        <v/>
      </c>
      <c r="X18" s="51" t="n">
        <f aca="false">IF(A18="",0,IFERROR(N18*V18*W18*VLOOKUP(O18,'TABELA DE PESOS'!$A$2:$B$9,2,FALSE()),0))</f>
        <v>0</v>
      </c>
      <c r="Y18" s="135"/>
      <c r="Z18" s="54" t="n">
        <f aca="false">IF(A18="",0,R18+T18+U18+X18)</f>
        <v>0</v>
      </c>
      <c r="AA18" s="55" t="n">
        <f aca="false">IF(A18="",0,(D18/100)*(E18/100)*C18)</f>
        <v>0</v>
      </c>
      <c r="AB18" s="56" t="n">
        <f aca="false">IF(A18="",0,(2*(E18/100)+D18/100)*C18)</f>
        <v>0</v>
      </c>
    </row>
    <row r="19" customFormat="false" ht="15" hidden="false" customHeight="true" outlineLevel="0" collapsed="false">
      <c r="A19" s="58"/>
      <c r="B19" s="58"/>
      <c r="C19" s="59"/>
      <c r="D19" s="58"/>
      <c r="E19" s="58"/>
      <c r="F19" s="58" t="n">
        <v>2.5</v>
      </c>
      <c r="G19" s="58" t="n">
        <v>50</v>
      </c>
      <c r="H19" s="58"/>
      <c r="I19" s="58"/>
      <c r="J19" s="58"/>
      <c r="K19" s="58"/>
      <c r="L19" s="58"/>
      <c r="M19" s="58"/>
      <c r="N19" s="58"/>
      <c r="O19" s="58"/>
      <c r="P19" s="59"/>
      <c r="Q19" s="67" t="str">
        <f aca="false">IF(A19="","",C19+IF(C19&gt;12,G19*I19/1000,0))</f>
        <v/>
      </c>
      <c r="R19" s="67" t="n">
        <f aca="false">IF(A19="",0,IFERROR(H19*Q19*VLOOKUP(I19,'TABELA DE PESOS'!$A$2:$B$9,2,FALSE()),0))</f>
        <v>0</v>
      </c>
      <c r="S19" s="67" t="str">
        <f aca="false">IF(A19="","",C19+IF(C19&gt;12,G19*K19/1000,0))</f>
        <v/>
      </c>
      <c r="T19" s="67" t="n">
        <f aca="false">IF(A19="",0,IFERROR(J19*S19*VLOOKUP(K19,'TABELA DE PESOS'!$A$2:$B$9,2,FALSE()),0))</f>
        <v>0</v>
      </c>
      <c r="U19" s="67" t="n">
        <f aca="false">IF(A19="",0,IFERROR(L19*C19*VLOOKUP(M19,'TABELA DE PESOS'!$A$2:$B$9,2,FALSE()),0))</f>
        <v>0</v>
      </c>
      <c r="V19" s="68" t="str">
        <f aca="false">IF(A19="","",2*(D19-2*F19)/100+2*(E19-2*F19)/100+2*10*(O19/1000))</f>
        <v/>
      </c>
      <c r="W19" s="69" t="str">
        <f aca="false">IF(A19="","",IFERROR(ROUNDUP(C19/P19,0)+1,0))</f>
        <v/>
      </c>
      <c r="X19" s="67" t="n">
        <f aca="false">IF(A19="",0,IFERROR(N19*V19*W19*VLOOKUP(O19,'TABELA DE PESOS'!$A$2:$B$9,2,FALSE()),0))</f>
        <v>0</v>
      </c>
      <c r="Y19" s="74"/>
      <c r="Z19" s="70" t="n">
        <f aca="false">IF(A19="",0,R19+T19+U19+X19)</f>
        <v>0</v>
      </c>
      <c r="AA19" s="71" t="n">
        <f aca="false">IF(A19="",0,(D19/100)*(E19/100)*C19)</f>
        <v>0</v>
      </c>
      <c r="AB19" s="72" t="n">
        <f aca="false">IF(A19="",0,(2*(E19/100)+D19/100)*C19)</f>
        <v>0</v>
      </c>
    </row>
    <row r="20" customFormat="false" ht="15" hidden="false" customHeight="true" outlineLevel="0" collapsed="false">
      <c r="A20" s="42"/>
      <c r="B20" s="42"/>
      <c r="C20" s="43"/>
      <c r="D20" s="42"/>
      <c r="E20" s="42"/>
      <c r="F20" s="42" t="n">
        <v>2.5</v>
      </c>
      <c r="G20" s="42" t="n">
        <v>50</v>
      </c>
      <c r="H20" s="42"/>
      <c r="I20" s="42"/>
      <c r="J20" s="42"/>
      <c r="K20" s="42"/>
      <c r="L20" s="42"/>
      <c r="M20" s="42"/>
      <c r="N20" s="42"/>
      <c r="O20" s="42"/>
      <c r="P20" s="43"/>
      <c r="Q20" s="51" t="str">
        <f aca="false">IF(A20="","",C20+IF(C20&gt;12,G20*I20/1000,0))</f>
        <v/>
      </c>
      <c r="R20" s="51" t="n">
        <f aca="false">IF(A20="",0,IFERROR(H20*Q20*VLOOKUP(I20,'TABELA DE PESOS'!$A$2:$B$9,2,FALSE()),0))</f>
        <v>0</v>
      </c>
      <c r="S20" s="51" t="str">
        <f aca="false">IF(A20="","",C20+IF(C20&gt;12,G20*K20/1000,0))</f>
        <v/>
      </c>
      <c r="T20" s="51" t="n">
        <f aca="false">IF(A20="",0,IFERROR(J20*S20*VLOOKUP(K20,'TABELA DE PESOS'!$A$2:$B$9,2,FALSE()),0))</f>
        <v>0</v>
      </c>
      <c r="U20" s="51" t="n">
        <f aca="false">IF(A20="",0,IFERROR(L20*C20*VLOOKUP(M20,'TABELA DE PESOS'!$A$2:$B$9,2,FALSE()),0))</f>
        <v>0</v>
      </c>
      <c r="V20" s="52" t="str">
        <f aca="false">IF(A20="","",2*(D20-2*F20)/100+2*(E20-2*F20)/100+2*10*(O20/1000))</f>
        <v/>
      </c>
      <c r="W20" s="53" t="str">
        <f aca="false">IF(A20="","",IFERROR(ROUNDUP(C20/P20,0)+1,0))</f>
        <v/>
      </c>
      <c r="X20" s="51" t="n">
        <f aca="false">IF(A20="",0,IFERROR(N20*V20*W20*VLOOKUP(O20,'TABELA DE PESOS'!$A$2:$B$9,2,FALSE()),0))</f>
        <v>0</v>
      </c>
      <c r="Y20" s="135"/>
      <c r="Z20" s="54" t="n">
        <f aca="false">IF(A20="",0,R20+T20+U20+X20)</f>
        <v>0</v>
      </c>
      <c r="AA20" s="55" t="n">
        <f aca="false">IF(A20="",0,(D20/100)*(E20/100)*C20)</f>
        <v>0</v>
      </c>
      <c r="AB20" s="56" t="n">
        <f aca="false">IF(A20="",0,(2*(E20/100)+D20/100)*C20)</f>
        <v>0</v>
      </c>
    </row>
    <row r="21" customFormat="false" ht="15" hidden="false" customHeight="true" outlineLevel="0" collapsed="false">
      <c r="A21" s="58"/>
      <c r="B21" s="58"/>
      <c r="C21" s="59"/>
      <c r="D21" s="58"/>
      <c r="E21" s="58"/>
      <c r="F21" s="58" t="n">
        <v>2.5</v>
      </c>
      <c r="G21" s="58" t="n">
        <v>50</v>
      </c>
      <c r="H21" s="58"/>
      <c r="I21" s="58"/>
      <c r="J21" s="58"/>
      <c r="K21" s="58"/>
      <c r="L21" s="58"/>
      <c r="M21" s="58"/>
      <c r="N21" s="58"/>
      <c r="O21" s="58"/>
      <c r="P21" s="59"/>
      <c r="Q21" s="67" t="str">
        <f aca="false">IF(A21="","",C21+IF(C21&gt;12,G21*I21/1000,0))</f>
        <v/>
      </c>
      <c r="R21" s="67" t="n">
        <f aca="false">IF(A21="",0,IFERROR(H21*Q21*VLOOKUP(I21,'TABELA DE PESOS'!$A$2:$B$9,2,FALSE()),0))</f>
        <v>0</v>
      </c>
      <c r="S21" s="67" t="str">
        <f aca="false">IF(A21="","",C21+IF(C21&gt;12,G21*K21/1000,0))</f>
        <v/>
      </c>
      <c r="T21" s="67" t="n">
        <f aca="false">IF(A21="",0,IFERROR(J21*S21*VLOOKUP(K21,'TABELA DE PESOS'!$A$2:$B$9,2,FALSE()),0))</f>
        <v>0</v>
      </c>
      <c r="U21" s="67" t="n">
        <f aca="false">IF(A21="",0,IFERROR(L21*C21*VLOOKUP(M21,'TABELA DE PESOS'!$A$2:$B$9,2,FALSE()),0))</f>
        <v>0</v>
      </c>
      <c r="V21" s="68" t="str">
        <f aca="false">IF(A21="","",2*(D21-2*F21)/100+2*(E21-2*F21)/100+2*10*(O21/1000))</f>
        <v/>
      </c>
      <c r="W21" s="69" t="str">
        <f aca="false">IF(A21="","",IFERROR(ROUNDUP(C21/P21,0)+1,0))</f>
        <v/>
      </c>
      <c r="X21" s="67" t="n">
        <f aca="false">IF(A21="",0,IFERROR(N21*V21*W21*VLOOKUP(O21,'TABELA DE PESOS'!$A$2:$B$9,2,FALSE()),0))</f>
        <v>0</v>
      </c>
      <c r="Y21" s="74"/>
      <c r="Z21" s="70" t="n">
        <f aca="false">IF(A21="",0,R21+T21+U21+X21)</f>
        <v>0</v>
      </c>
      <c r="AA21" s="71" t="n">
        <f aca="false">IF(A21="",0,(D21/100)*(E21/100)*C21)</f>
        <v>0</v>
      </c>
      <c r="AB21" s="72" t="n">
        <f aca="false">IF(A21="",0,(2*(E21/100)+D21/100)*C21)</f>
        <v>0</v>
      </c>
    </row>
    <row r="22" customFormat="false" ht="15" hidden="false" customHeight="true" outlineLevel="0" collapsed="false">
      <c r="A22" s="42"/>
      <c r="B22" s="42"/>
      <c r="C22" s="43"/>
      <c r="D22" s="42"/>
      <c r="E22" s="42"/>
      <c r="F22" s="42" t="n">
        <v>2.5</v>
      </c>
      <c r="G22" s="42" t="n">
        <v>50</v>
      </c>
      <c r="H22" s="42"/>
      <c r="I22" s="42"/>
      <c r="J22" s="42"/>
      <c r="K22" s="42"/>
      <c r="L22" s="42"/>
      <c r="M22" s="42"/>
      <c r="N22" s="42"/>
      <c r="O22" s="42"/>
      <c r="P22" s="43"/>
      <c r="Q22" s="51" t="str">
        <f aca="false">IF(A22="","",C22+IF(C22&gt;12,G22*I22/1000,0))</f>
        <v/>
      </c>
      <c r="R22" s="51" t="n">
        <f aca="false">IF(A22="",0,IFERROR(H22*Q22*VLOOKUP(I22,'TABELA DE PESOS'!$A$2:$B$9,2,FALSE()),0))</f>
        <v>0</v>
      </c>
      <c r="S22" s="51" t="str">
        <f aca="false">IF(A22="","",C22+IF(C22&gt;12,G22*K22/1000,0))</f>
        <v/>
      </c>
      <c r="T22" s="51" t="n">
        <f aca="false">IF(A22="",0,IFERROR(J22*S22*VLOOKUP(K22,'TABELA DE PESOS'!$A$2:$B$9,2,FALSE()),0))</f>
        <v>0</v>
      </c>
      <c r="U22" s="51" t="n">
        <f aca="false">IF(A22="",0,IFERROR(L22*C22*VLOOKUP(M22,'TABELA DE PESOS'!$A$2:$B$9,2,FALSE()),0))</f>
        <v>0</v>
      </c>
      <c r="V22" s="52" t="str">
        <f aca="false">IF(A22="","",2*(D22-2*F22)/100+2*(E22-2*F22)/100+2*10*(O22/1000))</f>
        <v/>
      </c>
      <c r="W22" s="53" t="str">
        <f aca="false">IF(A22="","",IFERROR(ROUNDUP(C22/P22,0)+1,0))</f>
        <v/>
      </c>
      <c r="X22" s="51" t="n">
        <f aca="false">IF(A22="",0,IFERROR(N22*V22*W22*VLOOKUP(O22,'TABELA DE PESOS'!$A$2:$B$9,2,FALSE()),0))</f>
        <v>0</v>
      </c>
      <c r="Y22" s="135"/>
      <c r="Z22" s="54" t="n">
        <f aca="false">IF(A22="",0,R22+T22+U22+X22)</f>
        <v>0</v>
      </c>
      <c r="AA22" s="55" t="n">
        <f aca="false">IF(A22="",0,(D22/100)*(E22/100)*C22)</f>
        <v>0</v>
      </c>
      <c r="AB22" s="56" t="n">
        <f aca="false">IF(A22="",0,(2*(E22/100)+D22/100)*C22)</f>
        <v>0</v>
      </c>
    </row>
    <row r="23" customFormat="false" ht="15" hidden="false" customHeight="true" outlineLevel="0" collapsed="false">
      <c r="A23" s="58"/>
      <c r="B23" s="58"/>
      <c r="C23" s="59"/>
      <c r="D23" s="58"/>
      <c r="E23" s="58"/>
      <c r="F23" s="58" t="n">
        <v>2.5</v>
      </c>
      <c r="G23" s="58" t="n">
        <v>50</v>
      </c>
      <c r="H23" s="58"/>
      <c r="I23" s="58"/>
      <c r="J23" s="58"/>
      <c r="K23" s="58"/>
      <c r="L23" s="58"/>
      <c r="M23" s="58"/>
      <c r="N23" s="58"/>
      <c r="O23" s="58"/>
      <c r="P23" s="59"/>
      <c r="Q23" s="67" t="str">
        <f aca="false">IF(A23="","",C23+IF(C23&gt;12,G23*I23/1000,0))</f>
        <v/>
      </c>
      <c r="R23" s="67" t="n">
        <f aca="false">IF(A23="",0,IFERROR(H23*Q23*VLOOKUP(I23,'TABELA DE PESOS'!$A$2:$B$9,2,FALSE()),0))</f>
        <v>0</v>
      </c>
      <c r="S23" s="67" t="str">
        <f aca="false">IF(A23="","",C23+IF(C23&gt;12,G23*K23/1000,0))</f>
        <v/>
      </c>
      <c r="T23" s="67" t="n">
        <f aca="false">IF(A23="",0,IFERROR(J23*S23*VLOOKUP(K23,'TABELA DE PESOS'!$A$2:$B$9,2,FALSE()),0))</f>
        <v>0</v>
      </c>
      <c r="U23" s="67" t="n">
        <f aca="false">IF(A23="",0,IFERROR(L23*C23*VLOOKUP(M23,'TABELA DE PESOS'!$A$2:$B$9,2,FALSE()),0))</f>
        <v>0</v>
      </c>
      <c r="V23" s="68" t="str">
        <f aca="false">IF(A23="","",2*(D23-2*F23)/100+2*(E23-2*F23)/100+2*10*(O23/1000))</f>
        <v/>
      </c>
      <c r="W23" s="69" t="str">
        <f aca="false">IF(A23="","",IFERROR(ROUNDUP(C23/P23,0)+1,0))</f>
        <v/>
      </c>
      <c r="X23" s="67" t="n">
        <f aca="false">IF(A23="",0,IFERROR(N23*V23*W23*VLOOKUP(O23,'TABELA DE PESOS'!$A$2:$B$9,2,FALSE()),0))</f>
        <v>0</v>
      </c>
      <c r="Y23" s="74"/>
      <c r="Z23" s="70" t="n">
        <f aca="false">IF(A23="",0,R23+T23+U23+X23)</f>
        <v>0</v>
      </c>
      <c r="AA23" s="71" t="n">
        <f aca="false">IF(A23="",0,(D23/100)*(E23/100)*C23)</f>
        <v>0</v>
      </c>
      <c r="AB23" s="72" t="n">
        <f aca="false">IF(A23="",0,(2*(E23/100)+D23/100)*C23)</f>
        <v>0</v>
      </c>
    </row>
    <row r="24" customFormat="false" ht="15" hidden="false" customHeight="true" outlineLevel="0" collapsed="false">
      <c r="A24" s="42"/>
      <c r="B24" s="42"/>
      <c r="C24" s="43"/>
      <c r="D24" s="42"/>
      <c r="E24" s="42"/>
      <c r="F24" s="42" t="n">
        <v>2.5</v>
      </c>
      <c r="G24" s="42" t="n">
        <v>50</v>
      </c>
      <c r="H24" s="42"/>
      <c r="I24" s="42"/>
      <c r="J24" s="42"/>
      <c r="K24" s="42"/>
      <c r="L24" s="42"/>
      <c r="M24" s="42"/>
      <c r="N24" s="42"/>
      <c r="O24" s="42"/>
      <c r="P24" s="43"/>
      <c r="Q24" s="51" t="str">
        <f aca="false">IF(A24="","",C24+IF(C24&gt;12,G24*I24/1000,0))</f>
        <v/>
      </c>
      <c r="R24" s="51" t="n">
        <f aca="false">IF(A24="",0,IFERROR(H24*Q24*VLOOKUP(I24,'TABELA DE PESOS'!$A$2:$B$9,2,FALSE()),0))</f>
        <v>0</v>
      </c>
      <c r="S24" s="51" t="str">
        <f aca="false">IF(A24="","",C24+IF(C24&gt;12,G24*K24/1000,0))</f>
        <v/>
      </c>
      <c r="T24" s="51" t="n">
        <f aca="false">IF(A24="",0,IFERROR(J24*S24*VLOOKUP(K24,'TABELA DE PESOS'!$A$2:$B$9,2,FALSE()),0))</f>
        <v>0</v>
      </c>
      <c r="U24" s="51" t="n">
        <f aca="false">IF(A24="",0,IFERROR(L24*C24*VLOOKUP(M24,'TABELA DE PESOS'!$A$2:$B$9,2,FALSE()),0))</f>
        <v>0</v>
      </c>
      <c r="V24" s="52" t="str">
        <f aca="false">IF(A24="","",2*(D24-2*F24)/100+2*(E24-2*F24)/100+2*10*(O24/1000))</f>
        <v/>
      </c>
      <c r="W24" s="53" t="str">
        <f aca="false">IF(A24="","",IFERROR(ROUNDUP(C24/P24,0)+1,0))</f>
        <v/>
      </c>
      <c r="X24" s="51" t="n">
        <f aca="false">IF(A24="",0,IFERROR(N24*V24*W24*VLOOKUP(O24,'TABELA DE PESOS'!$A$2:$B$9,2,FALSE()),0))</f>
        <v>0</v>
      </c>
      <c r="Y24" s="135"/>
      <c r="Z24" s="54" t="n">
        <f aca="false">IF(A24="",0,R24+T24+U24+X24)</f>
        <v>0</v>
      </c>
      <c r="AA24" s="55" t="n">
        <f aca="false">IF(A24="",0,(D24/100)*(E24/100)*C24)</f>
        <v>0</v>
      </c>
      <c r="AB24" s="56" t="n">
        <f aca="false">IF(A24="",0,(2*(E24/100)+D24/100)*C24)</f>
        <v>0</v>
      </c>
    </row>
    <row r="25" customFormat="false" ht="15" hidden="false" customHeight="true" outlineLevel="0" collapsed="false">
      <c r="A25" s="58"/>
      <c r="B25" s="58"/>
      <c r="C25" s="59"/>
      <c r="D25" s="58"/>
      <c r="E25" s="58"/>
      <c r="F25" s="58" t="n">
        <v>2.5</v>
      </c>
      <c r="G25" s="58" t="n">
        <v>50</v>
      </c>
      <c r="H25" s="58"/>
      <c r="I25" s="58"/>
      <c r="J25" s="58"/>
      <c r="K25" s="58"/>
      <c r="L25" s="58"/>
      <c r="M25" s="58"/>
      <c r="N25" s="58"/>
      <c r="O25" s="58"/>
      <c r="P25" s="59"/>
      <c r="Q25" s="67" t="str">
        <f aca="false">IF(A25="","",C25+IF(C25&gt;12,G25*I25/1000,0))</f>
        <v/>
      </c>
      <c r="R25" s="67" t="n">
        <f aca="false">IF(A25="",0,IFERROR(H25*Q25*VLOOKUP(I25,'TABELA DE PESOS'!$A$2:$B$9,2,FALSE()),0))</f>
        <v>0</v>
      </c>
      <c r="S25" s="67" t="str">
        <f aca="false">IF(A25="","",C25+IF(C25&gt;12,G25*K25/1000,0))</f>
        <v/>
      </c>
      <c r="T25" s="67" t="n">
        <f aca="false">IF(A25="",0,IFERROR(J25*S25*VLOOKUP(K25,'TABELA DE PESOS'!$A$2:$B$9,2,FALSE()),0))</f>
        <v>0</v>
      </c>
      <c r="U25" s="67" t="n">
        <f aca="false">IF(A25="",0,IFERROR(L25*C25*VLOOKUP(M25,'TABELA DE PESOS'!$A$2:$B$9,2,FALSE()),0))</f>
        <v>0</v>
      </c>
      <c r="V25" s="68" t="str">
        <f aca="false">IF(A25="","",2*(D25-2*F25)/100+2*(E25-2*F25)/100+2*10*(O25/1000))</f>
        <v/>
      </c>
      <c r="W25" s="69" t="str">
        <f aca="false">IF(A25="","",IFERROR(ROUNDUP(C25/P25,0)+1,0))</f>
        <v/>
      </c>
      <c r="X25" s="67" t="n">
        <f aca="false">IF(A25="",0,IFERROR(N25*V25*W25*VLOOKUP(O25,'TABELA DE PESOS'!$A$2:$B$9,2,FALSE()),0))</f>
        <v>0</v>
      </c>
      <c r="Y25" s="74"/>
      <c r="Z25" s="70" t="n">
        <f aca="false">IF(A25="",0,R25+T25+U25+X25)</f>
        <v>0</v>
      </c>
      <c r="AA25" s="71" t="n">
        <f aca="false">IF(A25="",0,(D25/100)*(E25/100)*C25)</f>
        <v>0</v>
      </c>
      <c r="AB25" s="72" t="n">
        <f aca="false">IF(A25="",0,(2*(E25/100)+D25/100)*C25)</f>
        <v>0</v>
      </c>
    </row>
    <row r="26" customFormat="false" ht="15" hidden="false" customHeight="true" outlineLevel="0" collapsed="false">
      <c r="A26" s="75" t="s">
        <v>138</v>
      </c>
      <c r="B26" s="75"/>
      <c r="C26" s="75"/>
      <c r="D26" s="75"/>
      <c r="E26" s="75"/>
      <c r="F26" s="75"/>
      <c r="G26" s="75"/>
      <c r="H26" s="75"/>
      <c r="I26" s="75"/>
      <c r="J26" s="75"/>
      <c r="K26" s="75"/>
      <c r="L26" s="75"/>
      <c r="M26" s="75"/>
      <c r="N26" s="75"/>
      <c r="O26" s="75"/>
      <c r="P26" s="75"/>
      <c r="Q26" s="75"/>
      <c r="R26" s="77" t="n">
        <f aca="false">SUM(R6:R25)</f>
        <v>102.582</v>
      </c>
      <c r="S26" s="76"/>
      <c r="T26" s="77" t="n">
        <f aca="false">SUM(T6:T25)</f>
        <v>34.128</v>
      </c>
      <c r="U26" s="77" t="n">
        <f aca="false">SUM(U6:U25)</f>
        <v>0</v>
      </c>
      <c r="V26" s="76"/>
      <c r="W26" s="76"/>
      <c r="X26" s="77" t="n">
        <f aca="false">SUM(X6:X25)</f>
        <v>54.8655</v>
      </c>
      <c r="Y26" s="76"/>
      <c r="Z26" s="77" t="n">
        <f aca="false">SUM(Z6:Z25)</f>
        <v>191.5755</v>
      </c>
      <c r="AA26" s="77" t="n">
        <f aca="false">SUM(AA6:AA25)</f>
        <v>1.7</v>
      </c>
      <c r="AB26" s="77" t="n">
        <f aca="false">SUM(AB6:AB25)</f>
        <v>17.6</v>
      </c>
    </row>
  </sheetData>
  <mergeCells count="7">
    <mergeCell ref="A1:AB1"/>
    <mergeCell ref="A2:AB2"/>
    <mergeCell ref="A4:G4"/>
    <mergeCell ref="H4:P4"/>
    <mergeCell ref="Q4:Y4"/>
    <mergeCell ref="AA4:AB4"/>
    <mergeCell ref="A26:Q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M17" activeCellId="0" sqref="M17"/>
    </sheetView>
  </sheetViews>
  <sheetFormatPr defaultColWidth="8.507812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1"/>
    <col collapsed="false" customWidth="true" hidden="false" outlineLevel="0" max="4" min="4" style="0" width="25"/>
    <col collapsed="false" customWidth="true" hidden="false" outlineLevel="0" max="6" min="5" style="0" width="7"/>
    <col collapsed="false" customWidth="true" hidden="false" outlineLevel="0" max="7" min="7" style="0" width="6"/>
    <col collapsed="false" customWidth="true" hidden="false" outlineLevel="0" max="9" min="8" style="0" width="7"/>
    <col collapsed="false" customWidth="true" hidden="false" outlineLevel="0" max="10" min="10" style="0" width="8"/>
    <col collapsed="false" customWidth="true" hidden="false" outlineLevel="0" max="11" min="11" style="0" width="9"/>
    <col collapsed="false" customWidth="true" hidden="false" outlineLevel="0" max="12" min="12" style="0" width="8"/>
    <col collapsed="false" customWidth="true" hidden="false" outlineLevel="0" max="13" min="13" style="0" width="9"/>
    <col collapsed="false" customWidth="true" hidden="false" outlineLevel="0" max="14" min="14" style="0" width="8"/>
    <col collapsed="false" customWidth="true" hidden="false" outlineLevel="0" max="16" min="15" style="0" width="9"/>
    <col collapsed="false" customWidth="true" hidden="false" outlineLevel="0" max="17" min="17" style="0" width="8"/>
    <col collapsed="false" customWidth="true" hidden="false" outlineLevel="0" max="19" min="18" style="0" width="9"/>
    <col collapsed="false" customWidth="true" hidden="false" outlineLevel="0" max="20" min="20" style="0" width="8"/>
    <col collapsed="false" customWidth="true" hidden="false" outlineLevel="0" max="23" min="21" style="0" width="9"/>
    <col collapsed="false" customWidth="true" hidden="false" outlineLevel="0" max="24" min="24" style="0" width="7"/>
    <col collapsed="false" customWidth="true" hidden="false" outlineLevel="0" max="25" min="25" style="0" width="10"/>
    <col collapsed="false" customWidth="true" hidden="false" outlineLevel="0" max="26" min="26" style="0" width="6"/>
    <col collapsed="false" customWidth="true" hidden="false" outlineLevel="0" max="27" min="27" style="0" width="10"/>
    <col collapsed="false" customWidth="true" hidden="false" outlineLevel="0" max="28" min="28" style="0" width="9"/>
    <col collapsed="false" customWidth="true" hidden="false" outlineLevel="0" max="29" min="29" style="0" width="10"/>
    <col collapsed="false" customWidth="true" hidden="false" outlineLevel="0" max="30" min="30" style="0" width="6"/>
    <col collapsed="false" customWidth="true" hidden="false" outlineLevel="0" max="31" min="31" style="0" width="10"/>
    <col collapsed="false" customWidth="true" hidden="false" outlineLevel="0" max="32" min="32" style="0" width="9"/>
    <col collapsed="false" customWidth="true" hidden="false" outlineLevel="0" max="33" min="33" style="0" width="10"/>
    <col collapsed="false" customWidth="true" hidden="false" outlineLevel="0" max="34" min="34" style="0" width="6"/>
    <col collapsed="false" customWidth="true" hidden="false" outlineLevel="0" max="35" min="35" style="0" width="10"/>
    <col collapsed="false" customWidth="true" hidden="false" outlineLevel="0" max="36" min="36" style="0" width="6"/>
    <col collapsed="false" customWidth="true" hidden="false" outlineLevel="0" max="37" min="37" style="0" width="10"/>
    <col collapsed="false" customWidth="true" hidden="false" outlineLevel="0" max="38" min="38" style="0" width="6"/>
    <col collapsed="false" customWidth="true" hidden="false" outlineLevel="0" max="40" min="39" style="0" width="10"/>
    <col collapsed="false" customWidth="true" hidden="false" outlineLevel="0" max="41" min="41" style="0" width="11"/>
    <col collapsed="false" customWidth="true" hidden="false" outlineLevel="0" max="43" min="42" style="0" width="10"/>
  </cols>
  <sheetData>
    <row r="1" customFormat="false" ht="17.25" hidden="false" customHeight="true" outlineLevel="0" collapsed="false">
      <c r="A1" s="12" t="s">
        <v>322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row>
    <row r="2" customFormat="false" ht="15" hidden="false" customHeight="true" outlineLevel="0" collapsed="false">
      <c r="A2" s="21" t="s">
        <v>323</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row>
    <row r="3" customFormat="false" ht="6" hidden="false" customHeight="true" outlineLevel="0" collapsed="false"/>
    <row r="4" customFormat="false" ht="19.5" hidden="false" customHeight="true" outlineLevel="0" collapsed="false">
      <c r="A4" s="22" t="s">
        <v>324</v>
      </c>
      <c r="B4" s="22"/>
      <c r="C4" s="22"/>
      <c r="D4" s="22"/>
      <c r="E4" s="22" t="s">
        <v>293</v>
      </c>
      <c r="F4" s="22"/>
      <c r="G4" s="22"/>
      <c r="H4" s="22"/>
      <c r="I4" s="22"/>
      <c r="J4" s="24" t="s">
        <v>325</v>
      </c>
      <c r="K4" s="24"/>
      <c r="L4" s="24"/>
      <c r="M4" s="24"/>
      <c r="N4" s="25" t="s">
        <v>326</v>
      </c>
      <c r="O4" s="25"/>
      <c r="P4" s="25"/>
      <c r="Q4" s="25"/>
      <c r="R4" s="25"/>
      <c r="S4" s="25"/>
      <c r="T4" s="26" t="s">
        <v>327</v>
      </c>
      <c r="U4" s="26"/>
      <c r="V4" s="136" t="s">
        <v>328</v>
      </c>
      <c r="W4" s="136"/>
      <c r="X4" s="136"/>
      <c r="Y4" s="28" t="s">
        <v>329</v>
      </c>
      <c r="Z4" s="28" t="s">
        <v>330</v>
      </c>
      <c r="AA4" s="28"/>
      <c r="AB4" s="28"/>
      <c r="AC4" s="28"/>
      <c r="AD4" s="28"/>
      <c r="AE4" s="28"/>
      <c r="AF4" s="28"/>
      <c r="AG4" s="28"/>
      <c r="AH4" s="28" t="s">
        <v>331</v>
      </c>
      <c r="AI4" s="28"/>
      <c r="AJ4" s="28"/>
      <c r="AK4" s="28"/>
      <c r="AL4" s="28" t="s">
        <v>332</v>
      </c>
      <c r="AM4" s="28"/>
      <c r="AN4" s="28"/>
      <c r="AO4" s="29" t="s">
        <v>86</v>
      </c>
      <c r="AP4" s="30" t="s">
        <v>87</v>
      </c>
      <c r="AQ4" s="31" t="s">
        <v>88</v>
      </c>
    </row>
    <row r="5" customFormat="false" ht="48" hidden="false" customHeight="true" outlineLevel="0" collapsed="false">
      <c r="A5" s="13" t="s">
        <v>333</v>
      </c>
      <c r="B5" s="13" t="s">
        <v>180</v>
      </c>
      <c r="C5" s="13" t="s">
        <v>90</v>
      </c>
      <c r="D5" s="13" t="s">
        <v>334</v>
      </c>
      <c r="E5" s="13" t="s">
        <v>335</v>
      </c>
      <c r="F5" s="13" t="s">
        <v>336</v>
      </c>
      <c r="G5" s="13" t="s">
        <v>93</v>
      </c>
      <c r="H5" s="13" t="s">
        <v>94</v>
      </c>
      <c r="I5" s="37" t="s">
        <v>337</v>
      </c>
      <c r="J5" s="33" t="s">
        <v>338</v>
      </c>
      <c r="K5" s="33" t="s">
        <v>339</v>
      </c>
      <c r="L5" s="33" t="s">
        <v>340</v>
      </c>
      <c r="M5" s="33" t="s">
        <v>341</v>
      </c>
      <c r="N5" s="34" t="s">
        <v>342</v>
      </c>
      <c r="O5" s="34" t="s">
        <v>343</v>
      </c>
      <c r="P5" s="34" t="s">
        <v>344</v>
      </c>
      <c r="Q5" s="34" t="s">
        <v>345</v>
      </c>
      <c r="R5" s="34" t="s">
        <v>346</v>
      </c>
      <c r="S5" s="34" t="s">
        <v>347</v>
      </c>
      <c r="T5" s="35" t="s">
        <v>348</v>
      </c>
      <c r="U5" s="35" t="s">
        <v>349</v>
      </c>
      <c r="V5" s="36" t="s">
        <v>350</v>
      </c>
      <c r="W5" s="36" t="s">
        <v>351</v>
      </c>
      <c r="X5" s="36" t="s">
        <v>352</v>
      </c>
      <c r="Y5" s="137" t="s">
        <v>353</v>
      </c>
      <c r="Z5" s="37" t="s">
        <v>354</v>
      </c>
      <c r="AA5" s="37" t="s">
        <v>355</v>
      </c>
      <c r="AB5" s="37" t="s">
        <v>356</v>
      </c>
      <c r="AC5" s="37" t="s">
        <v>357</v>
      </c>
      <c r="AD5" s="37" t="s">
        <v>358</v>
      </c>
      <c r="AE5" s="37" t="s">
        <v>359</v>
      </c>
      <c r="AF5" s="37" t="s">
        <v>360</v>
      </c>
      <c r="AG5" s="37" t="s">
        <v>361</v>
      </c>
      <c r="AH5" s="37" t="s">
        <v>362</v>
      </c>
      <c r="AI5" s="37" t="s">
        <v>363</v>
      </c>
      <c r="AJ5" s="37" t="s">
        <v>364</v>
      </c>
      <c r="AK5" s="37" t="s">
        <v>365</v>
      </c>
      <c r="AL5" s="37" t="s">
        <v>366</v>
      </c>
      <c r="AM5" s="37" t="s">
        <v>367</v>
      </c>
      <c r="AN5" s="37" t="s">
        <v>368</v>
      </c>
      <c r="AO5" s="38" t="s">
        <v>130</v>
      </c>
      <c r="AP5" s="39" t="s">
        <v>131</v>
      </c>
      <c r="AQ5" s="40" t="s">
        <v>132</v>
      </c>
    </row>
    <row r="6" customFormat="false" ht="15" hidden="false" customHeight="true" outlineLevel="0" collapsed="false">
      <c r="A6" s="42" t="s">
        <v>369</v>
      </c>
      <c r="B6" s="42" t="s">
        <v>370</v>
      </c>
      <c r="C6" s="42" t="s">
        <v>72</v>
      </c>
      <c r="D6" s="42" t="s">
        <v>371</v>
      </c>
      <c r="E6" s="43" t="n">
        <v>5</v>
      </c>
      <c r="F6" s="43" t="n">
        <v>4</v>
      </c>
      <c r="G6" s="42" t="n">
        <v>15</v>
      </c>
      <c r="H6" s="42" t="n">
        <v>2</v>
      </c>
      <c r="I6" s="138" t="n">
        <f aca="false">IF(A6="","",G6-H6-0.5)</f>
        <v>12.5</v>
      </c>
      <c r="J6" s="42" t="n">
        <v>10</v>
      </c>
      <c r="K6" s="43" t="n">
        <v>0.2</v>
      </c>
      <c r="L6" s="42" t="n">
        <v>10</v>
      </c>
      <c r="M6" s="43" t="n">
        <v>0.2</v>
      </c>
      <c r="N6" s="46" t="n">
        <v>10</v>
      </c>
      <c r="O6" s="47" t="n">
        <v>0.2</v>
      </c>
      <c r="P6" s="47" t="n">
        <v>1.25</v>
      </c>
      <c r="Q6" s="46" t="n">
        <v>10</v>
      </c>
      <c r="R6" s="47" t="n">
        <v>0.2</v>
      </c>
      <c r="S6" s="47" t="n">
        <v>1</v>
      </c>
      <c r="T6" s="48" t="n">
        <v>6</v>
      </c>
      <c r="U6" s="49" t="n">
        <v>0.2</v>
      </c>
      <c r="V6" s="139"/>
      <c r="W6" s="140"/>
      <c r="X6" s="139"/>
      <c r="Y6" s="141" t="n">
        <f aca="false">IF(A6="","",2*(E6+F6))</f>
        <v>18</v>
      </c>
      <c r="Z6" s="53" t="n">
        <f aca="false">IF(A6="","",IFERROR(ROUNDUP(F6/K6,0)+1,0))</f>
        <v>21</v>
      </c>
      <c r="AA6" s="52" t="n">
        <f aca="false">IF(A6="","",E6+2*10*(J6/1000))</f>
        <v>5.2</v>
      </c>
      <c r="AB6" s="52" t="n">
        <f aca="false">IF(A6="","",IF(AA6&gt;12,50*J6/1000,0))</f>
        <v>0</v>
      </c>
      <c r="AC6" s="51" t="n">
        <f aca="false">IF(A6="",0,IFERROR(Z6*(AA6+AB6)*VLOOKUP(J6,'TABELA DE PESOS'!$A$2:$B$9,2,FALSE()),0))</f>
        <v>67.3764</v>
      </c>
      <c r="AD6" s="53" t="n">
        <f aca="false">IF(A6="","",IFERROR(ROUNDUP(E6/M6,0)+1,0))</f>
        <v>26</v>
      </c>
      <c r="AE6" s="52" t="n">
        <f aca="false">IF(A6="","",F6+2*10*(L6/1000))</f>
        <v>4.2</v>
      </c>
      <c r="AF6" s="52" t="n">
        <f aca="false">IF(A6="","",IF(AE6&gt;12,50*L6/1000,0))</f>
        <v>0</v>
      </c>
      <c r="AG6" s="51" t="n">
        <f aca="false">IF(A6="",0,IFERROR(AD6*(AE6+AF6)*VLOOKUP(L6,'TABELA DE PESOS'!$A$2:$B$9,2,FALSE()),0))</f>
        <v>67.3764</v>
      </c>
      <c r="AH6" s="53" t="n">
        <f aca="false">IF(A6="","",IFERROR(2*(ROUNDUP(F6/O6,0)+1),0))</f>
        <v>42</v>
      </c>
      <c r="AI6" s="51" t="n">
        <f aca="false">IF(A6="",0,IFERROR(AH6*P6*VLOOKUP(N6,'TABELA DE PESOS'!$A$2:$B$9,2,FALSE()),0))</f>
        <v>32.3925</v>
      </c>
      <c r="AJ6" s="53" t="n">
        <f aca="false">IF(A6="","",IFERROR(2*(ROUNDUP(E6/R6,0)+1),0))</f>
        <v>52</v>
      </c>
      <c r="AK6" s="51" t="n">
        <f aca="false">IF(A6="",0,IFERROR(AJ6*S6*VLOOKUP(Q6,'TABELA DE PESOS'!$A$2:$B$9,2,FALSE()),0))</f>
        <v>32.084</v>
      </c>
      <c r="AL6" s="53" t="n">
        <f aca="false">IF(A6="","",IFERROR(ROUNDUP(Y6/U6,0),0))</f>
        <v>90</v>
      </c>
      <c r="AM6" s="52" t="n">
        <f aca="false">IF(A6="","",MAX(E6,F6))</f>
        <v>5</v>
      </c>
      <c r="AN6" s="51" t="n">
        <f aca="false">IF(A6="",0,IFERROR(AL6*AM6*VLOOKUP(T6,'TABELA DE PESOS'!$A$2:$B$9,2,FALSE()),0))</f>
        <v>99.9</v>
      </c>
      <c r="AO6" s="54" t="n">
        <f aca="false">IF(A6="",0,AC6+AG6+AI6+AK6+AN6)</f>
        <v>299.1293</v>
      </c>
      <c r="AP6" s="55" t="n">
        <f aca="false">IF(A6="",0,IF(B6="Aligeirada",E6*F6*G6/100*0.65,E6*F6*G6/100))</f>
        <v>3</v>
      </c>
      <c r="AQ6" s="56" t="n">
        <f aca="false">IF(A6="",0,E6*F6+Y6*G6/100)</f>
        <v>22.7</v>
      </c>
    </row>
    <row r="7" customFormat="false" ht="15" hidden="false" customHeight="true" outlineLevel="0" collapsed="false">
      <c r="A7" s="58" t="s">
        <v>372</v>
      </c>
      <c r="B7" s="58" t="s">
        <v>373</v>
      </c>
      <c r="C7" s="58" t="s">
        <v>140</v>
      </c>
      <c r="D7" s="58" t="s">
        <v>374</v>
      </c>
      <c r="E7" s="59" t="n">
        <v>6</v>
      </c>
      <c r="F7" s="59" t="n">
        <v>5</v>
      </c>
      <c r="G7" s="58" t="n">
        <v>20</v>
      </c>
      <c r="H7" s="58" t="n">
        <v>2</v>
      </c>
      <c r="I7" s="142" t="n">
        <f aca="false">IF(A7="","",G7-H7-0.5)</f>
        <v>17.5</v>
      </c>
      <c r="J7" s="58" t="n">
        <v>12</v>
      </c>
      <c r="K7" s="59" t="n">
        <v>0.4</v>
      </c>
      <c r="L7" s="58" t="n">
        <v>12</v>
      </c>
      <c r="M7" s="59" t="n">
        <v>0.4</v>
      </c>
      <c r="N7" s="62" t="n">
        <v>10</v>
      </c>
      <c r="O7" s="63" t="n">
        <v>0.2</v>
      </c>
      <c r="P7" s="63" t="n">
        <v>1.5</v>
      </c>
      <c r="Q7" s="62" t="n">
        <v>10</v>
      </c>
      <c r="R7" s="63" t="n">
        <v>0.2</v>
      </c>
      <c r="S7" s="63" t="n">
        <v>1.25</v>
      </c>
      <c r="T7" s="64" t="n">
        <v>6</v>
      </c>
      <c r="U7" s="65" t="n">
        <v>0.2</v>
      </c>
      <c r="V7" s="143" t="n">
        <v>12</v>
      </c>
      <c r="W7" s="144" t="n">
        <v>0.4</v>
      </c>
      <c r="X7" s="143"/>
      <c r="Y7" s="145" t="n">
        <f aca="false">IF(A7="","",2*(E7+F7))</f>
        <v>22</v>
      </c>
      <c r="Z7" s="69" t="n">
        <f aca="false">IF(A7="","",IFERROR(ROUNDUP(F7/K7,0)+1,0))</f>
        <v>14</v>
      </c>
      <c r="AA7" s="68" t="n">
        <f aca="false">IF(A7="","",E7+2*10*(J7/1000))</f>
        <v>6.24</v>
      </c>
      <c r="AB7" s="68" t="n">
        <f aca="false">IF(A7="","",IF(AA7&gt;12,50*J7/1000,0))</f>
        <v>0</v>
      </c>
      <c r="AC7" s="67" t="n">
        <f aca="false">IF(A7="",0,IFERROR(Z7*(AA7+AB7)*VLOOKUP(J7,'TABELA DE PESOS'!$A$2:$B$9,2,FALSE()),0))</f>
        <v>77.57568</v>
      </c>
      <c r="AD7" s="69" t="n">
        <f aca="false">IF(A7="","",IFERROR(ROUNDUP(E7/M7,0)+1,0))</f>
        <v>16</v>
      </c>
      <c r="AE7" s="68" t="n">
        <f aca="false">IF(A7="","",F7+2*10*(L7/1000))</f>
        <v>5.24</v>
      </c>
      <c r="AF7" s="68" t="n">
        <f aca="false">IF(A7="","",IF(AE7&gt;12,50*L7/1000,0))</f>
        <v>0</v>
      </c>
      <c r="AG7" s="67" t="n">
        <f aca="false">IF(A7="",0,IFERROR(AD7*(AE7+AF7)*VLOOKUP(L7,'TABELA DE PESOS'!$A$2:$B$9,2,FALSE()),0))</f>
        <v>74.44992</v>
      </c>
      <c r="AH7" s="69" t="n">
        <f aca="false">IF(A7="","",IFERROR(2*(ROUNDUP(F7/O7,0)+1),0))</f>
        <v>52</v>
      </c>
      <c r="AI7" s="67" t="n">
        <f aca="false">IF(A7="",0,IFERROR(AH7*P7*VLOOKUP(N7,'TABELA DE PESOS'!$A$2:$B$9,2,FALSE()),0))</f>
        <v>48.126</v>
      </c>
      <c r="AJ7" s="69" t="n">
        <f aca="false">IF(A7="","",IFERROR(2*(ROUNDUP(E7/R7,0)+1),0))</f>
        <v>62</v>
      </c>
      <c r="AK7" s="67" t="n">
        <f aca="false">IF(A7="",0,IFERROR(AJ7*S7*VLOOKUP(Q7,'TABELA DE PESOS'!$A$2:$B$9,2,FALSE()),0))</f>
        <v>47.8175</v>
      </c>
      <c r="AL7" s="69" t="n">
        <f aca="false">IF(A7="","",IFERROR(ROUNDUP(Y7/U7,0),0))</f>
        <v>110</v>
      </c>
      <c r="AM7" s="68" t="n">
        <f aca="false">IF(A7="","",MAX(E7,F7))</f>
        <v>6</v>
      </c>
      <c r="AN7" s="67" t="n">
        <f aca="false">IF(A7="",0,IFERROR(AL7*AM7*VLOOKUP(T7,'TABELA DE PESOS'!$A$2:$B$9,2,FALSE()),0))</f>
        <v>146.52</v>
      </c>
      <c r="AO7" s="70" t="n">
        <f aca="false">IF(A7="",0,AC7+AG7+AI7+AK7+AN7)</f>
        <v>394.4891</v>
      </c>
      <c r="AP7" s="71" t="n">
        <f aca="false">IF(A7="",0,IF(B7="Aligeirada",E7*F7*G7/100*0.65,E7*F7*G7/100))</f>
        <v>3.9</v>
      </c>
      <c r="AQ7" s="72" t="n">
        <f aca="false">IF(A7="",0,E7*F7+Y7*G7/100)</f>
        <v>34.4</v>
      </c>
    </row>
    <row r="8" customFormat="false" ht="15" hidden="false" customHeight="true" outlineLevel="0" collapsed="false">
      <c r="A8" s="42" t="s">
        <v>375</v>
      </c>
      <c r="B8" s="42" t="s">
        <v>370</v>
      </c>
      <c r="C8" s="42" t="s">
        <v>73</v>
      </c>
      <c r="D8" s="42" t="s">
        <v>376</v>
      </c>
      <c r="E8" s="43" t="n">
        <v>4</v>
      </c>
      <c r="F8" s="43" t="n">
        <v>3.5</v>
      </c>
      <c r="G8" s="42" t="n">
        <v>12</v>
      </c>
      <c r="H8" s="42" t="n">
        <v>2</v>
      </c>
      <c r="I8" s="138" t="n">
        <f aca="false">IF(A8="","",G8-H8-0.5)</f>
        <v>9.5</v>
      </c>
      <c r="J8" s="42" t="n">
        <v>8</v>
      </c>
      <c r="K8" s="43" t="n">
        <v>0.2</v>
      </c>
      <c r="L8" s="42" t="n">
        <v>8</v>
      </c>
      <c r="M8" s="43" t="n">
        <v>0.2</v>
      </c>
      <c r="N8" s="46" t="n">
        <v>8</v>
      </c>
      <c r="O8" s="47" t="n">
        <v>0.2</v>
      </c>
      <c r="P8" s="47" t="n">
        <v>1</v>
      </c>
      <c r="Q8" s="46" t="n">
        <v>8</v>
      </c>
      <c r="R8" s="47" t="n">
        <v>0.2</v>
      </c>
      <c r="S8" s="47" t="n">
        <v>0.88</v>
      </c>
      <c r="T8" s="48" t="n">
        <v>6</v>
      </c>
      <c r="U8" s="49" t="n">
        <v>0.2</v>
      </c>
      <c r="V8" s="139"/>
      <c r="W8" s="140"/>
      <c r="X8" s="139"/>
      <c r="Y8" s="141" t="n">
        <f aca="false">IF(A8="","",2*(E8+F8))</f>
        <v>15</v>
      </c>
      <c r="Z8" s="53" t="n">
        <f aca="false">IF(A8="","",IFERROR(ROUNDUP(F8/K8,0)+1,0))</f>
        <v>19</v>
      </c>
      <c r="AA8" s="52" t="n">
        <f aca="false">IF(A8="","",E8+2*10*(J8/1000))</f>
        <v>4.16</v>
      </c>
      <c r="AB8" s="52" t="n">
        <f aca="false">IF(A8="","",IF(AA8&gt;12,50*J8/1000,0))</f>
        <v>0</v>
      </c>
      <c r="AC8" s="51" t="n">
        <f aca="false">IF(A8="",0,IFERROR(Z8*(AA8+AB8)*VLOOKUP(J8,'TABELA DE PESOS'!$A$2:$B$9,2,FALSE()),0))</f>
        <v>31.2208</v>
      </c>
      <c r="AD8" s="53" t="n">
        <f aca="false">IF(A8="","",IFERROR(ROUNDUP(E8/M8,0)+1,0))</f>
        <v>21</v>
      </c>
      <c r="AE8" s="52" t="n">
        <f aca="false">IF(A8="","",F8+2*10*(L8/1000))</f>
        <v>3.66</v>
      </c>
      <c r="AF8" s="52" t="n">
        <f aca="false">IF(A8="","",IF(AE8&gt;12,50*L8/1000,0))</f>
        <v>0</v>
      </c>
      <c r="AG8" s="51" t="n">
        <f aca="false">IF(A8="",0,IFERROR(AD8*(AE8+AF8)*VLOOKUP(L8,'TABELA DE PESOS'!$A$2:$B$9,2,FALSE()),0))</f>
        <v>30.3597</v>
      </c>
      <c r="AH8" s="53" t="n">
        <f aca="false">IF(A8="","",IFERROR(2*(ROUNDUP(F8/O8,0)+1),0))</f>
        <v>38</v>
      </c>
      <c r="AI8" s="51" t="n">
        <f aca="false">IF(A8="",0,IFERROR(AH8*P8*VLOOKUP(N8,'TABELA DE PESOS'!$A$2:$B$9,2,FALSE()),0))</f>
        <v>15.01</v>
      </c>
      <c r="AJ8" s="53" t="n">
        <f aca="false">IF(A8="","",IFERROR(2*(ROUNDUP(E8/R8,0)+1),0))</f>
        <v>42</v>
      </c>
      <c r="AK8" s="51" t="n">
        <f aca="false">IF(A8="",0,IFERROR(AJ8*S8*VLOOKUP(Q8,'TABELA DE PESOS'!$A$2:$B$9,2,FALSE()),0))</f>
        <v>14.5992</v>
      </c>
      <c r="AL8" s="53" t="n">
        <f aca="false">IF(A8="","",IFERROR(ROUNDUP(Y8/U8,0),0))</f>
        <v>75</v>
      </c>
      <c r="AM8" s="52" t="n">
        <f aca="false">IF(A8="","",MAX(E8,F8))</f>
        <v>4</v>
      </c>
      <c r="AN8" s="51" t="n">
        <f aca="false">IF(A8="",0,IFERROR(AL8*AM8*VLOOKUP(T8,'TABELA DE PESOS'!$A$2:$B$9,2,FALSE()),0))</f>
        <v>66.6</v>
      </c>
      <c r="AO8" s="54" t="n">
        <f aca="false">IF(A8="",0,AC8+AG8+AI8+AK8+AN8)</f>
        <v>157.7897</v>
      </c>
      <c r="AP8" s="55" t="n">
        <f aca="false">IF(A8="",0,IF(B8="Aligeirada",E8*F8*G8/100*0.65,E8*F8*G8/100))</f>
        <v>1.68</v>
      </c>
      <c r="AQ8" s="56" t="n">
        <f aca="false">IF(A8="",0,E8*F8+Y8*G8/100)</f>
        <v>15.8</v>
      </c>
    </row>
    <row r="9" customFormat="false" ht="15" hidden="false" customHeight="true" outlineLevel="0" collapsed="false">
      <c r="A9" s="58"/>
      <c r="B9" s="58"/>
      <c r="C9" s="58"/>
      <c r="D9" s="58"/>
      <c r="E9" s="59"/>
      <c r="F9" s="59"/>
      <c r="G9" s="58"/>
      <c r="H9" s="58" t="n">
        <v>2</v>
      </c>
      <c r="I9" s="142" t="str">
        <f aca="false">IF(A9="","",G9-H9-0.5)</f>
        <v/>
      </c>
      <c r="J9" s="58"/>
      <c r="K9" s="59"/>
      <c r="L9" s="58"/>
      <c r="M9" s="59"/>
      <c r="N9" s="62"/>
      <c r="O9" s="63"/>
      <c r="P9" s="63"/>
      <c r="Q9" s="62"/>
      <c r="R9" s="63"/>
      <c r="S9" s="63"/>
      <c r="T9" s="64" t="n">
        <v>6</v>
      </c>
      <c r="U9" s="65" t="n">
        <v>0.2</v>
      </c>
      <c r="V9" s="143"/>
      <c r="W9" s="144"/>
      <c r="X9" s="143"/>
      <c r="Y9" s="145" t="str">
        <f aca="false">IF(A9="","",2*(E9+F9))</f>
        <v/>
      </c>
      <c r="Z9" s="69" t="str">
        <f aca="false">IF(A9="","",IFERROR(ROUNDUP(F9/K9,0)+1,0))</f>
        <v/>
      </c>
      <c r="AA9" s="68" t="str">
        <f aca="false">IF(A9="","",E9+2*10*(J9/1000))</f>
        <v/>
      </c>
      <c r="AB9" s="68" t="str">
        <f aca="false">IF(A9="","",IF(AA9&gt;12,50*J9/1000,0))</f>
        <v/>
      </c>
      <c r="AC9" s="67" t="n">
        <f aca="false">IF(A9="",0,IFERROR(Z9*(AA9+AB9)*VLOOKUP(J9,'TABELA DE PESOS'!$A$2:$B$9,2,FALSE()),0))</f>
        <v>0</v>
      </c>
      <c r="AD9" s="69" t="str">
        <f aca="false">IF(A9="","",IFERROR(ROUNDUP(E9/M9,0)+1,0))</f>
        <v/>
      </c>
      <c r="AE9" s="68" t="str">
        <f aca="false">IF(A9="","",F9+2*10*(L9/1000))</f>
        <v/>
      </c>
      <c r="AF9" s="68" t="str">
        <f aca="false">IF(A9="","",IF(AE9&gt;12,50*L9/1000,0))</f>
        <v/>
      </c>
      <c r="AG9" s="67" t="n">
        <f aca="false">IF(A9="",0,IFERROR(AD9*(AE9+AF9)*VLOOKUP(L9,'TABELA DE PESOS'!$A$2:$B$9,2,FALSE()),0))</f>
        <v>0</v>
      </c>
      <c r="AH9" s="69" t="str">
        <f aca="false">IF(A9="","",IFERROR(2*(ROUNDUP(F9/O9,0)+1),0))</f>
        <v/>
      </c>
      <c r="AI9" s="67" t="n">
        <f aca="false">IF(A9="",0,IFERROR(AH9*P9*VLOOKUP(N9,'TABELA DE PESOS'!$A$2:$B$9,2,FALSE()),0))</f>
        <v>0</v>
      </c>
      <c r="AJ9" s="69" t="str">
        <f aca="false">IF(A9="","",IFERROR(2*(ROUNDUP(E9/R9,0)+1),0))</f>
        <v/>
      </c>
      <c r="AK9" s="67" t="n">
        <f aca="false">IF(A9="",0,IFERROR(AJ9*S9*VLOOKUP(Q9,'TABELA DE PESOS'!$A$2:$B$9,2,FALSE()),0))</f>
        <v>0</v>
      </c>
      <c r="AL9" s="69" t="str">
        <f aca="false">IF(A9="","",IFERROR(ROUNDUP(Y9/U9,0),0))</f>
        <v/>
      </c>
      <c r="AM9" s="68" t="str">
        <f aca="false">IF(A9="","",MAX(E9,F9))</f>
        <v/>
      </c>
      <c r="AN9" s="67" t="n">
        <f aca="false">IF(A9="",0,IFERROR(AL9*AM9*VLOOKUP(T9,'TABELA DE PESOS'!$A$2:$B$9,2,FALSE()),0))</f>
        <v>0</v>
      </c>
      <c r="AO9" s="70" t="n">
        <f aca="false">IF(A9="",0,AC9+AG9+AI9+AK9+AN9)</f>
        <v>0</v>
      </c>
      <c r="AP9" s="71" t="n">
        <f aca="false">IF(A9="",0,IF(B9="Aligeirada",E9*F9*G9/100*0.65,E9*F9*G9/100))</f>
        <v>0</v>
      </c>
      <c r="AQ9" s="72" t="n">
        <f aca="false">IF(A9="",0,E9*F9+Y9*G9/100)</f>
        <v>0</v>
      </c>
    </row>
    <row r="10" customFormat="false" ht="15" hidden="false" customHeight="true" outlineLevel="0" collapsed="false">
      <c r="A10" s="42"/>
      <c r="B10" s="42"/>
      <c r="C10" s="42"/>
      <c r="D10" s="42"/>
      <c r="E10" s="43"/>
      <c r="F10" s="43"/>
      <c r="G10" s="42"/>
      <c r="H10" s="42" t="n">
        <v>2</v>
      </c>
      <c r="I10" s="138" t="str">
        <f aca="false">IF(A10="","",G10-H10-0.5)</f>
        <v/>
      </c>
      <c r="J10" s="42"/>
      <c r="K10" s="43"/>
      <c r="L10" s="42"/>
      <c r="M10" s="43"/>
      <c r="N10" s="46"/>
      <c r="O10" s="47"/>
      <c r="P10" s="47"/>
      <c r="Q10" s="46"/>
      <c r="R10" s="47"/>
      <c r="S10" s="47"/>
      <c r="T10" s="48" t="n">
        <v>6</v>
      </c>
      <c r="U10" s="49" t="n">
        <v>0.2</v>
      </c>
      <c r="V10" s="139"/>
      <c r="W10" s="140"/>
      <c r="X10" s="139"/>
      <c r="Y10" s="141" t="str">
        <f aca="false">IF(A10="","",2*(E10+F10))</f>
        <v/>
      </c>
      <c r="Z10" s="53" t="str">
        <f aca="false">IF(A10="","",IFERROR(ROUNDUP(F10/K10,0)+1,0))</f>
        <v/>
      </c>
      <c r="AA10" s="52" t="str">
        <f aca="false">IF(A10="","",E10+2*10*(J10/1000))</f>
        <v/>
      </c>
      <c r="AB10" s="52" t="str">
        <f aca="false">IF(A10="","",IF(AA10&gt;12,50*J10/1000,0))</f>
        <v/>
      </c>
      <c r="AC10" s="51" t="n">
        <f aca="false">IF(A10="",0,IFERROR(Z10*(AA10+AB10)*VLOOKUP(J10,'TABELA DE PESOS'!$A$2:$B$9,2,FALSE()),0))</f>
        <v>0</v>
      </c>
      <c r="AD10" s="53" t="str">
        <f aca="false">IF(A10="","",IFERROR(ROUNDUP(E10/M10,0)+1,0))</f>
        <v/>
      </c>
      <c r="AE10" s="52" t="str">
        <f aca="false">IF(A10="","",F10+2*10*(L10/1000))</f>
        <v/>
      </c>
      <c r="AF10" s="52" t="str">
        <f aca="false">IF(A10="","",IF(AE10&gt;12,50*L10/1000,0))</f>
        <v/>
      </c>
      <c r="AG10" s="51" t="n">
        <f aca="false">IF(A10="",0,IFERROR(AD10*(AE10+AF10)*VLOOKUP(L10,'TABELA DE PESOS'!$A$2:$B$9,2,FALSE()),0))</f>
        <v>0</v>
      </c>
      <c r="AH10" s="53" t="str">
        <f aca="false">IF(A10="","",IFERROR(2*(ROUNDUP(F10/O10,0)+1),0))</f>
        <v/>
      </c>
      <c r="AI10" s="51" t="n">
        <f aca="false">IF(A10="",0,IFERROR(AH10*P10*VLOOKUP(N10,'TABELA DE PESOS'!$A$2:$B$9,2,FALSE()),0))</f>
        <v>0</v>
      </c>
      <c r="AJ10" s="53" t="str">
        <f aca="false">IF(A10="","",IFERROR(2*(ROUNDUP(E10/R10,0)+1),0))</f>
        <v/>
      </c>
      <c r="AK10" s="51" t="n">
        <f aca="false">IF(A10="",0,IFERROR(AJ10*S10*VLOOKUP(Q10,'TABELA DE PESOS'!$A$2:$B$9,2,FALSE()),0))</f>
        <v>0</v>
      </c>
      <c r="AL10" s="53" t="str">
        <f aca="false">IF(A10="","",IFERROR(ROUNDUP(Y10/U10,0),0))</f>
        <v/>
      </c>
      <c r="AM10" s="52" t="str">
        <f aca="false">IF(A10="","",MAX(E10,F10))</f>
        <v/>
      </c>
      <c r="AN10" s="51" t="n">
        <f aca="false">IF(A10="",0,IFERROR(AL10*AM10*VLOOKUP(T10,'TABELA DE PESOS'!$A$2:$B$9,2,FALSE()),0))</f>
        <v>0</v>
      </c>
      <c r="AO10" s="54" t="n">
        <f aca="false">IF(A10="",0,AC10+AG10+AI10+AK10+AN10)</f>
        <v>0</v>
      </c>
      <c r="AP10" s="55" t="n">
        <f aca="false">IF(A10="",0,IF(B10="Aligeirada",E10*F10*G10/100*0.65,E10*F10*G10/100))</f>
        <v>0</v>
      </c>
      <c r="AQ10" s="56" t="n">
        <f aca="false">IF(A10="",0,E10*F10+Y10*G10/100)</f>
        <v>0</v>
      </c>
    </row>
    <row r="11" customFormat="false" ht="15" hidden="false" customHeight="true" outlineLevel="0" collapsed="false">
      <c r="A11" s="58"/>
      <c r="B11" s="58"/>
      <c r="C11" s="58"/>
      <c r="D11" s="58"/>
      <c r="E11" s="59"/>
      <c r="F11" s="59"/>
      <c r="G11" s="58"/>
      <c r="H11" s="58" t="n">
        <v>2</v>
      </c>
      <c r="I11" s="142" t="str">
        <f aca="false">IF(A11="","",G11-H11-0.5)</f>
        <v/>
      </c>
      <c r="J11" s="58"/>
      <c r="K11" s="59"/>
      <c r="L11" s="58"/>
      <c r="M11" s="59"/>
      <c r="N11" s="62"/>
      <c r="O11" s="63"/>
      <c r="P11" s="63"/>
      <c r="Q11" s="62"/>
      <c r="R11" s="63"/>
      <c r="S11" s="63"/>
      <c r="T11" s="64" t="n">
        <v>6</v>
      </c>
      <c r="U11" s="65" t="n">
        <v>0.2</v>
      </c>
      <c r="V11" s="143"/>
      <c r="W11" s="144"/>
      <c r="X11" s="143"/>
      <c r="Y11" s="145" t="str">
        <f aca="false">IF(A11="","",2*(E11+F11))</f>
        <v/>
      </c>
      <c r="Z11" s="69" t="str">
        <f aca="false">IF(A11="","",IFERROR(ROUNDUP(F11/K11,0)+1,0))</f>
        <v/>
      </c>
      <c r="AA11" s="68" t="str">
        <f aca="false">IF(A11="","",E11+2*10*(J11/1000))</f>
        <v/>
      </c>
      <c r="AB11" s="68" t="str">
        <f aca="false">IF(A11="","",IF(AA11&gt;12,50*J11/1000,0))</f>
        <v/>
      </c>
      <c r="AC11" s="67" t="n">
        <f aca="false">IF(A11="",0,IFERROR(Z11*(AA11+AB11)*VLOOKUP(J11,'TABELA DE PESOS'!$A$2:$B$9,2,FALSE()),0))</f>
        <v>0</v>
      </c>
      <c r="AD11" s="69" t="str">
        <f aca="false">IF(A11="","",IFERROR(ROUNDUP(E11/M11,0)+1,0))</f>
        <v/>
      </c>
      <c r="AE11" s="68" t="str">
        <f aca="false">IF(A11="","",F11+2*10*(L11/1000))</f>
        <v/>
      </c>
      <c r="AF11" s="68" t="str">
        <f aca="false">IF(A11="","",IF(AE11&gt;12,50*L11/1000,0))</f>
        <v/>
      </c>
      <c r="AG11" s="67" t="n">
        <f aca="false">IF(A11="",0,IFERROR(AD11*(AE11+AF11)*VLOOKUP(L11,'TABELA DE PESOS'!$A$2:$B$9,2,FALSE()),0))</f>
        <v>0</v>
      </c>
      <c r="AH11" s="69" t="str">
        <f aca="false">IF(A11="","",IFERROR(2*(ROUNDUP(F11/O11,0)+1),0))</f>
        <v/>
      </c>
      <c r="AI11" s="67" t="n">
        <f aca="false">IF(A11="",0,IFERROR(AH11*P11*VLOOKUP(N11,'TABELA DE PESOS'!$A$2:$B$9,2,FALSE()),0))</f>
        <v>0</v>
      </c>
      <c r="AJ11" s="69" t="str">
        <f aca="false">IF(A11="","",IFERROR(2*(ROUNDUP(E11/R11,0)+1),0))</f>
        <v/>
      </c>
      <c r="AK11" s="67" t="n">
        <f aca="false">IF(A11="",0,IFERROR(AJ11*S11*VLOOKUP(Q11,'TABELA DE PESOS'!$A$2:$B$9,2,FALSE()),0))</f>
        <v>0</v>
      </c>
      <c r="AL11" s="69" t="str">
        <f aca="false">IF(A11="","",IFERROR(ROUNDUP(Y11/U11,0),0))</f>
        <v/>
      </c>
      <c r="AM11" s="68" t="str">
        <f aca="false">IF(A11="","",MAX(E11,F11))</f>
        <v/>
      </c>
      <c r="AN11" s="67" t="n">
        <f aca="false">IF(A11="",0,IFERROR(AL11*AM11*VLOOKUP(T11,'TABELA DE PESOS'!$A$2:$B$9,2,FALSE()),0))</f>
        <v>0</v>
      </c>
      <c r="AO11" s="70" t="n">
        <f aca="false">IF(A11="",0,AC11+AG11+AI11+AK11+AN11)</f>
        <v>0</v>
      </c>
      <c r="AP11" s="71" t="n">
        <f aca="false">IF(A11="",0,IF(B11="Aligeirada",E11*F11*G11/100*0.65,E11*F11*G11/100))</f>
        <v>0</v>
      </c>
      <c r="AQ11" s="72" t="n">
        <f aca="false">IF(A11="",0,E11*F11+Y11*G11/100)</f>
        <v>0</v>
      </c>
    </row>
    <row r="12" customFormat="false" ht="15" hidden="false" customHeight="true" outlineLevel="0" collapsed="false">
      <c r="A12" s="42"/>
      <c r="B12" s="42"/>
      <c r="C12" s="42"/>
      <c r="D12" s="42"/>
      <c r="E12" s="43"/>
      <c r="F12" s="43"/>
      <c r="G12" s="42"/>
      <c r="H12" s="42" t="n">
        <v>2</v>
      </c>
      <c r="I12" s="138" t="str">
        <f aca="false">IF(A12="","",G12-H12-0.5)</f>
        <v/>
      </c>
      <c r="J12" s="42"/>
      <c r="K12" s="43"/>
      <c r="L12" s="42"/>
      <c r="M12" s="43"/>
      <c r="N12" s="46"/>
      <c r="O12" s="47"/>
      <c r="P12" s="47"/>
      <c r="Q12" s="46"/>
      <c r="R12" s="47"/>
      <c r="S12" s="47"/>
      <c r="T12" s="48" t="n">
        <v>6</v>
      </c>
      <c r="U12" s="49" t="n">
        <v>0.2</v>
      </c>
      <c r="V12" s="139"/>
      <c r="W12" s="140"/>
      <c r="X12" s="139"/>
      <c r="Y12" s="141" t="str">
        <f aca="false">IF(A12="","",2*(E12+F12))</f>
        <v/>
      </c>
      <c r="Z12" s="53" t="str">
        <f aca="false">IF(A12="","",IFERROR(ROUNDUP(F12/K12,0)+1,0))</f>
        <v/>
      </c>
      <c r="AA12" s="52" t="str">
        <f aca="false">IF(A12="","",E12+2*10*(J12/1000))</f>
        <v/>
      </c>
      <c r="AB12" s="52" t="str">
        <f aca="false">IF(A12="","",IF(AA12&gt;12,50*J12/1000,0))</f>
        <v/>
      </c>
      <c r="AC12" s="51" t="n">
        <f aca="false">IF(A12="",0,IFERROR(Z12*(AA12+AB12)*VLOOKUP(J12,'TABELA DE PESOS'!$A$2:$B$9,2,FALSE()),0))</f>
        <v>0</v>
      </c>
      <c r="AD12" s="53" t="str">
        <f aca="false">IF(A12="","",IFERROR(ROUNDUP(E12/M12,0)+1,0))</f>
        <v/>
      </c>
      <c r="AE12" s="52" t="str">
        <f aca="false">IF(A12="","",F12+2*10*(L12/1000))</f>
        <v/>
      </c>
      <c r="AF12" s="52" t="str">
        <f aca="false">IF(A12="","",IF(AE12&gt;12,50*L12/1000,0))</f>
        <v/>
      </c>
      <c r="AG12" s="51" t="n">
        <f aca="false">IF(A12="",0,IFERROR(AD12*(AE12+AF12)*VLOOKUP(L12,'TABELA DE PESOS'!$A$2:$B$9,2,FALSE()),0))</f>
        <v>0</v>
      </c>
      <c r="AH12" s="53" t="str">
        <f aca="false">IF(A12="","",IFERROR(2*(ROUNDUP(F12/O12,0)+1),0))</f>
        <v/>
      </c>
      <c r="AI12" s="51" t="n">
        <f aca="false">IF(A12="",0,IFERROR(AH12*P12*VLOOKUP(N12,'TABELA DE PESOS'!$A$2:$B$9,2,FALSE()),0))</f>
        <v>0</v>
      </c>
      <c r="AJ12" s="53" t="str">
        <f aca="false">IF(A12="","",IFERROR(2*(ROUNDUP(E12/R12,0)+1),0))</f>
        <v/>
      </c>
      <c r="AK12" s="51" t="n">
        <f aca="false">IF(A12="",0,IFERROR(AJ12*S12*VLOOKUP(Q12,'TABELA DE PESOS'!$A$2:$B$9,2,FALSE()),0))</f>
        <v>0</v>
      </c>
      <c r="AL12" s="53" t="str">
        <f aca="false">IF(A12="","",IFERROR(ROUNDUP(Y12/U12,0),0))</f>
        <v/>
      </c>
      <c r="AM12" s="52" t="str">
        <f aca="false">IF(A12="","",MAX(E12,F12))</f>
        <v/>
      </c>
      <c r="AN12" s="51" t="n">
        <f aca="false">IF(A12="",0,IFERROR(AL12*AM12*VLOOKUP(T12,'TABELA DE PESOS'!$A$2:$B$9,2,FALSE()),0))</f>
        <v>0</v>
      </c>
      <c r="AO12" s="54" t="n">
        <f aca="false">IF(A12="",0,AC12+AG12+AI12+AK12+AN12)</f>
        <v>0</v>
      </c>
      <c r="AP12" s="55" t="n">
        <f aca="false">IF(A12="",0,IF(B12="Aligeirada",E12*F12*G12/100*0.65,E12*F12*G12/100))</f>
        <v>0</v>
      </c>
      <c r="AQ12" s="56" t="n">
        <f aca="false">IF(A12="",0,E12*F12+Y12*G12/100)</f>
        <v>0</v>
      </c>
    </row>
    <row r="13" customFormat="false" ht="15" hidden="false" customHeight="true" outlineLevel="0" collapsed="false">
      <c r="A13" s="58"/>
      <c r="B13" s="58"/>
      <c r="C13" s="58"/>
      <c r="D13" s="58"/>
      <c r="E13" s="59"/>
      <c r="F13" s="59"/>
      <c r="G13" s="58"/>
      <c r="H13" s="58" t="n">
        <v>2</v>
      </c>
      <c r="I13" s="142" t="str">
        <f aca="false">IF(A13="","",G13-H13-0.5)</f>
        <v/>
      </c>
      <c r="J13" s="58"/>
      <c r="K13" s="59"/>
      <c r="L13" s="58"/>
      <c r="M13" s="59"/>
      <c r="N13" s="62"/>
      <c r="O13" s="63"/>
      <c r="P13" s="63"/>
      <c r="Q13" s="62"/>
      <c r="R13" s="63"/>
      <c r="S13" s="63"/>
      <c r="T13" s="64" t="n">
        <v>6</v>
      </c>
      <c r="U13" s="65" t="n">
        <v>0.2</v>
      </c>
      <c r="V13" s="143"/>
      <c r="W13" s="144"/>
      <c r="X13" s="143"/>
      <c r="Y13" s="145" t="str">
        <f aca="false">IF(A13="","",2*(E13+F13))</f>
        <v/>
      </c>
      <c r="Z13" s="69" t="str">
        <f aca="false">IF(A13="","",IFERROR(ROUNDUP(F13/K13,0)+1,0))</f>
        <v/>
      </c>
      <c r="AA13" s="68" t="str">
        <f aca="false">IF(A13="","",E13+2*10*(J13/1000))</f>
        <v/>
      </c>
      <c r="AB13" s="68" t="str">
        <f aca="false">IF(A13="","",IF(AA13&gt;12,50*J13/1000,0))</f>
        <v/>
      </c>
      <c r="AC13" s="67" t="n">
        <f aca="false">IF(A13="",0,IFERROR(Z13*(AA13+AB13)*VLOOKUP(J13,'TABELA DE PESOS'!$A$2:$B$9,2,FALSE()),0))</f>
        <v>0</v>
      </c>
      <c r="AD13" s="69" t="str">
        <f aca="false">IF(A13="","",IFERROR(ROUNDUP(E13/M13,0)+1,0))</f>
        <v/>
      </c>
      <c r="AE13" s="68" t="str">
        <f aca="false">IF(A13="","",F13+2*10*(L13/1000))</f>
        <v/>
      </c>
      <c r="AF13" s="68" t="str">
        <f aca="false">IF(A13="","",IF(AE13&gt;12,50*L13/1000,0))</f>
        <v/>
      </c>
      <c r="AG13" s="67" t="n">
        <f aca="false">IF(A13="",0,IFERROR(AD13*(AE13+AF13)*VLOOKUP(L13,'TABELA DE PESOS'!$A$2:$B$9,2,FALSE()),0))</f>
        <v>0</v>
      </c>
      <c r="AH13" s="69" t="str">
        <f aca="false">IF(A13="","",IFERROR(2*(ROUNDUP(F13/O13,0)+1),0))</f>
        <v/>
      </c>
      <c r="AI13" s="67" t="n">
        <f aca="false">IF(A13="",0,IFERROR(AH13*P13*VLOOKUP(N13,'TABELA DE PESOS'!$A$2:$B$9,2,FALSE()),0))</f>
        <v>0</v>
      </c>
      <c r="AJ13" s="69" t="str">
        <f aca="false">IF(A13="","",IFERROR(2*(ROUNDUP(E13/R13,0)+1),0))</f>
        <v/>
      </c>
      <c r="AK13" s="67" t="n">
        <f aca="false">IF(A13="",0,IFERROR(AJ13*S13*VLOOKUP(Q13,'TABELA DE PESOS'!$A$2:$B$9,2,FALSE()),0))</f>
        <v>0</v>
      </c>
      <c r="AL13" s="69" t="str">
        <f aca="false">IF(A13="","",IFERROR(ROUNDUP(Y13/U13,0),0))</f>
        <v/>
      </c>
      <c r="AM13" s="68" t="str">
        <f aca="false">IF(A13="","",MAX(E13,F13))</f>
        <v/>
      </c>
      <c r="AN13" s="67" t="n">
        <f aca="false">IF(A13="",0,IFERROR(AL13*AM13*VLOOKUP(T13,'TABELA DE PESOS'!$A$2:$B$9,2,FALSE()),0))</f>
        <v>0</v>
      </c>
      <c r="AO13" s="70" t="n">
        <f aca="false">IF(A13="",0,AC13+AG13+AI13+AK13+AN13)</f>
        <v>0</v>
      </c>
      <c r="AP13" s="71" t="n">
        <f aca="false">IF(A13="",0,IF(B13="Aligeirada",E13*F13*G13/100*0.65,E13*F13*G13/100))</f>
        <v>0</v>
      </c>
      <c r="AQ13" s="72" t="n">
        <f aca="false">IF(A13="",0,E13*F13+Y13*G13/100)</f>
        <v>0</v>
      </c>
    </row>
    <row r="14" customFormat="false" ht="15" hidden="false" customHeight="true" outlineLevel="0" collapsed="false">
      <c r="A14" s="42"/>
      <c r="B14" s="42"/>
      <c r="C14" s="42"/>
      <c r="D14" s="42"/>
      <c r="E14" s="43"/>
      <c r="F14" s="43"/>
      <c r="G14" s="42"/>
      <c r="H14" s="42" t="n">
        <v>2</v>
      </c>
      <c r="I14" s="138" t="str">
        <f aca="false">IF(A14="","",G14-H14-0.5)</f>
        <v/>
      </c>
      <c r="J14" s="42"/>
      <c r="K14" s="43"/>
      <c r="L14" s="42"/>
      <c r="M14" s="43"/>
      <c r="N14" s="46"/>
      <c r="O14" s="47"/>
      <c r="P14" s="47"/>
      <c r="Q14" s="46"/>
      <c r="R14" s="47"/>
      <c r="S14" s="47"/>
      <c r="T14" s="48" t="n">
        <v>6</v>
      </c>
      <c r="U14" s="49" t="n">
        <v>0.2</v>
      </c>
      <c r="V14" s="139"/>
      <c r="W14" s="140"/>
      <c r="X14" s="139"/>
      <c r="Y14" s="141" t="str">
        <f aca="false">IF(A14="","",2*(E14+F14))</f>
        <v/>
      </c>
      <c r="Z14" s="53" t="str">
        <f aca="false">IF(A14="","",IFERROR(ROUNDUP(F14/K14,0)+1,0))</f>
        <v/>
      </c>
      <c r="AA14" s="52" t="str">
        <f aca="false">IF(A14="","",E14+2*10*(J14/1000))</f>
        <v/>
      </c>
      <c r="AB14" s="52" t="str">
        <f aca="false">IF(A14="","",IF(AA14&gt;12,50*J14/1000,0))</f>
        <v/>
      </c>
      <c r="AC14" s="51" t="n">
        <f aca="false">IF(A14="",0,IFERROR(Z14*(AA14+AB14)*VLOOKUP(J14,'TABELA DE PESOS'!$A$2:$B$9,2,FALSE()),0))</f>
        <v>0</v>
      </c>
      <c r="AD14" s="53" t="str">
        <f aca="false">IF(A14="","",IFERROR(ROUNDUP(E14/M14,0)+1,0))</f>
        <v/>
      </c>
      <c r="AE14" s="52" t="str">
        <f aca="false">IF(A14="","",F14+2*10*(L14/1000))</f>
        <v/>
      </c>
      <c r="AF14" s="52" t="str">
        <f aca="false">IF(A14="","",IF(AE14&gt;12,50*L14/1000,0))</f>
        <v/>
      </c>
      <c r="AG14" s="51" t="n">
        <f aca="false">IF(A14="",0,IFERROR(AD14*(AE14+AF14)*VLOOKUP(L14,'TABELA DE PESOS'!$A$2:$B$9,2,FALSE()),0))</f>
        <v>0</v>
      </c>
      <c r="AH14" s="53" t="str">
        <f aca="false">IF(A14="","",IFERROR(2*(ROUNDUP(F14/O14,0)+1),0))</f>
        <v/>
      </c>
      <c r="AI14" s="51" t="n">
        <f aca="false">IF(A14="",0,IFERROR(AH14*P14*VLOOKUP(N14,'TABELA DE PESOS'!$A$2:$B$9,2,FALSE()),0))</f>
        <v>0</v>
      </c>
      <c r="AJ14" s="53" t="str">
        <f aca="false">IF(A14="","",IFERROR(2*(ROUNDUP(E14/R14,0)+1),0))</f>
        <v/>
      </c>
      <c r="AK14" s="51" t="n">
        <f aca="false">IF(A14="",0,IFERROR(AJ14*S14*VLOOKUP(Q14,'TABELA DE PESOS'!$A$2:$B$9,2,FALSE()),0))</f>
        <v>0</v>
      </c>
      <c r="AL14" s="53" t="str">
        <f aca="false">IF(A14="","",IFERROR(ROUNDUP(Y14/U14,0),0))</f>
        <v/>
      </c>
      <c r="AM14" s="52" t="str">
        <f aca="false">IF(A14="","",MAX(E14,F14))</f>
        <v/>
      </c>
      <c r="AN14" s="51" t="n">
        <f aca="false">IF(A14="",0,IFERROR(AL14*AM14*VLOOKUP(T14,'TABELA DE PESOS'!$A$2:$B$9,2,FALSE()),0))</f>
        <v>0</v>
      </c>
      <c r="AO14" s="54" t="n">
        <f aca="false">IF(A14="",0,AC14+AG14+AI14+AK14+AN14)</f>
        <v>0</v>
      </c>
      <c r="AP14" s="55" t="n">
        <f aca="false">IF(A14="",0,IF(B14="Aligeirada",E14*F14*G14/100*0.65,E14*F14*G14/100))</f>
        <v>0</v>
      </c>
      <c r="AQ14" s="56" t="n">
        <f aca="false">IF(A14="",0,E14*F14+Y14*G14/100)</f>
        <v>0</v>
      </c>
    </row>
    <row r="15" customFormat="false" ht="15" hidden="false" customHeight="true" outlineLevel="0" collapsed="false">
      <c r="A15" s="58"/>
      <c r="B15" s="58"/>
      <c r="C15" s="58"/>
      <c r="D15" s="58"/>
      <c r="E15" s="59"/>
      <c r="F15" s="59"/>
      <c r="G15" s="58"/>
      <c r="H15" s="58" t="n">
        <v>2</v>
      </c>
      <c r="I15" s="142" t="str">
        <f aca="false">IF(A15="","",G15-H15-0.5)</f>
        <v/>
      </c>
      <c r="J15" s="58"/>
      <c r="K15" s="59"/>
      <c r="L15" s="58"/>
      <c r="M15" s="59"/>
      <c r="N15" s="62"/>
      <c r="O15" s="63"/>
      <c r="P15" s="63"/>
      <c r="Q15" s="62"/>
      <c r="R15" s="63"/>
      <c r="S15" s="63"/>
      <c r="T15" s="64" t="n">
        <v>6</v>
      </c>
      <c r="U15" s="65" t="n">
        <v>0.2</v>
      </c>
      <c r="V15" s="143"/>
      <c r="W15" s="144"/>
      <c r="X15" s="143"/>
      <c r="Y15" s="145" t="str">
        <f aca="false">IF(A15="","",2*(E15+F15))</f>
        <v/>
      </c>
      <c r="Z15" s="69" t="str">
        <f aca="false">IF(A15="","",IFERROR(ROUNDUP(F15/K15,0)+1,0))</f>
        <v/>
      </c>
      <c r="AA15" s="68" t="str">
        <f aca="false">IF(A15="","",E15+2*10*(J15/1000))</f>
        <v/>
      </c>
      <c r="AB15" s="68" t="str">
        <f aca="false">IF(A15="","",IF(AA15&gt;12,50*J15/1000,0))</f>
        <v/>
      </c>
      <c r="AC15" s="67" t="n">
        <f aca="false">IF(A15="",0,IFERROR(Z15*(AA15+AB15)*VLOOKUP(J15,'TABELA DE PESOS'!$A$2:$B$9,2,FALSE()),0))</f>
        <v>0</v>
      </c>
      <c r="AD15" s="69" t="str">
        <f aca="false">IF(A15="","",IFERROR(ROUNDUP(E15/M15,0)+1,0))</f>
        <v/>
      </c>
      <c r="AE15" s="68" t="str">
        <f aca="false">IF(A15="","",F15+2*10*(L15/1000))</f>
        <v/>
      </c>
      <c r="AF15" s="68" t="str">
        <f aca="false">IF(A15="","",IF(AE15&gt;12,50*L15/1000,0))</f>
        <v/>
      </c>
      <c r="AG15" s="67" t="n">
        <f aca="false">IF(A15="",0,IFERROR(AD15*(AE15+AF15)*VLOOKUP(L15,'TABELA DE PESOS'!$A$2:$B$9,2,FALSE()),0))</f>
        <v>0</v>
      </c>
      <c r="AH15" s="69" t="str">
        <f aca="false">IF(A15="","",IFERROR(2*(ROUNDUP(F15/O15,0)+1),0))</f>
        <v/>
      </c>
      <c r="AI15" s="67" t="n">
        <f aca="false">IF(A15="",0,IFERROR(AH15*P15*VLOOKUP(N15,'TABELA DE PESOS'!$A$2:$B$9,2,FALSE()),0))</f>
        <v>0</v>
      </c>
      <c r="AJ15" s="69" t="str">
        <f aca="false">IF(A15="","",IFERROR(2*(ROUNDUP(E15/R15,0)+1),0))</f>
        <v/>
      </c>
      <c r="AK15" s="67" t="n">
        <f aca="false">IF(A15="",0,IFERROR(AJ15*S15*VLOOKUP(Q15,'TABELA DE PESOS'!$A$2:$B$9,2,FALSE()),0))</f>
        <v>0</v>
      </c>
      <c r="AL15" s="69" t="str">
        <f aca="false">IF(A15="","",IFERROR(ROUNDUP(Y15/U15,0),0))</f>
        <v/>
      </c>
      <c r="AM15" s="68" t="str">
        <f aca="false">IF(A15="","",MAX(E15,F15))</f>
        <v/>
      </c>
      <c r="AN15" s="67" t="n">
        <f aca="false">IF(A15="",0,IFERROR(AL15*AM15*VLOOKUP(T15,'TABELA DE PESOS'!$A$2:$B$9,2,FALSE()),0))</f>
        <v>0</v>
      </c>
      <c r="AO15" s="70" t="n">
        <f aca="false">IF(A15="",0,AC15+AG15+AI15+AK15+AN15)</f>
        <v>0</v>
      </c>
      <c r="AP15" s="71" t="n">
        <f aca="false">IF(A15="",0,IF(B15="Aligeirada",E15*F15*G15/100*0.65,E15*F15*G15/100))</f>
        <v>0</v>
      </c>
      <c r="AQ15" s="72" t="n">
        <f aca="false">IF(A15="",0,E15*F15+Y15*G15/100)</f>
        <v>0</v>
      </c>
    </row>
    <row r="16" customFormat="false" ht="15" hidden="false" customHeight="true" outlineLevel="0" collapsed="false">
      <c r="A16" s="42"/>
      <c r="B16" s="42"/>
      <c r="C16" s="42"/>
      <c r="D16" s="42"/>
      <c r="E16" s="43"/>
      <c r="F16" s="43"/>
      <c r="G16" s="42"/>
      <c r="H16" s="42" t="n">
        <v>2</v>
      </c>
      <c r="I16" s="138" t="str">
        <f aca="false">IF(A16="","",G16-H16-0.5)</f>
        <v/>
      </c>
      <c r="J16" s="42"/>
      <c r="K16" s="43"/>
      <c r="L16" s="42"/>
      <c r="M16" s="43"/>
      <c r="N16" s="46"/>
      <c r="O16" s="47"/>
      <c r="P16" s="47"/>
      <c r="Q16" s="46"/>
      <c r="R16" s="47"/>
      <c r="S16" s="47"/>
      <c r="T16" s="48" t="n">
        <v>6</v>
      </c>
      <c r="U16" s="49" t="n">
        <v>0.2</v>
      </c>
      <c r="V16" s="139"/>
      <c r="W16" s="140"/>
      <c r="X16" s="139"/>
      <c r="Y16" s="141" t="str">
        <f aca="false">IF(A16="","",2*(E16+F16))</f>
        <v/>
      </c>
      <c r="Z16" s="53" t="str">
        <f aca="false">IF(A16="","",IFERROR(ROUNDUP(F16/K16,0)+1,0))</f>
        <v/>
      </c>
      <c r="AA16" s="52" t="str">
        <f aca="false">IF(A16="","",E16+2*10*(J16/1000))</f>
        <v/>
      </c>
      <c r="AB16" s="52" t="str">
        <f aca="false">IF(A16="","",IF(AA16&gt;12,50*J16/1000,0))</f>
        <v/>
      </c>
      <c r="AC16" s="51" t="n">
        <f aca="false">IF(A16="",0,IFERROR(Z16*(AA16+AB16)*VLOOKUP(J16,'TABELA DE PESOS'!$A$2:$B$9,2,FALSE()),0))</f>
        <v>0</v>
      </c>
      <c r="AD16" s="53" t="str">
        <f aca="false">IF(A16="","",IFERROR(ROUNDUP(E16/M16,0)+1,0))</f>
        <v/>
      </c>
      <c r="AE16" s="52" t="str">
        <f aca="false">IF(A16="","",F16+2*10*(L16/1000))</f>
        <v/>
      </c>
      <c r="AF16" s="52" t="str">
        <f aca="false">IF(A16="","",IF(AE16&gt;12,50*L16/1000,0))</f>
        <v/>
      </c>
      <c r="AG16" s="51" t="n">
        <f aca="false">IF(A16="",0,IFERROR(AD16*(AE16+AF16)*VLOOKUP(L16,'TABELA DE PESOS'!$A$2:$B$9,2,FALSE()),0))</f>
        <v>0</v>
      </c>
      <c r="AH16" s="53" t="str">
        <f aca="false">IF(A16="","",IFERROR(2*(ROUNDUP(F16/O16,0)+1),0))</f>
        <v/>
      </c>
      <c r="AI16" s="51" t="n">
        <f aca="false">IF(A16="",0,IFERROR(AH16*P16*VLOOKUP(N16,'TABELA DE PESOS'!$A$2:$B$9,2,FALSE()),0))</f>
        <v>0</v>
      </c>
      <c r="AJ16" s="53" t="str">
        <f aca="false">IF(A16="","",IFERROR(2*(ROUNDUP(E16/R16,0)+1),0))</f>
        <v/>
      </c>
      <c r="AK16" s="51" t="n">
        <f aca="false">IF(A16="",0,IFERROR(AJ16*S16*VLOOKUP(Q16,'TABELA DE PESOS'!$A$2:$B$9,2,FALSE()),0))</f>
        <v>0</v>
      </c>
      <c r="AL16" s="53" t="str">
        <f aca="false">IF(A16="","",IFERROR(ROUNDUP(Y16/U16,0),0))</f>
        <v/>
      </c>
      <c r="AM16" s="52" t="str">
        <f aca="false">IF(A16="","",MAX(E16,F16))</f>
        <v/>
      </c>
      <c r="AN16" s="51" t="n">
        <f aca="false">IF(A16="",0,IFERROR(AL16*AM16*VLOOKUP(T16,'TABELA DE PESOS'!$A$2:$B$9,2,FALSE()),0))</f>
        <v>0</v>
      </c>
      <c r="AO16" s="54" t="n">
        <f aca="false">IF(A16="",0,AC16+AG16+AI16+AK16+AN16)</f>
        <v>0</v>
      </c>
      <c r="AP16" s="55" t="n">
        <f aca="false">IF(A16="",0,IF(B16="Aligeirada",E16*F16*G16/100*0.65,E16*F16*G16/100))</f>
        <v>0</v>
      </c>
      <c r="AQ16" s="56" t="n">
        <f aca="false">IF(A16="",0,E16*F16+Y16*G16/100)</f>
        <v>0</v>
      </c>
    </row>
    <row r="17" customFormat="false" ht="15" hidden="false" customHeight="true" outlineLevel="0" collapsed="false">
      <c r="A17" s="58"/>
      <c r="B17" s="58"/>
      <c r="C17" s="58"/>
      <c r="D17" s="58"/>
      <c r="E17" s="59"/>
      <c r="F17" s="59"/>
      <c r="G17" s="58"/>
      <c r="H17" s="58" t="n">
        <v>2</v>
      </c>
      <c r="I17" s="142" t="str">
        <f aca="false">IF(A17="","",G17-H17-0.5)</f>
        <v/>
      </c>
      <c r="J17" s="58"/>
      <c r="K17" s="59"/>
      <c r="L17" s="58"/>
      <c r="M17" s="59"/>
      <c r="N17" s="62"/>
      <c r="O17" s="63"/>
      <c r="P17" s="63"/>
      <c r="Q17" s="62"/>
      <c r="R17" s="63"/>
      <c r="S17" s="63"/>
      <c r="T17" s="64" t="n">
        <v>6</v>
      </c>
      <c r="U17" s="65" t="n">
        <v>0.2</v>
      </c>
      <c r="V17" s="143"/>
      <c r="W17" s="144"/>
      <c r="X17" s="143"/>
      <c r="Y17" s="145" t="str">
        <f aca="false">IF(A17="","",2*(E17+F17))</f>
        <v/>
      </c>
      <c r="Z17" s="69" t="str">
        <f aca="false">IF(A17="","",IFERROR(ROUNDUP(F17/K17,0)+1,0))</f>
        <v/>
      </c>
      <c r="AA17" s="68" t="str">
        <f aca="false">IF(A17="","",E17+2*10*(J17/1000))</f>
        <v/>
      </c>
      <c r="AB17" s="68" t="str">
        <f aca="false">IF(A17="","",IF(AA17&gt;12,50*J17/1000,0))</f>
        <v/>
      </c>
      <c r="AC17" s="67" t="n">
        <f aca="false">IF(A17="",0,IFERROR(Z17*(AA17+AB17)*VLOOKUP(J17,'TABELA DE PESOS'!$A$2:$B$9,2,FALSE()),0))</f>
        <v>0</v>
      </c>
      <c r="AD17" s="69" t="str">
        <f aca="false">IF(A17="","",IFERROR(ROUNDUP(E17/M17,0)+1,0))</f>
        <v/>
      </c>
      <c r="AE17" s="68" t="str">
        <f aca="false">IF(A17="","",F17+2*10*(L17/1000))</f>
        <v/>
      </c>
      <c r="AF17" s="68" t="str">
        <f aca="false">IF(A17="","",IF(AE17&gt;12,50*L17/1000,0))</f>
        <v/>
      </c>
      <c r="AG17" s="67" t="n">
        <f aca="false">IF(A17="",0,IFERROR(AD17*(AE17+AF17)*VLOOKUP(L17,'TABELA DE PESOS'!$A$2:$B$9,2,FALSE()),0))</f>
        <v>0</v>
      </c>
      <c r="AH17" s="69" t="str">
        <f aca="false">IF(A17="","",IFERROR(2*(ROUNDUP(F17/O17,0)+1),0))</f>
        <v/>
      </c>
      <c r="AI17" s="67" t="n">
        <f aca="false">IF(A17="",0,IFERROR(AH17*P17*VLOOKUP(N17,'TABELA DE PESOS'!$A$2:$B$9,2,FALSE()),0))</f>
        <v>0</v>
      </c>
      <c r="AJ17" s="69" t="str">
        <f aca="false">IF(A17="","",IFERROR(2*(ROUNDUP(E17/R17,0)+1),0))</f>
        <v/>
      </c>
      <c r="AK17" s="67" t="n">
        <f aca="false">IF(A17="",0,IFERROR(AJ17*S17*VLOOKUP(Q17,'TABELA DE PESOS'!$A$2:$B$9,2,FALSE()),0))</f>
        <v>0</v>
      </c>
      <c r="AL17" s="69" t="str">
        <f aca="false">IF(A17="","",IFERROR(ROUNDUP(Y17/U17,0),0))</f>
        <v/>
      </c>
      <c r="AM17" s="68" t="str">
        <f aca="false">IF(A17="","",MAX(E17,F17))</f>
        <v/>
      </c>
      <c r="AN17" s="67" t="n">
        <f aca="false">IF(A17="",0,IFERROR(AL17*AM17*VLOOKUP(T17,'TABELA DE PESOS'!$A$2:$B$9,2,FALSE()),0))</f>
        <v>0</v>
      </c>
      <c r="AO17" s="70" t="n">
        <f aca="false">IF(A17="",0,AC17+AG17+AI17+AK17+AN17)</f>
        <v>0</v>
      </c>
      <c r="AP17" s="71" t="n">
        <f aca="false">IF(A17="",0,IF(B17="Aligeirada",E17*F17*G17/100*0.65,E17*F17*G17/100))</f>
        <v>0</v>
      </c>
      <c r="AQ17" s="72" t="n">
        <f aca="false">IF(A17="",0,E17*F17+Y17*G17/100)</f>
        <v>0</v>
      </c>
    </row>
    <row r="18" customFormat="false" ht="15" hidden="false" customHeight="true" outlineLevel="0" collapsed="false">
      <c r="A18" s="42"/>
      <c r="B18" s="42"/>
      <c r="C18" s="42"/>
      <c r="D18" s="42"/>
      <c r="E18" s="43"/>
      <c r="F18" s="43"/>
      <c r="G18" s="42"/>
      <c r="H18" s="42" t="n">
        <v>2</v>
      </c>
      <c r="I18" s="138" t="str">
        <f aca="false">IF(A18="","",G18-H18-0.5)</f>
        <v/>
      </c>
      <c r="J18" s="42"/>
      <c r="K18" s="43"/>
      <c r="L18" s="42"/>
      <c r="M18" s="43"/>
      <c r="N18" s="46"/>
      <c r="O18" s="47"/>
      <c r="P18" s="47"/>
      <c r="Q18" s="46"/>
      <c r="R18" s="47"/>
      <c r="S18" s="47"/>
      <c r="T18" s="48" t="n">
        <v>6</v>
      </c>
      <c r="U18" s="49" t="n">
        <v>0.2</v>
      </c>
      <c r="V18" s="139"/>
      <c r="W18" s="140"/>
      <c r="X18" s="139"/>
      <c r="Y18" s="141" t="str">
        <f aca="false">IF(A18="","",2*(E18+F18))</f>
        <v/>
      </c>
      <c r="Z18" s="53" t="str">
        <f aca="false">IF(A18="","",IFERROR(ROUNDUP(F18/K18,0)+1,0))</f>
        <v/>
      </c>
      <c r="AA18" s="52" t="str">
        <f aca="false">IF(A18="","",E18+2*10*(J18/1000))</f>
        <v/>
      </c>
      <c r="AB18" s="52" t="str">
        <f aca="false">IF(A18="","",IF(AA18&gt;12,50*J18/1000,0))</f>
        <v/>
      </c>
      <c r="AC18" s="51" t="n">
        <f aca="false">IF(A18="",0,IFERROR(Z18*(AA18+AB18)*VLOOKUP(J18,'TABELA DE PESOS'!$A$2:$B$9,2,FALSE()),0))</f>
        <v>0</v>
      </c>
      <c r="AD18" s="53" t="str">
        <f aca="false">IF(A18="","",IFERROR(ROUNDUP(E18/M18,0)+1,0))</f>
        <v/>
      </c>
      <c r="AE18" s="52" t="str">
        <f aca="false">IF(A18="","",F18+2*10*(L18/1000))</f>
        <v/>
      </c>
      <c r="AF18" s="52" t="str">
        <f aca="false">IF(A18="","",IF(AE18&gt;12,50*L18/1000,0))</f>
        <v/>
      </c>
      <c r="AG18" s="51" t="n">
        <f aca="false">IF(A18="",0,IFERROR(AD18*(AE18+AF18)*VLOOKUP(L18,'TABELA DE PESOS'!$A$2:$B$9,2,FALSE()),0))</f>
        <v>0</v>
      </c>
      <c r="AH18" s="53" t="str">
        <f aca="false">IF(A18="","",IFERROR(2*(ROUNDUP(F18/O18,0)+1),0))</f>
        <v/>
      </c>
      <c r="AI18" s="51" t="n">
        <f aca="false">IF(A18="",0,IFERROR(AH18*P18*VLOOKUP(N18,'TABELA DE PESOS'!$A$2:$B$9,2,FALSE()),0))</f>
        <v>0</v>
      </c>
      <c r="AJ18" s="53" t="str">
        <f aca="false">IF(A18="","",IFERROR(2*(ROUNDUP(E18/R18,0)+1),0))</f>
        <v/>
      </c>
      <c r="AK18" s="51" t="n">
        <f aca="false">IF(A18="",0,IFERROR(AJ18*S18*VLOOKUP(Q18,'TABELA DE PESOS'!$A$2:$B$9,2,FALSE()),0))</f>
        <v>0</v>
      </c>
      <c r="AL18" s="53" t="str">
        <f aca="false">IF(A18="","",IFERROR(ROUNDUP(Y18/U18,0),0))</f>
        <v/>
      </c>
      <c r="AM18" s="52" t="str">
        <f aca="false">IF(A18="","",MAX(E18,F18))</f>
        <v/>
      </c>
      <c r="AN18" s="51" t="n">
        <f aca="false">IF(A18="",0,IFERROR(AL18*AM18*VLOOKUP(T18,'TABELA DE PESOS'!$A$2:$B$9,2,FALSE()),0))</f>
        <v>0</v>
      </c>
      <c r="AO18" s="54" t="n">
        <f aca="false">IF(A18="",0,AC18+AG18+AI18+AK18+AN18)</f>
        <v>0</v>
      </c>
      <c r="AP18" s="55" t="n">
        <f aca="false">IF(A18="",0,IF(B18="Aligeirada",E18*F18*G18/100*0.65,E18*F18*G18/100))</f>
        <v>0</v>
      </c>
      <c r="AQ18" s="56" t="n">
        <f aca="false">IF(A18="",0,E18*F18+Y18*G18/100)</f>
        <v>0</v>
      </c>
    </row>
    <row r="19" customFormat="false" ht="15" hidden="false" customHeight="true" outlineLevel="0" collapsed="false">
      <c r="A19" s="58"/>
      <c r="B19" s="58"/>
      <c r="C19" s="58"/>
      <c r="D19" s="58"/>
      <c r="E19" s="59"/>
      <c r="F19" s="59"/>
      <c r="G19" s="58"/>
      <c r="H19" s="58" t="n">
        <v>2</v>
      </c>
      <c r="I19" s="142" t="str">
        <f aca="false">IF(A19="","",G19-H19-0.5)</f>
        <v/>
      </c>
      <c r="J19" s="58"/>
      <c r="K19" s="59"/>
      <c r="L19" s="58"/>
      <c r="M19" s="59"/>
      <c r="N19" s="62"/>
      <c r="O19" s="63"/>
      <c r="P19" s="63"/>
      <c r="Q19" s="62"/>
      <c r="R19" s="63"/>
      <c r="S19" s="63"/>
      <c r="T19" s="64" t="n">
        <v>6</v>
      </c>
      <c r="U19" s="65" t="n">
        <v>0.2</v>
      </c>
      <c r="V19" s="143"/>
      <c r="W19" s="144"/>
      <c r="X19" s="143"/>
      <c r="Y19" s="145" t="str">
        <f aca="false">IF(A19="","",2*(E19+F19))</f>
        <v/>
      </c>
      <c r="Z19" s="69" t="str">
        <f aca="false">IF(A19="","",IFERROR(ROUNDUP(F19/K19,0)+1,0))</f>
        <v/>
      </c>
      <c r="AA19" s="68" t="str">
        <f aca="false">IF(A19="","",E19+2*10*(J19/1000))</f>
        <v/>
      </c>
      <c r="AB19" s="68" t="str">
        <f aca="false">IF(A19="","",IF(AA19&gt;12,50*J19/1000,0))</f>
        <v/>
      </c>
      <c r="AC19" s="67" t="n">
        <f aca="false">IF(A19="",0,IFERROR(Z19*(AA19+AB19)*VLOOKUP(J19,'TABELA DE PESOS'!$A$2:$B$9,2,FALSE()),0))</f>
        <v>0</v>
      </c>
      <c r="AD19" s="69" t="str">
        <f aca="false">IF(A19="","",IFERROR(ROUNDUP(E19/M19,0)+1,0))</f>
        <v/>
      </c>
      <c r="AE19" s="68" t="str">
        <f aca="false">IF(A19="","",F19+2*10*(L19/1000))</f>
        <v/>
      </c>
      <c r="AF19" s="68" t="str">
        <f aca="false">IF(A19="","",IF(AE19&gt;12,50*L19/1000,0))</f>
        <v/>
      </c>
      <c r="AG19" s="67" t="n">
        <f aca="false">IF(A19="",0,IFERROR(AD19*(AE19+AF19)*VLOOKUP(L19,'TABELA DE PESOS'!$A$2:$B$9,2,FALSE()),0))</f>
        <v>0</v>
      </c>
      <c r="AH19" s="69" t="str">
        <f aca="false">IF(A19="","",IFERROR(2*(ROUNDUP(F19/O19,0)+1),0))</f>
        <v/>
      </c>
      <c r="AI19" s="67" t="n">
        <f aca="false">IF(A19="",0,IFERROR(AH19*P19*VLOOKUP(N19,'TABELA DE PESOS'!$A$2:$B$9,2,FALSE()),0))</f>
        <v>0</v>
      </c>
      <c r="AJ19" s="69" t="str">
        <f aca="false">IF(A19="","",IFERROR(2*(ROUNDUP(E19/R19,0)+1),0))</f>
        <v/>
      </c>
      <c r="AK19" s="67" t="n">
        <f aca="false">IF(A19="",0,IFERROR(AJ19*S19*VLOOKUP(Q19,'TABELA DE PESOS'!$A$2:$B$9,2,FALSE()),0))</f>
        <v>0</v>
      </c>
      <c r="AL19" s="69" t="str">
        <f aca="false">IF(A19="","",IFERROR(ROUNDUP(Y19/U19,0),0))</f>
        <v/>
      </c>
      <c r="AM19" s="68" t="str">
        <f aca="false">IF(A19="","",MAX(E19,F19))</f>
        <v/>
      </c>
      <c r="AN19" s="67" t="n">
        <f aca="false">IF(A19="",0,IFERROR(AL19*AM19*VLOOKUP(T19,'TABELA DE PESOS'!$A$2:$B$9,2,FALSE()),0))</f>
        <v>0</v>
      </c>
      <c r="AO19" s="70" t="n">
        <f aca="false">IF(A19="",0,AC19+AG19+AI19+AK19+AN19)</f>
        <v>0</v>
      </c>
      <c r="AP19" s="71" t="n">
        <f aca="false">IF(A19="",0,IF(B19="Aligeirada",E19*F19*G19/100*0.65,E19*F19*G19/100))</f>
        <v>0</v>
      </c>
      <c r="AQ19" s="72" t="n">
        <f aca="false">IF(A19="",0,E19*F19+Y19*G19/100)</f>
        <v>0</v>
      </c>
    </row>
    <row r="20" customFormat="false" ht="15" hidden="false" customHeight="true" outlineLevel="0" collapsed="false">
      <c r="A20" s="42"/>
      <c r="B20" s="42"/>
      <c r="C20" s="42"/>
      <c r="D20" s="42"/>
      <c r="E20" s="43"/>
      <c r="F20" s="43"/>
      <c r="G20" s="42"/>
      <c r="H20" s="42" t="n">
        <v>2</v>
      </c>
      <c r="I20" s="138" t="str">
        <f aca="false">IF(A20="","",G20-H20-0.5)</f>
        <v/>
      </c>
      <c r="J20" s="42"/>
      <c r="K20" s="43"/>
      <c r="L20" s="42"/>
      <c r="M20" s="43"/>
      <c r="N20" s="46"/>
      <c r="O20" s="47"/>
      <c r="P20" s="47"/>
      <c r="Q20" s="46"/>
      <c r="R20" s="47"/>
      <c r="S20" s="47"/>
      <c r="T20" s="48" t="n">
        <v>6</v>
      </c>
      <c r="U20" s="49" t="n">
        <v>0.2</v>
      </c>
      <c r="V20" s="139"/>
      <c r="W20" s="140"/>
      <c r="X20" s="139"/>
      <c r="Y20" s="141" t="str">
        <f aca="false">IF(A20="","",2*(E20+F20))</f>
        <v/>
      </c>
      <c r="Z20" s="53" t="str">
        <f aca="false">IF(A20="","",IFERROR(ROUNDUP(F20/K20,0)+1,0))</f>
        <v/>
      </c>
      <c r="AA20" s="52" t="str">
        <f aca="false">IF(A20="","",E20+2*10*(J20/1000))</f>
        <v/>
      </c>
      <c r="AB20" s="52" t="str">
        <f aca="false">IF(A20="","",IF(AA20&gt;12,50*J20/1000,0))</f>
        <v/>
      </c>
      <c r="AC20" s="51" t="n">
        <f aca="false">IF(A20="",0,IFERROR(Z20*(AA20+AB20)*VLOOKUP(J20,'TABELA DE PESOS'!$A$2:$B$9,2,FALSE()),0))</f>
        <v>0</v>
      </c>
      <c r="AD20" s="53" t="str">
        <f aca="false">IF(A20="","",IFERROR(ROUNDUP(E20/M20,0)+1,0))</f>
        <v/>
      </c>
      <c r="AE20" s="52" t="str">
        <f aca="false">IF(A20="","",F20+2*10*(L20/1000))</f>
        <v/>
      </c>
      <c r="AF20" s="52" t="str">
        <f aca="false">IF(A20="","",IF(AE20&gt;12,50*L20/1000,0))</f>
        <v/>
      </c>
      <c r="AG20" s="51" t="n">
        <f aca="false">IF(A20="",0,IFERROR(AD20*(AE20+AF20)*VLOOKUP(L20,'TABELA DE PESOS'!$A$2:$B$9,2,FALSE()),0))</f>
        <v>0</v>
      </c>
      <c r="AH20" s="53" t="str">
        <f aca="false">IF(A20="","",IFERROR(2*(ROUNDUP(F20/O20,0)+1),0))</f>
        <v/>
      </c>
      <c r="AI20" s="51" t="n">
        <f aca="false">IF(A20="",0,IFERROR(AH20*P20*VLOOKUP(N20,'TABELA DE PESOS'!$A$2:$B$9,2,FALSE()),0))</f>
        <v>0</v>
      </c>
      <c r="AJ20" s="53" t="str">
        <f aca="false">IF(A20="","",IFERROR(2*(ROUNDUP(E20/R20,0)+1),0))</f>
        <v/>
      </c>
      <c r="AK20" s="51" t="n">
        <f aca="false">IF(A20="",0,IFERROR(AJ20*S20*VLOOKUP(Q20,'TABELA DE PESOS'!$A$2:$B$9,2,FALSE()),0))</f>
        <v>0</v>
      </c>
      <c r="AL20" s="53" t="str">
        <f aca="false">IF(A20="","",IFERROR(ROUNDUP(Y20/U20,0),0))</f>
        <v/>
      </c>
      <c r="AM20" s="52" t="str">
        <f aca="false">IF(A20="","",MAX(E20,F20))</f>
        <v/>
      </c>
      <c r="AN20" s="51" t="n">
        <f aca="false">IF(A20="",0,IFERROR(AL20*AM20*VLOOKUP(T20,'TABELA DE PESOS'!$A$2:$B$9,2,FALSE()),0))</f>
        <v>0</v>
      </c>
      <c r="AO20" s="54" t="n">
        <f aca="false">IF(A20="",0,AC20+AG20+AI20+AK20+AN20)</f>
        <v>0</v>
      </c>
      <c r="AP20" s="55" t="n">
        <f aca="false">IF(A20="",0,IF(B20="Aligeirada",E20*F20*G20/100*0.65,E20*F20*G20/100))</f>
        <v>0</v>
      </c>
      <c r="AQ20" s="56" t="n">
        <f aca="false">IF(A20="",0,E20*F20+Y20*G20/100)</f>
        <v>0</v>
      </c>
    </row>
    <row r="21" customFormat="false" ht="15" hidden="false" customHeight="true" outlineLevel="0" collapsed="false">
      <c r="A21" s="58"/>
      <c r="B21" s="58"/>
      <c r="C21" s="58"/>
      <c r="D21" s="58"/>
      <c r="E21" s="59"/>
      <c r="F21" s="59"/>
      <c r="G21" s="58"/>
      <c r="H21" s="58" t="n">
        <v>2</v>
      </c>
      <c r="I21" s="142" t="str">
        <f aca="false">IF(A21="","",G21-H21-0.5)</f>
        <v/>
      </c>
      <c r="J21" s="58"/>
      <c r="K21" s="59"/>
      <c r="L21" s="58"/>
      <c r="M21" s="59"/>
      <c r="N21" s="62"/>
      <c r="O21" s="63"/>
      <c r="P21" s="63"/>
      <c r="Q21" s="62"/>
      <c r="R21" s="63"/>
      <c r="S21" s="63"/>
      <c r="T21" s="64" t="n">
        <v>6</v>
      </c>
      <c r="U21" s="65" t="n">
        <v>0.2</v>
      </c>
      <c r="V21" s="143"/>
      <c r="W21" s="144"/>
      <c r="X21" s="143"/>
      <c r="Y21" s="145" t="str">
        <f aca="false">IF(A21="","",2*(E21+F21))</f>
        <v/>
      </c>
      <c r="Z21" s="69" t="str">
        <f aca="false">IF(A21="","",IFERROR(ROUNDUP(F21/K21,0)+1,0))</f>
        <v/>
      </c>
      <c r="AA21" s="68" t="str">
        <f aca="false">IF(A21="","",E21+2*10*(J21/1000))</f>
        <v/>
      </c>
      <c r="AB21" s="68" t="str">
        <f aca="false">IF(A21="","",IF(AA21&gt;12,50*J21/1000,0))</f>
        <v/>
      </c>
      <c r="AC21" s="67" t="n">
        <f aca="false">IF(A21="",0,IFERROR(Z21*(AA21+AB21)*VLOOKUP(J21,'TABELA DE PESOS'!$A$2:$B$9,2,FALSE()),0))</f>
        <v>0</v>
      </c>
      <c r="AD21" s="69" t="str">
        <f aca="false">IF(A21="","",IFERROR(ROUNDUP(E21/M21,0)+1,0))</f>
        <v/>
      </c>
      <c r="AE21" s="68" t="str">
        <f aca="false">IF(A21="","",F21+2*10*(L21/1000))</f>
        <v/>
      </c>
      <c r="AF21" s="68" t="str">
        <f aca="false">IF(A21="","",IF(AE21&gt;12,50*L21/1000,0))</f>
        <v/>
      </c>
      <c r="AG21" s="67" t="n">
        <f aca="false">IF(A21="",0,IFERROR(AD21*(AE21+AF21)*VLOOKUP(L21,'TABELA DE PESOS'!$A$2:$B$9,2,FALSE()),0))</f>
        <v>0</v>
      </c>
      <c r="AH21" s="69" t="str">
        <f aca="false">IF(A21="","",IFERROR(2*(ROUNDUP(F21/O21,0)+1),0))</f>
        <v/>
      </c>
      <c r="AI21" s="67" t="n">
        <f aca="false">IF(A21="",0,IFERROR(AH21*P21*VLOOKUP(N21,'TABELA DE PESOS'!$A$2:$B$9,2,FALSE()),0))</f>
        <v>0</v>
      </c>
      <c r="AJ21" s="69" t="str">
        <f aca="false">IF(A21="","",IFERROR(2*(ROUNDUP(E21/R21,0)+1),0))</f>
        <v/>
      </c>
      <c r="AK21" s="67" t="n">
        <f aca="false">IF(A21="",0,IFERROR(AJ21*S21*VLOOKUP(Q21,'TABELA DE PESOS'!$A$2:$B$9,2,FALSE()),0))</f>
        <v>0</v>
      </c>
      <c r="AL21" s="69" t="str">
        <f aca="false">IF(A21="","",IFERROR(ROUNDUP(Y21/U21,0),0))</f>
        <v/>
      </c>
      <c r="AM21" s="68" t="str">
        <f aca="false">IF(A21="","",MAX(E21,F21))</f>
        <v/>
      </c>
      <c r="AN21" s="67" t="n">
        <f aca="false">IF(A21="",0,IFERROR(AL21*AM21*VLOOKUP(T21,'TABELA DE PESOS'!$A$2:$B$9,2,FALSE()),0))</f>
        <v>0</v>
      </c>
      <c r="AO21" s="70" t="n">
        <f aca="false">IF(A21="",0,AC21+AG21+AI21+AK21+AN21)</f>
        <v>0</v>
      </c>
      <c r="AP21" s="71" t="n">
        <f aca="false">IF(A21="",0,IF(B21="Aligeirada",E21*F21*G21/100*0.65,E21*F21*G21/100))</f>
        <v>0</v>
      </c>
      <c r="AQ21" s="72" t="n">
        <f aca="false">IF(A21="",0,E21*F21+Y21*G21/100)</f>
        <v>0</v>
      </c>
    </row>
    <row r="22" customFormat="false" ht="15" hidden="false" customHeight="true" outlineLevel="0" collapsed="false">
      <c r="A22" s="42"/>
      <c r="B22" s="42"/>
      <c r="C22" s="42"/>
      <c r="D22" s="42"/>
      <c r="E22" s="43"/>
      <c r="F22" s="43"/>
      <c r="G22" s="42"/>
      <c r="H22" s="42" t="n">
        <v>2</v>
      </c>
      <c r="I22" s="138" t="str">
        <f aca="false">IF(A22="","",G22-H22-0.5)</f>
        <v/>
      </c>
      <c r="J22" s="42"/>
      <c r="K22" s="43"/>
      <c r="L22" s="42"/>
      <c r="M22" s="43"/>
      <c r="N22" s="46"/>
      <c r="O22" s="47"/>
      <c r="P22" s="47"/>
      <c r="Q22" s="46"/>
      <c r="R22" s="47"/>
      <c r="S22" s="47"/>
      <c r="T22" s="48" t="n">
        <v>6</v>
      </c>
      <c r="U22" s="49" t="n">
        <v>0.2</v>
      </c>
      <c r="V22" s="139"/>
      <c r="W22" s="140"/>
      <c r="X22" s="139"/>
      <c r="Y22" s="141" t="str">
        <f aca="false">IF(A22="","",2*(E22+F22))</f>
        <v/>
      </c>
      <c r="Z22" s="53" t="str">
        <f aca="false">IF(A22="","",IFERROR(ROUNDUP(F22/K22,0)+1,0))</f>
        <v/>
      </c>
      <c r="AA22" s="52" t="str">
        <f aca="false">IF(A22="","",E22+2*10*(J22/1000))</f>
        <v/>
      </c>
      <c r="AB22" s="52" t="str">
        <f aca="false">IF(A22="","",IF(AA22&gt;12,50*J22/1000,0))</f>
        <v/>
      </c>
      <c r="AC22" s="51" t="n">
        <f aca="false">IF(A22="",0,IFERROR(Z22*(AA22+AB22)*VLOOKUP(J22,'TABELA DE PESOS'!$A$2:$B$9,2,FALSE()),0))</f>
        <v>0</v>
      </c>
      <c r="AD22" s="53" t="str">
        <f aca="false">IF(A22="","",IFERROR(ROUNDUP(E22/M22,0)+1,0))</f>
        <v/>
      </c>
      <c r="AE22" s="52" t="str">
        <f aca="false">IF(A22="","",F22+2*10*(L22/1000))</f>
        <v/>
      </c>
      <c r="AF22" s="52" t="str">
        <f aca="false">IF(A22="","",IF(AE22&gt;12,50*L22/1000,0))</f>
        <v/>
      </c>
      <c r="AG22" s="51" t="n">
        <f aca="false">IF(A22="",0,IFERROR(AD22*(AE22+AF22)*VLOOKUP(L22,'TABELA DE PESOS'!$A$2:$B$9,2,FALSE()),0))</f>
        <v>0</v>
      </c>
      <c r="AH22" s="53" t="str">
        <f aca="false">IF(A22="","",IFERROR(2*(ROUNDUP(F22/O22,0)+1),0))</f>
        <v/>
      </c>
      <c r="AI22" s="51" t="n">
        <f aca="false">IF(A22="",0,IFERROR(AH22*P22*VLOOKUP(N22,'TABELA DE PESOS'!$A$2:$B$9,2,FALSE()),0))</f>
        <v>0</v>
      </c>
      <c r="AJ22" s="53" t="str">
        <f aca="false">IF(A22="","",IFERROR(2*(ROUNDUP(E22/R22,0)+1),0))</f>
        <v/>
      </c>
      <c r="AK22" s="51" t="n">
        <f aca="false">IF(A22="",0,IFERROR(AJ22*S22*VLOOKUP(Q22,'TABELA DE PESOS'!$A$2:$B$9,2,FALSE()),0))</f>
        <v>0</v>
      </c>
      <c r="AL22" s="53" t="str">
        <f aca="false">IF(A22="","",IFERROR(ROUNDUP(Y22/U22,0),0))</f>
        <v/>
      </c>
      <c r="AM22" s="52" t="str">
        <f aca="false">IF(A22="","",MAX(E22,F22))</f>
        <v/>
      </c>
      <c r="AN22" s="51" t="n">
        <f aca="false">IF(A22="",0,IFERROR(AL22*AM22*VLOOKUP(T22,'TABELA DE PESOS'!$A$2:$B$9,2,FALSE()),0))</f>
        <v>0</v>
      </c>
      <c r="AO22" s="54" t="n">
        <f aca="false">IF(A22="",0,AC22+AG22+AI22+AK22+AN22)</f>
        <v>0</v>
      </c>
      <c r="AP22" s="55" t="n">
        <f aca="false">IF(A22="",0,IF(B22="Aligeirada",E22*F22*G22/100*0.65,E22*F22*G22/100))</f>
        <v>0</v>
      </c>
      <c r="AQ22" s="56" t="n">
        <f aca="false">IF(A22="",0,E22*F22+Y22*G22/100)</f>
        <v>0</v>
      </c>
    </row>
    <row r="23" customFormat="false" ht="15" hidden="false" customHeight="true" outlineLevel="0" collapsed="false">
      <c r="A23" s="58"/>
      <c r="B23" s="58"/>
      <c r="C23" s="58"/>
      <c r="D23" s="58"/>
      <c r="E23" s="59"/>
      <c r="F23" s="59"/>
      <c r="G23" s="58"/>
      <c r="H23" s="58" t="n">
        <v>2</v>
      </c>
      <c r="I23" s="142" t="str">
        <f aca="false">IF(A23="","",G23-H23-0.5)</f>
        <v/>
      </c>
      <c r="J23" s="58"/>
      <c r="K23" s="59"/>
      <c r="L23" s="58"/>
      <c r="M23" s="59"/>
      <c r="N23" s="62"/>
      <c r="O23" s="63"/>
      <c r="P23" s="63"/>
      <c r="Q23" s="62"/>
      <c r="R23" s="63"/>
      <c r="S23" s="63"/>
      <c r="T23" s="64" t="n">
        <v>6</v>
      </c>
      <c r="U23" s="65" t="n">
        <v>0.2</v>
      </c>
      <c r="V23" s="143"/>
      <c r="W23" s="144"/>
      <c r="X23" s="143"/>
      <c r="Y23" s="145" t="str">
        <f aca="false">IF(A23="","",2*(E23+F23))</f>
        <v/>
      </c>
      <c r="Z23" s="69" t="str">
        <f aca="false">IF(A23="","",IFERROR(ROUNDUP(F23/K23,0)+1,0))</f>
        <v/>
      </c>
      <c r="AA23" s="68" t="str">
        <f aca="false">IF(A23="","",E23+2*10*(J23/1000))</f>
        <v/>
      </c>
      <c r="AB23" s="68" t="str">
        <f aca="false">IF(A23="","",IF(AA23&gt;12,50*J23/1000,0))</f>
        <v/>
      </c>
      <c r="AC23" s="67" t="n">
        <f aca="false">IF(A23="",0,IFERROR(Z23*(AA23+AB23)*VLOOKUP(J23,'TABELA DE PESOS'!$A$2:$B$9,2,FALSE()),0))</f>
        <v>0</v>
      </c>
      <c r="AD23" s="69" t="str">
        <f aca="false">IF(A23="","",IFERROR(ROUNDUP(E23/M23,0)+1,0))</f>
        <v/>
      </c>
      <c r="AE23" s="68" t="str">
        <f aca="false">IF(A23="","",F23+2*10*(L23/1000))</f>
        <v/>
      </c>
      <c r="AF23" s="68" t="str">
        <f aca="false">IF(A23="","",IF(AE23&gt;12,50*L23/1000,0))</f>
        <v/>
      </c>
      <c r="AG23" s="67" t="n">
        <f aca="false">IF(A23="",0,IFERROR(AD23*(AE23+AF23)*VLOOKUP(L23,'TABELA DE PESOS'!$A$2:$B$9,2,FALSE()),0))</f>
        <v>0</v>
      </c>
      <c r="AH23" s="69" t="str">
        <f aca="false">IF(A23="","",IFERROR(2*(ROUNDUP(F23/O23,0)+1),0))</f>
        <v/>
      </c>
      <c r="AI23" s="67" t="n">
        <f aca="false">IF(A23="",0,IFERROR(AH23*P23*VLOOKUP(N23,'TABELA DE PESOS'!$A$2:$B$9,2,FALSE()),0))</f>
        <v>0</v>
      </c>
      <c r="AJ23" s="69" t="str">
        <f aca="false">IF(A23="","",IFERROR(2*(ROUNDUP(E23/R23,0)+1),0))</f>
        <v/>
      </c>
      <c r="AK23" s="67" t="n">
        <f aca="false">IF(A23="",0,IFERROR(AJ23*S23*VLOOKUP(Q23,'TABELA DE PESOS'!$A$2:$B$9,2,FALSE()),0))</f>
        <v>0</v>
      </c>
      <c r="AL23" s="69" t="str">
        <f aca="false">IF(A23="","",IFERROR(ROUNDUP(Y23/U23,0),0))</f>
        <v/>
      </c>
      <c r="AM23" s="68" t="str">
        <f aca="false">IF(A23="","",MAX(E23,F23))</f>
        <v/>
      </c>
      <c r="AN23" s="67" t="n">
        <f aca="false">IF(A23="",0,IFERROR(AL23*AM23*VLOOKUP(T23,'TABELA DE PESOS'!$A$2:$B$9,2,FALSE()),0))</f>
        <v>0</v>
      </c>
      <c r="AO23" s="70" t="n">
        <f aca="false">IF(A23="",0,AC23+AG23+AI23+AK23+AN23)</f>
        <v>0</v>
      </c>
      <c r="AP23" s="71" t="n">
        <f aca="false">IF(A23="",0,IF(B23="Aligeirada",E23*F23*G23/100*0.65,E23*F23*G23/100))</f>
        <v>0</v>
      </c>
      <c r="AQ23" s="72" t="n">
        <f aca="false">IF(A23="",0,E23*F23+Y23*G23/100)</f>
        <v>0</v>
      </c>
    </row>
    <row r="24" customFormat="false" ht="15" hidden="false" customHeight="true" outlineLevel="0" collapsed="false">
      <c r="A24" s="42"/>
      <c r="B24" s="42"/>
      <c r="C24" s="42"/>
      <c r="D24" s="42"/>
      <c r="E24" s="43"/>
      <c r="F24" s="43"/>
      <c r="G24" s="42"/>
      <c r="H24" s="42" t="n">
        <v>2</v>
      </c>
      <c r="I24" s="138" t="str">
        <f aca="false">IF(A24="","",G24-H24-0.5)</f>
        <v/>
      </c>
      <c r="J24" s="42"/>
      <c r="K24" s="43"/>
      <c r="L24" s="42"/>
      <c r="M24" s="43"/>
      <c r="N24" s="46"/>
      <c r="O24" s="47"/>
      <c r="P24" s="47"/>
      <c r="Q24" s="46"/>
      <c r="R24" s="47"/>
      <c r="S24" s="47"/>
      <c r="T24" s="48" t="n">
        <v>6</v>
      </c>
      <c r="U24" s="49" t="n">
        <v>0.2</v>
      </c>
      <c r="V24" s="139"/>
      <c r="W24" s="140"/>
      <c r="X24" s="139"/>
      <c r="Y24" s="141" t="str">
        <f aca="false">IF(A24="","",2*(E24+F24))</f>
        <v/>
      </c>
      <c r="Z24" s="53" t="str">
        <f aca="false">IF(A24="","",IFERROR(ROUNDUP(F24/K24,0)+1,0))</f>
        <v/>
      </c>
      <c r="AA24" s="52" t="str">
        <f aca="false">IF(A24="","",E24+2*10*(J24/1000))</f>
        <v/>
      </c>
      <c r="AB24" s="52" t="str">
        <f aca="false">IF(A24="","",IF(AA24&gt;12,50*J24/1000,0))</f>
        <v/>
      </c>
      <c r="AC24" s="51" t="n">
        <f aca="false">IF(A24="",0,IFERROR(Z24*(AA24+AB24)*VLOOKUP(J24,'TABELA DE PESOS'!$A$2:$B$9,2,FALSE()),0))</f>
        <v>0</v>
      </c>
      <c r="AD24" s="53" t="str">
        <f aca="false">IF(A24="","",IFERROR(ROUNDUP(E24/M24,0)+1,0))</f>
        <v/>
      </c>
      <c r="AE24" s="52" t="str">
        <f aca="false">IF(A24="","",F24+2*10*(L24/1000))</f>
        <v/>
      </c>
      <c r="AF24" s="52" t="str">
        <f aca="false">IF(A24="","",IF(AE24&gt;12,50*L24/1000,0))</f>
        <v/>
      </c>
      <c r="AG24" s="51" t="n">
        <f aca="false">IF(A24="",0,IFERROR(AD24*(AE24+AF24)*VLOOKUP(L24,'TABELA DE PESOS'!$A$2:$B$9,2,FALSE()),0))</f>
        <v>0</v>
      </c>
      <c r="AH24" s="53" t="str">
        <f aca="false">IF(A24="","",IFERROR(2*(ROUNDUP(F24/O24,0)+1),0))</f>
        <v/>
      </c>
      <c r="AI24" s="51" t="n">
        <f aca="false">IF(A24="",0,IFERROR(AH24*P24*VLOOKUP(N24,'TABELA DE PESOS'!$A$2:$B$9,2,FALSE()),0))</f>
        <v>0</v>
      </c>
      <c r="AJ24" s="53" t="str">
        <f aca="false">IF(A24="","",IFERROR(2*(ROUNDUP(E24/R24,0)+1),0))</f>
        <v/>
      </c>
      <c r="AK24" s="51" t="n">
        <f aca="false">IF(A24="",0,IFERROR(AJ24*S24*VLOOKUP(Q24,'TABELA DE PESOS'!$A$2:$B$9,2,FALSE()),0))</f>
        <v>0</v>
      </c>
      <c r="AL24" s="53" t="str">
        <f aca="false">IF(A24="","",IFERROR(ROUNDUP(Y24/U24,0),0))</f>
        <v/>
      </c>
      <c r="AM24" s="52" t="str">
        <f aca="false">IF(A24="","",MAX(E24,F24))</f>
        <v/>
      </c>
      <c r="AN24" s="51" t="n">
        <f aca="false">IF(A24="",0,IFERROR(AL24*AM24*VLOOKUP(T24,'TABELA DE PESOS'!$A$2:$B$9,2,FALSE()),0))</f>
        <v>0</v>
      </c>
      <c r="AO24" s="54" t="n">
        <f aca="false">IF(A24="",0,AC24+AG24+AI24+AK24+AN24)</f>
        <v>0</v>
      </c>
      <c r="AP24" s="55" t="n">
        <f aca="false">IF(A24="",0,IF(B24="Aligeirada",E24*F24*G24/100*0.65,E24*F24*G24/100))</f>
        <v>0</v>
      </c>
      <c r="AQ24" s="56" t="n">
        <f aca="false">IF(A24="",0,E24*F24+Y24*G24/100)</f>
        <v>0</v>
      </c>
    </row>
    <row r="25" customFormat="false" ht="15" hidden="false" customHeight="true" outlineLevel="0" collapsed="false">
      <c r="A25" s="58"/>
      <c r="B25" s="58"/>
      <c r="C25" s="58"/>
      <c r="D25" s="58"/>
      <c r="E25" s="59"/>
      <c r="F25" s="59"/>
      <c r="G25" s="58"/>
      <c r="H25" s="58" t="n">
        <v>2</v>
      </c>
      <c r="I25" s="142" t="str">
        <f aca="false">IF(A25="","",G25-H25-0.5)</f>
        <v/>
      </c>
      <c r="J25" s="58"/>
      <c r="K25" s="59"/>
      <c r="L25" s="58"/>
      <c r="M25" s="59"/>
      <c r="N25" s="62"/>
      <c r="O25" s="63"/>
      <c r="P25" s="63"/>
      <c r="Q25" s="62"/>
      <c r="R25" s="63"/>
      <c r="S25" s="63"/>
      <c r="T25" s="64" t="n">
        <v>6</v>
      </c>
      <c r="U25" s="65" t="n">
        <v>0.2</v>
      </c>
      <c r="V25" s="143"/>
      <c r="W25" s="144"/>
      <c r="X25" s="143"/>
      <c r="Y25" s="145" t="str">
        <f aca="false">IF(A25="","",2*(E25+F25))</f>
        <v/>
      </c>
      <c r="Z25" s="69" t="str">
        <f aca="false">IF(A25="","",IFERROR(ROUNDUP(F25/K25,0)+1,0))</f>
        <v/>
      </c>
      <c r="AA25" s="68" t="str">
        <f aca="false">IF(A25="","",E25+2*10*(J25/1000))</f>
        <v/>
      </c>
      <c r="AB25" s="68" t="str">
        <f aca="false">IF(A25="","",IF(AA25&gt;12,50*J25/1000,0))</f>
        <v/>
      </c>
      <c r="AC25" s="67" t="n">
        <f aca="false">IF(A25="",0,IFERROR(Z25*(AA25+AB25)*VLOOKUP(J25,'TABELA DE PESOS'!$A$2:$B$9,2,FALSE()),0))</f>
        <v>0</v>
      </c>
      <c r="AD25" s="69" t="str">
        <f aca="false">IF(A25="","",IFERROR(ROUNDUP(E25/M25,0)+1,0))</f>
        <v/>
      </c>
      <c r="AE25" s="68" t="str">
        <f aca="false">IF(A25="","",F25+2*10*(L25/1000))</f>
        <v/>
      </c>
      <c r="AF25" s="68" t="str">
        <f aca="false">IF(A25="","",IF(AE25&gt;12,50*L25/1000,0))</f>
        <v/>
      </c>
      <c r="AG25" s="67" t="n">
        <f aca="false">IF(A25="",0,IFERROR(AD25*(AE25+AF25)*VLOOKUP(L25,'TABELA DE PESOS'!$A$2:$B$9,2,FALSE()),0))</f>
        <v>0</v>
      </c>
      <c r="AH25" s="69" t="str">
        <f aca="false">IF(A25="","",IFERROR(2*(ROUNDUP(F25/O25,0)+1),0))</f>
        <v/>
      </c>
      <c r="AI25" s="67" t="n">
        <f aca="false">IF(A25="",0,IFERROR(AH25*P25*VLOOKUP(N25,'TABELA DE PESOS'!$A$2:$B$9,2,FALSE()),0))</f>
        <v>0</v>
      </c>
      <c r="AJ25" s="69" t="str">
        <f aca="false">IF(A25="","",IFERROR(2*(ROUNDUP(E25/R25,0)+1),0))</f>
        <v/>
      </c>
      <c r="AK25" s="67" t="n">
        <f aca="false">IF(A25="",0,IFERROR(AJ25*S25*VLOOKUP(Q25,'TABELA DE PESOS'!$A$2:$B$9,2,FALSE()),0))</f>
        <v>0</v>
      </c>
      <c r="AL25" s="69" t="str">
        <f aca="false">IF(A25="","",IFERROR(ROUNDUP(Y25/U25,0),0))</f>
        <v/>
      </c>
      <c r="AM25" s="68" t="str">
        <f aca="false">IF(A25="","",MAX(E25,F25))</f>
        <v/>
      </c>
      <c r="AN25" s="67" t="n">
        <f aca="false">IF(A25="",0,IFERROR(AL25*AM25*VLOOKUP(T25,'TABELA DE PESOS'!$A$2:$B$9,2,FALSE()),0))</f>
        <v>0</v>
      </c>
      <c r="AO25" s="70" t="n">
        <f aca="false">IF(A25="",0,AC25+AG25+AI25+AK25+AN25)</f>
        <v>0</v>
      </c>
      <c r="AP25" s="71" t="n">
        <f aca="false">IF(A25="",0,IF(B25="Aligeirada",E25*F25*G25/100*0.65,E25*F25*G25/100))</f>
        <v>0</v>
      </c>
      <c r="AQ25" s="72" t="n">
        <f aca="false">IF(A25="",0,E25*F25+Y25*G25/100)</f>
        <v>0</v>
      </c>
    </row>
    <row r="26" customFormat="false" ht="15" hidden="false" customHeight="true" outlineLevel="0" collapsed="false">
      <c r="A26" s="75" t="s">
        <v>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7" t="n">
        <f aca="false">SUM(AO6:AO25)</f>
        <v>851.4081</v>
      </c>
      <c r="AP26" s="146" t="n">
        <f aca="false">SUM(AP6:AP25)</f>
        <v>8.58</v>
      </c>
      <c r="AQ26" s="77" t="n">
        <f aca="false">SUM(AQ6:AQ25)</f>
        <v>72.9</v>
      </c>
    </row>
  </sheetData>
  <mergeCells count="12">
    <mergeCell ref="A1:AQ1"/>
    <mergeCell ref="A2:AQ2"/>
    <mergeCell ref="A4:D4"/>
    <mergeCell ref="E4:I4"/>
    <mergeCell ref="J4:M4"/>
    <mergeCell ref="N4:S4"/>
    <mergeCell ref="T4:U4"/>
    <mergeCell ref="V4:X4"/>
    <mergeCell ref="Z4:AG4"/>
    <mergeCell ref="AH4:AK4"/>
    <mergeCell ref="AL4:AN4"/>
    <mergeCell ref="A26:AN26"/>
  </mergeCells>
  <dataValidations count="1">
    <dataValidation allowBlank="true" errorStyle="stop" operator="between" showDropDown="false" showErrorMessage="false" showInputMessage="false" sqref="B6:B25" type="list">
      <formula1>"Maciça,Aligeirada,Fungiforme"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5" zeroHeight="false" outlineLevelRow="0" outlineLevelCol="0"/>
  <cols>
    <col collapsed="false" customWidth="true" hidden="false" outlineLevel="0" max="1" min="1" style="0" width="16"/>
    <col collapsed="false" customWidth="true" hidden="false" outlineLevel="0" max="2" min="2" style="0" width="14"/>
  </cols>
  <sheetData>
    <row r="1" customFormat="false" ht="32.25" hidden="false" customHeight="true" outlineLevel="0" collapsed="false">
      <c r="A1" s="12" t="s">
        <v>377</v>
      </c>
      <c r="B1" s="12"/>
    </row>
    <row r="2" customFormat="false" ht="15" hidden="false" customHeight="true" outlineLevel="0" collapsed="false">
      <c r="A2" s="13" t="s">
        <v>378</v>
      </c>
      <c r="B2" s="13" t="s">
        <v>379</v>
      </c>
    </row>
    <row r="3" customFormat="false" ht="15" hidden="false" customHeight="true" outlineLevel="0" collapsed="false">
      <c r="A3" s="147" t="n">
        <v>6</v>
      </c>
      <c r="B3" s="148" t="n">
        <v>0.222</v>
      </c>
    </row>
    <row r="4" customFormat="false" ht="15" hidden="false" customHeight="true" outlineLevel="0" collapsed="false">
      <c r="A4" s="149" t="n">
        <v>8</v>
      </c>
      <c r="B4" s="150" t="n">
        <v>0.395</v>
      </c>
    </row>
    <row r="5" customFormat="false" ht="15" hidden="false" customHeight="true" outlineLevel="0" collapsed="false">
      <c r="A5" s="147" t="n">
        <v>10</v>
      </c>
      <c r="B5" s="148" t="n">
        <v>0.617</v>
      </c>
    </row>
    <row r="6" customFormat="false" ht="15" hidden="false" customHeight="true" outlineLevel="0" collapsed="false">
      <c r="A6" s="149" t="n">
        <v>12</v>
      </c>
      <c r="B6" s="150" t="n">
        <v>0.888</v>
      </c>
    </row>
    <row r="7" customFormat="false" ht="15" hidden="false" customHeight="true" outlineLevel="0" collapsed="false">
      <c r="A7" s="147" t="n">
        <v>16</v>
      </c>
      <c r="B7" s="148" t="n">
        <v>1.578</v>
      </c>
    </row>
    <row r="8" customFormat="false" ht="15" hidden="false" customHeight="true" outlineLevel="0" collapsed="false">
      <c r="A8" s="149" t="n">
        <v>20</v>
      </c>
      <c r="B8" s="150" t="n">
        <v>2.466</v>
      </c>
    </row>
    <row r="9" customFormat="false" ht="15" hidden="false" customHeight="true" outlineLevel="0" collapsed="false">
      <c r="A9" s="147" t="n">
        <v>25</v>
      </c>
      <c r="B9" s="148" t="n">
        <v>3.853</v>
      </c>
    </row>
    <row r="10" customFormat="false" ht="15" hidden="false" customHeight="true" outlineLevel="0" collapsed="false">
      <c r="A10" s="149" t="n">
        <v>32</v>
      </c>
      <c r="B10" s="150" t="n">
        <v>6.313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6" activeCellId="0" sqref="B16"/>
    </sheetView>
  </sheetViews>
  <sheetFormatPr defaultColWidth="8.507812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5" min="5" style="0" width="10"/>
    <col collapsed="false" customWidth="true" hidden="false" outlineLevel="0" max="6" min="6" style="0" width="20"/>
  </cols>
  <sheetData>
    <row r="1" customFormat="false" ht="17.25" hidden="false" customHeight="true" outlineLevel="0" collapsed="false">
      <c r="A1" s="12" t="s">
        <v>380</v>
      </c>
      <c r="B1" s="12"/>
      <c r="C1" s="12"/>
      <c r="D1" s="12"/>
      <c r="E1" s="12"/>
      <c r="F1" s="12"/>
    </row>
    <row r="3" customFormat="false" ht="15" hidden="false" customHeight="true" outlineLevel="0" collapsed="false">
      <c r="A3" s="151" t="s">
        <v>381</v>
      </c>
      <c r="B3" s="151"/>
      <c r="C3" s="151"/>
      <c r="D3" s="151"/>
      <c r="E3" s="151"/>
      <c r="F3" s="151"/>
    </row>
    <row r="4" customFormat="false" ht="32.25" hidden="false" customHeight="true" outlineLevel="0" collapsed="false">
      <c r="A4" s="13" t="s">
        <v>382</v>
      </c>
      <c r="B4" s="13" t="s">
        <v>383</v>
      </c>
      <c r="C4" s="38" t="s">
        <v>384</v>
      </c>
      <c r="D4" s="39" t="s">
        <v>385</v>
      </c>
      <c r="E4" s="40" t="s">
        <v>386</v>
      </c>
      <c r="F4" s="13" t="s">
        <v>133</v>
      </c>
    </row>
    <row r="5" customFormat="false" ht="15" hidden="false" customHeight="true" outlineLevel="0" collapsed="false">
      <c r="A5" s="152" t="s">
        <v>387</v>
      </c>
      <c r="B5" s="153" t="n">
        <f aca="false">COUNTA(PILARES!A6:A25)</f>
        <v>19</v>
      </c>
      <c r="C5" s="15" t="n">
        <f aca="false">PILARES!AP26</f>
        <v>824.219359671206</v>
      </c>
      <c r="D5" s="154" t="n">
        <f aca="false">PILARES!AQ26</f>
        <v>3.77009533039368</v>
      </c>
      <c r="E5" s="15" t="n">
        <f aca="false">PILARES!AR26</f>
        <v>40.5919377385824</v>
      </c>
      <c r="F5" s="155"/>
    </row>
    <row r="6" customFormat="false" ht="15" hidden="false" customHeight="true" outlineLevel="0" collapsed="false">
      <c r="A6" s="156" t="s">
        <v>388</v>
      </c>
      <c r="B6" s="157" t="n">
        <f aca="false">COUNTA(SAPATAS!A5:A11)</f>
        <v>7</v>
      </c>
      <c r="C6" s="19" t="n">
        <f aca="false">SAPATAS!Z13</f>
        <v>985.77068</v>
      </c>
      <c r="D6" s="158" t="n">
        <f aca="false">SAPATAS!AA13</f>
        <v>38.34</v>
      </c>
      <c r="E6" s="19" t="n">
        <f aca="false">SAPATAS!AC13</f>
        <v>78.248</v>
      </c>
      <c r="F6" s="159"/>
    </row>
    <row r="7" customFormat="false" ht="15" hidden="false" customHeight="true" outlineLevel="0" collapsed="false">
      <c r="A7" s="152" t="s">
        <v>389</v>
      </c>
      <c r="B7" s="153" t="n">
        <f aca="false">COUNTA(MUROS!A6:A11)+COUNTA(MUROS!A16:A17)</f>
        <v>8</v>
      </c>
      <c r="C7" s="15" t="n">
        <f aca="false">MUROS!B20</f>
        <v>5021.71774</v>
      </c>
      <c r="D7" s="154" t="n">
        <f aca="false">MUROS!F20</f>
        <v>71.0793</v>
      </c>
      <c r="E7" s="15" t="n">
        <f aca="false">MUROS!G20</f>
        <v>449.181</v>
      </c>
      <c r="F7" s="155"/>
    </row>
    <row r="8" customFormat="false" ht="15" hidden="false" customHeight="true" outlineLevel="0" collapsed="false">
      <c r="A8" s="156" t="s">
        <v>390</v>
      </c>
      <c r="B8" s="157" t="n">
        <f aca="false">COUNTA(VIGAS!A6:A25)</f>
        <v>2</v>
      </c>
      <c r="C8" s="19" t="n">
        <f aca="false">VIGAS!Z26</f>
        <v>191.5755</v>
      </c>
      <c r="D8" s="158" t="n">
        <f aca="false">VIGAS!AA26</f>
        <v>1.7</v>
      </c>
      <c r="E8" s="19" t="n">
        <f aca="false">VIGAS!AB26</f>
        <v>17.6</v>
      </c>
      <c r="F8" s="159"/>
    </row>
    <row r="9" customFormat="false" ht="15" hidden="false" customHeight="true" outlineLevel="0" collapsed="false">
      <c r="A9" s="156" t="s">
        <v>391</v>
      </c>
      <c r="B9" s="157" t="n">
        <f aca="false">COUNTA(LAJES!A6:A25)</f>
        <v>3</v>
      </c>
      <c r="C9" s="19" t="n">
        <f aca="false">LAJES!AO26</f>
        <v>851.4081</v>
      </c>
      <c r="D9" s="158" t="n">
        <f aca="false">LAJES!AP26</f>
        <v>8.58</v>
      </c>
      <c r="E9" s="19" t="n">
        <f aca="false">LAJES!AQ26</f>
        <v>72.9</v>
      </c>
      <c r="F9" s="159"/>
    </row>
    <row r="10" customFormat="false" ht="15" hidden="false" customHeight="true" outlineLevel="0" collapsed="false">
      <c r="A10" s="160" t="s">
        <v>138</v>
      </c>
      <c r="B10" s="161" t="n">
        <f aca="false">SUM(B5:B9)</f>
        <v>39</v>
      </c>
      <c r="C10" s="77" t="n">
        <f aca="false">SUM(C5:C9)</f>
        <v>7874.69137967121</v>
      </c>
      <c r="D10" s="146" t="n">
        <f aca="false">SUM(D5:D9)</f>
        <v>123.469395330394</v>
      </c>
      <c r="E10" s="77" t="n">
        <f aca="false">SUM(E5:E9)</f>
        <v>658.520937738582</v>
      </c>
      <c r="F10" s="160"/>
    </row>
    <row r="11" customFormat="false" ht="15" hidden="false" customHeight="true" outlineLevel="0" collapsed="false">
      <c r="A11" s="162"/>
      <c r="B11" s="163"/>
      <c r="C11" s="163"/>
      <c r="D11" s="163"/>
      <c r="E11" s="163"/>
      <c r="F11" s="163"/>
    </row>
    <row r="12" customFormat="false" ht="21.75" hidden="false" customHeight="true" outlineLevel="0" collapsed="false">
      <c r="A12" s="151" t="s">
        <v>392</v>
      </c>
      <c r="B12" s="151"/>
      <c r="C12" s="151"/>
      <c r="D12" s="151"/>
      <c r="E12" s="151"/>
      <c r="F12" s="163"/>
    </row>
    <row r="13" customFormat="false" ht="15" hidden="false" customHeight="true" outlineLevel="0" collapsed="false">
      <c r="A13" s="13" t="s">
        <v>393</v>
      </c>
      <c r="B13" s="164" t="s">
        <v>218</v>
      </c>
      <c r="C13" s="165" t="s">
        <v>219</v>
      </c>
      <c r="D13" s="164" t="s">
        <v>394</v>
      </c>
      <c r="E13" s="166" t="s">
        <v>220</v>
      </c>
      <c r="F13" s="163"/>
    </row>
    <row r="14" customFormat="false" ht="15" hidden="false" customHeight="true" outlineLevel="0" collapsed="false">
      <c r="A14" s="155" t="n">
        <v>6</v>
      </c>
      <c r="B14" s="15" t="n">
        <f aca="false">SUMPRODUCT(--(PILARES!$K$6:$K$25=6),PILARES!$AB$6:$AB$25)+SUMPRODUCT(--(PILARES!$M$6:$M$25=6),PILARES!$AD$6:$AD$25)+SUMPRODUCT(--(PILARES!$O$6:$O$25=6),PILARES!$AF$6:$AF$25)+SUMPRODUCT(--(PILARES!$Q$6:$Q$25=6),PILARES!$AI$6:$AI$25)+SUMPRODUCT(--(PILARES!$T$6:$T$25=6),PILARES!$AL$6:$AL$25)+SUMPRODUCT(--(PILARES!$W$6:$W$25=6),PILARES!$AO$6:$AO$25)+SUMPRODUCT(--(SAPATAS!$F$5:$F$11=6),SAPATAS!$Q$5:$Q$11)+SUMPRODUCT(--(SAPATAS!$H$5:$H$11=6),SAPATAS!$W$5:$W$11)+SUMPRODUCT(--(SAPATAS!$J$5:$J$11=6),SAPATAS!$Y$5:$Y$11)+SUMPRODUCT(--(MUROS!$H$6:$H$11=6),MUROS!$R$6:$R$11)+SUMPRODUCT(--(MUROS!$J$6:$J$11=6),MUROS!$S$6:$S$11)+SUMPRODUCT(--(MUROS!$L$6:$L$11=6),MUROS!$T$6:$T$11)+SUMPRODUCT(--(MUROS!$N$6:$N$11=6),MUROS!$U$6:$U$11)+SUMPRODUCT(--(MUROS!$P$6:$P$11=6),MUROS!$V$6:$V$11)+SUMPRODUCT(--(MUROS!$G$16:$G$17=6),MUROS!$N$16:$N$17)+SUMPRODUCT(--(MUROS!$I$16:$I$17=6),MUROS!$O$16:$O$17)+SUMPRODUCT(--(MUROS!$K$16:$K$17=6),MUROS!$P$16:$P$17)+SUMPRODUCT(--(VIGAS!$I$6:$I$25=6),VIGAS!$R$6:$R$25)+SUMPRODUCT(--(VIGAS!$K$6:$K$25=6),VIGAS!$T$6:$T$25)+SUMPRODUCT(--(VIGAS!$M$6:$M$25=6),VIGAS!$U$6:$U$25)+SUMPRODUCT(--(VIGAS!$O$6:$O$25=6),VIGAS!$X$6:$X$25)+SUMPRODUCT(--(LAJES!$J$6:$J$25=6),LAJES!$AC$6:$AC$25)+SUMPRODUCT(--(LAJES!$L$6:$L$25=6),LAJES!$AG$6:$AG$25)+SUMPRODUCT(--(LAJES!$N$6:$N$25=6),LAJES!$AI$6:$AI$25)+SUMPRODUCT(--(LAJES!$Q$6:$Q$25=6),LAJES!$AK$6:$AK$25)+SUMPRODUCT(--(LAJES!$T$6:$T$25=6),LAJES!$AN$6:$AN$25)</f>
        <v>313.02</v>
      </c>
      <c r="C14" s="167" t="n">
        <f aca="false">IFERROR(B14/B$22,0)</f>
        <v>0.0397501292314861</v>
      </c>
      <c r="D14" s="15" t="n">
        <f aca="false">IFERROR(B14/VLOOKUP(A14,'TABELA DE PESOS'!$A$2:$B$9,2,FALSE()),0)</f>
        <v>1410</v>
      </c>
      <c r="E14" s="154" t="n">
        <f aca="false">IFERROR(VLOOKUP(A14,'TABELA DE PESOS'!$A$2:$B$9,2,FALSE()),0)</f>
        <v>0.222</v>
      </c>
      <c r="F14" s="163"/>
    </row>
    <row r="15" customFormat="false" ht="15" hidden="false" customHeight="true" outlineLevel="0" collapsed="false">
      <c r="A15" s="159" t="n">
        <v>8</v>
      </c>
      <c r="B15" s="19" t="n">
        <f aca="false">SUMPRODUCT(--(PILARES!$K$6:$K$25=8),PILARES!$AB$6:$AB$25)+SUMPRODUCT(--(PILARES!$M$6:$M$25=8),PILARES!$AD$6:$AD$25)+SUMPRODUCT(--(PILARES!$O$6:$O$25=8),PILARES!$AF$6:$AF$25)+SUMPRODUCT(--(PILARES!$Q$6:$Q$25=8),PILARES!$AI$6:$AI$25)+SUMPRODUCT(--(PILARES!$T$6:$T$25=8),PILARES!$AL$6:$AL$25)+SUMPRODUCT(--(PILARES!$W$6:$W$25=8),PILARES!$AO$6:$AO$25)+SUMPRODUCT(--(SAPATAS!$F$5:$F$11=8),SAPATAS!$Q$5:$Q$11)+SUMPRODUCT(--(SAPATAS!$H$5:$H$11=8),SAPATAS!$W$5:$W$11)+SUMPRODUCT(--(SAPATAS!$J$5:$J$11=8),SAPATAS!$Y$5:$Y$11)+SUMPRODUCT(--(MUROS!$H$6:$H$11=8),MUROS!$R$6:$R$11)+SUMPRODUCT(--(MUROS!$J$6:$J$11=8),MUROS!$S$6:$S$11)+SUMPRODUCT(--(MUROS!$L$6:$L$11=8),MUROS!$T$6:$T$11)+SUMPRODUCT(--(MUROS!$N$6:$N$11=8),MUROS!$U$6:$U$11)+SUMPRODUCT(--(MUROS!$P$6:$P$11=8),MUROS!$V$6:$V$11)+SUMPRODUCT(--(MUROS!$G$16:$G$17=8),MUROS!$N$16:$N$17)+SUMPRODUCT(--(MUROS!$I$16:$I$17=8),MUROS!$O$16:$O$17)+SUMPRODUCT(--(MUROS!$K$16:$K$17=8),MUROS!$P$16:$P$17)+SUMPRODUCT(--(VIGAS!$I$6:$I$25=8),VIGAS!$R$6:$R$25)+SUMPRODUCT(--(VIGAS!$K$6:$K$25=8),VIGAS!$T$6:$T$25)+SUMPRODUCT(--(VIGAS!$M$6:$M$25=8),VIGAS!$U$6:$U$25)+SUMPRODUCT(--(VIGAS!$O$6:$O$25=8),VIGAS!$X$6:$X$25)+SUMPRODUCT(--(LAJES!$J$6:$J$25=8),LAJES!$AC$6:$AC$25)+SUMPRODUCT(--(LAJES!$L$6:$L$25=8),LAJES!$AG$6:$AG$25)+SUMPRODUCT(--(LAJES!$N$6:$N$25=8),LAJES!$AI$6:$AI$25)+SUMPRODUCT(--(LAJES!$Q$6:$Q$25=8),LAJES!$AK$6:$AK$25)+SUMPRODUCT(--(LAJES!$T$6:$T$25=8),LAJES!$AN$6:$AN$25)</f>
        <v>407.560859671206</v>
      </c>
      <c r="C15" s="168" t="n">
        <f aca="false">IFERROR(B15/B$22,0)</f>
        <v>0.0517557882615361</v>
      </c>
      <c r="D15" s="19" t="n">
        <f aca="false">IFERROR(B15/VLOOKUP(A15,'TABELA DE PESOS'!$A$2:$B$9,2,FALSE()),0)</f>
        <v>1031.79964473723</v>
      </c>
      <c r="E15" s="158" t="n">
        <f aca="false">IFERROR(VLOOKUP(A15,'TABELA DE PESOS'!$A$2:$B$9,2,FALSE()),0)</f>
        <v>0.395</v>
      </c>
      <c r="F15" s="163"/>
    </row>
    <row r="16" customFormat="false" ht="15" hidden="false" customHeight="true" outlineLevel="0" collapsed="false">
      <c r="A16" s="155" t="n">
        <v>10</v>
      </c>
      <c r="B16" s="15" t="n">
        <f aca="false">SUMPRODUCT(--(PILARES!$K$6:$K$25=10),PILARES!$AB$6:$AB$25)+SUMPRODUCT(--(PILARES!$M$6:$M$25=10),PILARES!$AD$6:$AD$25)+SUMPRODUCT(--(PILARES!$O$6:$O$25=10),PILARES!$AF$6:$AF$25)+SUMPRODUCT(--(PILARES!$Q$6:$Q$25=10),PILARES!$AI$6:$AI$25)+SUMPRODUCT(--(PILARES!$T$6:$T$25=10),PILARES!$AL$6:$AL$25)+SUMPRODUCT(--(PILARES!$W$6:$W$25=10),PILARES!$AO$6:$AO$25)+SUMPRODUCT(--(SAPATAS!$F$5:$F$11=10),SAPATAS!$Q$5:$Q$11)+SUMPRODUCT(--(SAPATAS!$H$5:$H$11=10),SAPATAS!$W$5:$W$11)+SUMPRODUCT(--(SAPATAS!$J$5:$J$11=10),SAPATAS!$Y$5:$Y$11)+SUMPRODUCT(--(MUROS!$H$6:$H$11=10),MUROS!$R$6:$R$11)+SUMPRODUCT(--(MUROS!$J$6:$J$11=10),MUROS!$S$6:$S$11)+SUMPRODUCT(--(MUROS!$L$6:$L$11=10),MUROS!$T$6:$T$11)+SUMPRODUCT(--(MUROS!$N$6:$N$11=10),MUROS!$U$6:$U$11)+SUMPRODUCT(--(MUROS!$P$6:$P$11=10),MUROS!$V$6:$V$11)+SUMPRODUCT(--(MUROS!$G$16:$G$17=10),MUROS!$N$16:$N$17)+SUMPRODUCT(--(MUROS!$I$16:$I$17=10),MUROS!$O$16:$O$17)+SUMPRODUCT(--(MUROS!$K$16:$K$17=10),MUROS!$P$16:$P$17)+SUMPRODUCT(--(VIGAS!$I$6:$I$25=10),VIGAS!$R$6:$R$25)+SUMPRODUCT(--(VIGAS!$K$6:$K$25=10),VIGAS!$T$6:$T$25)+SUMPRODUCT(--(VIGAS!$M$6:$M$25=10),VIGAS!$U$6:$U$25)+SUMPRODUCT(--(VIGAS!$O$6:$O$25=10),VIGAS!$X$6:$X$25)+SUMPRODUCT(--(LAJES!$J$6:$J$25=10),LAJES!$AC$6:$AC$25)+SUMPRODUCT(--(LAJES!$L$6:$L$25=10),LAJES!$AG$6:$AG$25)+SUMPRODUCT(--(LAJES!$N$6:$N$25=10),LAJES!$AI$6:$AI$25)+SUMPRODUCT(--(LAJES!$Q$6:$Q$25=10),LAJES!$AK$6:$AK$25)+SUMPRODUCT(--(LAJES!$T$6:$T$25=10),LAJES!$AN$6:$AN$25)</f>
        <v>5217.14222</v>
      </c>
      <c r="C16" s="167" t="n">
        <f aca="false">IFERROR(B16/B$22,0)</f>
        <v>0.662520214248426</v>
      </c>
      <c r="D16" s="15" t="n">
        <f aca="false">IFERROR(B16/VLOOKUP(A16,'TABELA DE PESOS'!$A$2:$B$9,2,FALSE()),0)</f>
        <v>8455.66</v>
      </c>
      <c r="E16" s="154" t="n">
        <f aca="false">IFERROR(VLOOKUP(A16,'TABELA DE PESOS'!$A$2:$B$9,2,FALSE()),0)</f>
        <v>0.617</v>
      </c>
      <c r="F16" s="163"/>
    </row>
    <row r="17" customFormat="false" ht="15" hidden="false" customHeight="true" outlineLevel="0" collapsed="false">
      <c r="A17" s="159" t="n">
        <v>12</v>
      </c>
      <c r="B17" s="19" t="n">
        <f aca="false">SUMPRODUCT(--(PILARES!$K$6:$K$25=12),PILARES!$AB$6:$AB$25)+SUMPRODUCT(--(PILARES!$M$6:$M$25=12),PILARES!$AD$6:$AD$25)+SUMPRODUCT(--(PILARES!$O$6:$O$25=12),PILARES!$AF$6:$AF$25)+SUMPRODUCT(--(PILARES!$Q$6:$Q$25=12),PILARES!$AI$6:$AI$25)+SUMPRODUCT(--(PILARES!$T$6:$T$25=12),PILARES!$AL$6:$AL$25)+SUMPRODUCT(--(PILARES!$W$6:$W$25=12),PILARES!$AO$6:$AO$25)+SUMPRODUCT(--(SAPATAS!$F$5:$F$11=12),SAPATAS!$Q$5:$Q$11)+SUMPRODUCT(--(SAPATAS!$H$5:$H$11=12),SAPATAS!$W$5:$W$11)+SUMPRODUCT(--(SAPATAS!$J$5:$J$11=12),SAPATAS!$Y$5:$Y$11)+SUMPRODUCT(--(MUROS!$H$6:$H$11=12),MUROS!$R$6:$R$11)+SUMPRODUCT(--(MUROS!$J$6:$J$11=12),MUROS!$S$6:$S$11)+SUMPRODUCT(--(MUROS!$L$6:$L$11=12),MUROS!$T$6:$T$11)+SUMPRODUCT(--(MUROS!$N$6:$N$11=12),MUROS!$U$6:$U$11)+SUMPRODUCT(--(MUROS!$P$6:$P$11=12),MUROS!$V$6:$V$11)+SUMPRODUCT(--(MUROS!$G$16:$G$17=12),MUROS!$N$16:$N$17)+SUMPRODUCT(--(MUROS!$I$16:$I$17=12),MUROS!$O$16:$O$17)+SUMPRODUCT(--(MUROS!$K$16:$K$17=12),MUROS!$P$16:$P$17)+SUMPRODUCT(--(VIGAS!$I$6:$I$25=12),VIGAS!$R$6:$R$25)+SUMPRODUCT(--(VIGAS!$K$6:$K$25=12),VIGAS!$T$6:$T$25)+SUMPRODUCT(--(VIGAS!$M$6:$M$25=12),VIGAS!$U$6:$U$25)+SUMPRODUCT(--(VIGAS!$O$6:$O$25=12),VIGAS!$X$6:$X$25)+SUMPRODUCT(--(LAJES!$J$6:$J$25=12),LAJES!$AC$6:$AC$25)+SUMPRODUCT(--(LAJES!$L$6:$L$25=12),LAJES!$AG$6:$AG$25)+SUMPRODUCT(--(LAJES!$N$6:$N$25=12),LAJES!$AI$6:$AI$25)+SUMPRODUCT(--(LAJES!$Q$6:$Q$25=12),LAJES!$AK$6:$AK$25)+SUMPRODUCT(--(LAJES!$T$6:$T$25=12),LAJES!$AN$6:$AN$25)</f>
        <v>667.38528</v>
      </c>
      <c r="C17" s="168" t="n">
        <f aca="false">IFERROR(B17/B$22,0)</f>
        <v>0.0847506585112502</v>
      </c>
      <c r="D17" s="19" t="n">
        <f aca="false">IFERROR(B17/VLOOKUP(A17,'TABELA DE PESOS'!$A$2:$B$9,2,FALSE()),0)</f>
        <v>751.56</v>
      </c>
      <c r="E17" s="158" t="n">
        <f aca="false">IFERROR(VLOOKUP(A17,'TABELA DE PESOS'!$A$2:$B$9,2,FALSE()),0)</f>
        <v>0.888</v>
      </c>
      <c r="F17" s="163"/>
    </row>
    <row r="18" customFormat="false" ht="15" hidden="false" customHeight="true" outlineLevel="0" collapsed="false">
      <c r="A18" s="155" t="n">
        <v>16</v>
      </c>
      <c r="B18" s="15" t="n">
        <f aca="false">SUMPRODUCT(--(PILARES!$K$6:$K$25=16),PILARES!$AB$6:$AB$25)+SUMPRODUCT(--(PILARES!$M$6:$M$25=16),PILARES!$AD$6:$AD$25)+SUMPRODUCT(--(PILARES!$O$6:$O$25=16),PILARES!$AF$6:$AF$25)+SUMPRODUCT(--(PILARES!$Q$6:$Q$25=16),PILARES!$AI$6:$AI$25)+SUMPRODUCT(--(PILARES!$T$6:$T$25=16),PILARES!$AL$6:$AL$25)+SUMPRODUCT(--(PILARES!$W$6:$W$25=16),PILARES!$AO$6:$AO$25)+SUMPRODUCT(--(SAPATAS!$F$5:$F$11=16),SAPATAS!$Q$5:$Q$11)+SUMPRODUCT(--(SAPATAS!$H$5:$H$11=16),SAPATAS!$W$5:$W$11)+SUMPRODUCT(--(SAPATAS!$J$5:$J$11=16),SAPATAS!$Y$5:$Y$11)+SUMPRODUCT(--(MUROS!$H$6:$H$11=16),MUROS!$R$6:$R$11)+SUMPRODUCT(--(MUROS!$J$6:$J$11=16),MUROS!$S$6:$S$11)+SUMPRODUCT(--(MUROS!$L$6:$L$11=16),MUROS!$T$6:$T$11)+SUMPRODUCT(--(MUROS!$N$6:$N$11=16),MUROS!$U$6:$U$11)+SUMPRODUCT(--(MUROS!$P$6:$P$11=16),MUROS!$V$6:$V$11)+SUMPRODUCT(--(MUROS!$G$16:$G$17=16),MUROS!$N$16:$N$17)+SUMPRODUCT(--(MUROS!$I$16:$I$17=16),MUROS!$O$16:$O$17)+SUMPRODUCT(--(MUROS!$K$16:$K$17=16),MUROS!$P$16:$P$17)+SUMPRODUCT(--(VIGAS!$I$6:$I$25=16),VIGAS!$R$6:$R$25)+SUMPRODUCT(--(VIGAS!$K$6:$K$25=16),VIGAS!$T$6:$T$25)+SUMPRODUCT(--(VIGAS!$M$6:$M$25=16),VIGAS!$U$6:$U$25)+SUMPRODUCT(--(VIGAS!$O$6:$O$25=16),VIGAS!$X$6:$X$25)+SUMPRODUCT(--(LAJES!$J$6:$J$25=16),LAJES!$AC$6:$AC$25)+SUMPRODUCT(--(LAJES!$L$6:$L$25=16),LAJES!$AG$6:$AG$25)+SUMPRODUCT(--(LAJES!$N$6:$N$25=16),LAJES!$AI$6:$AI$25)+SUMPRODUCT(--(LAJES!$Q$6:$Q$25=16),LAJES!$AK$6:$AK$25)+SUMPRODUCT(--(LAJES!$T$6:$T$25=16),LAJES!$AN$6:$AN$25)</f>
        <v>1093.41198</v>
      </c>
      <c r="C18" s="167" t="n">
        <f aca="false">IFERROR(B18/B$22,0)</f>
        <v>0.138851407284695</v>
      </c>
      <c r="D18" s="15" t="n">
        <f aca="false">IFERROR(B18/VLOOKUP(A18,'TABELA DE PESOS'!$A$2:$B$9,2,FALSE()),0)</f>
        <v>692.91</v>
      </c>
      <c r="E18" s="154" t="n">
        <f aca="false">IFERROR(VLOOKUP(A18,'TABELA DE PESOS'!$A$2:$B$9,2,FALSE()),0)</f>
        <v>1.578</v>
      </c>
      <c r="F18" s="163"/>
    </row>
    <row r="19" customFormat="false" ht="15" hidden="false" customHeight="true" outlineLevel="0" collapsed="false">
      <c r="A19" s="159" t="n">
        <v>20</v>
      </c>
      <c r="B19" s="19" t="n">
        <f aca="false">SUMPRODUCT(--(PILARES!$K$6:$K$25=20),PILARES!$AB$6:$AB$25)+SUMPRODUCT(--(PILARES!$M$6:$M$25=20),PILARES!$AD$6:$AD$25)+SUMPRODUCT(--(PILARES!$O$6:$O$25=20),PILARES!$AF$6:$AF$25)+SUMPRODUCT(--(PILARES!$Q$6:$Q$25=20),PILARES!$AI$6:$AI$25)+SUMPRODUCT(--(PILARES!$T$6:$T$25=20),PILARES!$AL$6:$AL$25)+SUMPRODUCT(--(PILARES!$W$6:$W$25=20),PILARES!$AO$6:$AO$25)+SUMPRODUCT(--(SAPATAS!$F$5:$F$11=20),SAPATAS!$Q$5:$Q$11)+SUMPRODUCT(--(SAPATAS!$H$5:$H$11=20),SAPATAS!$W$5:$W$11)+SUMPRODUCT(--(SAPATAS!$J$5:$J$11=20),SAPATAS!$Y$5:$Y$11)+SUMPRODUCT(--(MUROS!$H$6:$H$11=20),MUROS!$R$6:$R$11)+SUMPRODUCT(--(MUROS!$J$6:$J$11=20),MUROS!$S$6:$S$11)+SUMPRODUCT(--(MUROS!$L$6:$L$11=20),MUROS!$T$6:$T$11)+SUMPRODUCT(--(MUROS!$N$6:$N$11=20),MUROS!$U$6:$U$11)+SUMPRODUCT(--(MUROS!$P$6:$P$11=20),MUROS!$V$6:$V$11)+SUMPRODUCT(--(MUROS!$G$16:$G$17=20),MUROS!$N$16:$N$17)+SUMPRODUCT(--(MUROS!$I$16:$I$17=20),MUROS!$O$16:$O$17)+SUMPRODUCT(--(MUROS!$K$16:$K$17=20),MUROS!$P$16:$P$17)+SUMPRODUCT(--(VIGAS!$I$6:$I$25=20),VIGAS!$R$6:$R$25)+SUMPRODUCT(--(VIGAS!$K$6:$K$25=20),VIGAS!$T$6:$T$25)+SUMPRODUCT(--(VIGAS!$M$6:$M$25=20),VIGAS!$U$6:$U$25)+SUMPRODUCT(--(VIGAS!$O$6:$O$25=20),VIGAS!$X$6:$X$25)+SUMPRODUCT(--(LAJES!$J$6:$J$25=20),LAJES!$AC$6:$AC$25)+SUMPRODUCT(--(LAJES!$L$6:$L$25=20),LAJES!$AG$6:$AG$25)+SUMPRODUCT(--(LAJES!$N$6:$N$25=20),LAJES!$AI$6:$AI$25)+SUMPRODUCT(--(LAJES!$Q$6:$Q$25=20),LAJES!$AK$6:$AK$25)+SUMPRODUCT(--(LAJES!$T$6:$T$25=20),LAJES!$AN$6:$AN$25)</f>
        <v>176.17104</v>
      </c>
      <c r="C19" s="168" t="n">
        <f aca="false">IFERROR(B19/B$22,0)</f>
        <v>0.0223718024626072</v>
      </c>
      <c r="D19" s="19" t="n">
        <f aca="false">IFERROR(B19/VLOOKUP(A19,'TABELA DE PESOS'!$A$2:$B$9,2,FALSE()),0)</f>
        <v>71.44</v>
      </c>
      <c r="E19" s="158" t="n">
        <f aca="false">IFERROR(VLOOKUP(A19,'TABELA DE PESOS'!$A$2:$B$9,2,FALSE()),0)</f>
        <v>2.466</v>
      </c>
      <c r="F19" s="163"/>
    </row>
    <row r="20" customFormat="false" ht="15" hidden="false" customHeight="true" outlineLevel="0" collapsed="false">
      <c r="A20" s="155" t="n">
        <v>25</v>
      </c>
      <c r="B20" s="15" t="n">
        <f aca="false">SUMPRODUCT(--(PILARES!$K$6:$K$25=25),PILARES!$AB$6:$AB$25)+SUMPRODUCT(--(PILARES!$M$6:$M$25=25),PILARES!$AD$6:$AD$25)+SUMPRODUCT(--(PILARES!$O$6:$O$25=25),PILARES!$AF$6:$AF$25)+SUMPRODUCT(--(PILARES!$Q$6:$Q$25=25),PILARES!$AI$6:$AI$25)+SUMPRODUCT(--(PILARES!$T$6:$T$25=25),PILARES!$AL$6:$AL$25)+SUMPRODUCT(--(PILARES!$W$6:$W$25=25),PILARES!$AO$6:$AO$25)+SUMPRODUCT(--(SAPATAS!$F$5:$F$11=25),SAPATAS!$Q$5:$Q$11)+SUMPRODUCT(--(SAPATAS!$H$5:$H$11=25),SAPATAS!$W$5:$W$11)+SUMPRODUCT(--(SAPATAS!$J$5:$J$11=25),SAPATAS!$Y$5:$Y$11)+SUMPRODUCT(--(MUROS!$H$6:$H$11=25),MUROS!$R$6:$R$11)+SUMPRODUCT(--(MUROS!$J$6:$J$11=25),MUROS!$S$6:$S$11)+SUMPRODUCT(--(MUROS!$L$6:$L$11=25),MUROS!$T$6:$T$11)+SUMPRODUCT(--(MUROS!$N$6:$N$11=25),MUROS!$U$6:$U$11)+SUMPRODUCT(--(MUROS!$P$6:$P$11=25),MUROS!$V$6:$V$11)+SUMPRODUCT(--(MUROS!$G$16:$G$17=25),MUROS!$N$16:$N$17)+SUMPRODUCT(--(MUROS!$I$16:$I$17=25),MUROS!$O$16:$O$17)+SUMPRODUCT(--(MUROS!$K$16:$K$17=25),MUROS!$P$16:$P$17)+SUMPRODUCT(--(VIGAS!$I$6:$I$25=25),VIGAS!$R$6:$R$25)+SUMPRODUCT(--(VIGAS!$K$6:$K$25=25),VIGAS!$T$6:$T$25)+SUMPRODUCT(--(VIGAS!$M$6:$M$25=25),VIGAS!$U$6:$U$25)+SUMPRODUCT(--(VIGAS!$O$6:$O$25=25),VIGAS!$X$6:$X$25)+SUMPRODUCT(--(LAJES!$J$6:$J$25=25),LAJES!$AC$6:$AC$25)+SUMPRODUCT(--(LAJES!$L$6:$L$25=25),LAJES!$AG$6:$AG$25)+SUMPRODUCT(--(LAJES!$N$6:$N$25=25),LAJES!$AI$6:$AI$25)+SUMPRODUCT(--(LAJES!$Q$6:$Q$25=25),LAJES!$AK$6:$AK$25)+SUMPRODUCT(--(LAJES!$T$6:$T$25=25),LAJES!$AN$6:$AN$25)</f>
        <v>0</v>
      </c>
      <c r="C20" s="167" t="n">
        <f aca="false">IFERROR(B20/B$22,0)</f>
        <v>0</v>
      </c>
      <c r="D20" s="15" t="n">
        <f aca="false">IFERROR(B20/VLOOKUP(A20,'TABELA DE PESOS'!$A$2:$B$9,2,FALSE()),0)</f>
        <v>0</v>
      </c>
      <c r="E20" s="154" t="n">
        <f aca="false">IFERROR(VLOOKUP(A20,'TABELA DE PESOS'!$A$2:$B$9,2,FALSE()),0)</f>
        <v>3.853</v>
      </c>
      <c r="F20" s="163"/>
    </row>
    <row r="21" customFormat="false" ht="15" hidden="false" customHeight="true" outlineLevel="0" collapsed="false">
      <c r="A21" s="159" t="n">
        <v>32</v>
      </c>
      <c r="B21" s="19" t="n">
        <f aca="false">SUMPRODUCT(--(PILARES!$K$6:$K$25=32),PILARES!$AB$6:$AB$25)+SUMPRODUCT(--(PILARES!$M$6:$M$25=32),PILARES!$AD$6:$AD$25)+SUMPRODUCT(--(PILARES!$O$6:$O$25=32),PILARES!$AF$6:$AF$25)+SUMPRODUCT(--(PILARES!$Q$6:$Q$25=32),PILARES!$AI$6:$AI$25)+SUMPRODUCT(--(PILARES!$T$6:$T$25=32),PILARES!$AL$6:$AL$25)+SUMPRODUCT(--(PILARES!$W$6:$W$25=32),PILARES!$AO$6:$AO$25)+SUMPRODUCT(--(SAPATAS!$F$5:$F$11=32),SAPATAS!$Q$5:$Q$11)+SUMPRODUCT(--(SAPATAS!$H$5:$H$11=32),SAPATAS!$W$5:$W$11)+SUMPRODUCT(--(SAPATAS!$J$5:$J$11=32),SAPATAS!$Y$5:$Y$11)+SUMPRODUCT(--(MUROS!$H$6:$H$11=32),MUROS!$R$6:$R$11)+SUMPRODUCT(--(MUROS!$J$6:$J$11=32),MUROS!$S$6:$S$11)+SUMPRODUCT(--(MUROS!$L$6:$L$11=32),MUROS!$T$6:$T$11)+SUMPRODUCT(--(MUROS!$N$6:$N$11=32),MUROS!$U$6:$U$11)+SUMPRODUCT(--(MUROS!$P$6:$P$11=32),MUROS!$V$6:$V$11)+SUMPRODUCT(--(MUROS!$G$16:$G$17=32),MUROS!$N$16:$N$17)+SUMPRODUCT(--(MUROS!$I$16:$I$17=32),MUROS!$O$16:$O$17)+SUMPRODUCT(--(MUROS!$K$16:$K$17=32),MUROS!$P$16:$P$17)+SUMPRODUCT(--(VIGAS!$I$6:$I$25=32),VIGAS!$R$6:$R$25)+SUMPRODUCT(--(VIGAS!$K$6:$K$25=32),VIGAS!$T$6:$T$25)+SUMPRODUCT(--(VIGAS!$M$6:$M$25=32),VIGAS!$U$6:$U$25)+SUMPRODUCT(--(VIGAS!$O$6:$O$25=32),VIGAS!$X$6:$X$25)+SUMPRODUCT(--(LAJES!$J$6:$J$25=32),LAJES!$AC$6:$AC$25)+SUMPRODUCT(--(LAJES!$L$6:$L$25=32),LAJES!$AG$6:$AG$25)+SUMPRODUCT(--(LAJES!$N$6:$N$25=32),LAJES!$AI$6:$AI$25)+SUMPRODUCT(--(LAJES!$Q$6:$Q$25=32),LAJES!$AK$6:$AK$25)+SUMPRODUCT(--(LAJES!$T$6:$T$25=32),LAJES!$AN$6:$AN$25)</f>
        <v>0</v>
      </c>
      <c r="C21" s="168" t="n">
        <f aca="false">IFERROR(B21/B$22,0)</f>
        <v>0</v>
      </c>
      <c r="D21" s="19" t="n">
        <f aca="false">IFERROR(B21/VLOOKUP(A21,'TABELA DE PESOS'!$A$2:$B$9,2,FALSE()),0)</f>
        <v>0</v>
      </c>
      <c r="E21" s="158" t="n">
        <f aca="false">IFERROR(VLOOKUP(A21,'TABELA DE PESOS'!$A$2:$B$9,2,FALSE()),0)</f>
        <v>0</v>
      </c>
      <c r="F21" s="163"/>
    </row>
    <row r="22" customFormat="false" ht="15" hidden="false" customHeight="true" outlineLevel="0" collapsed="false">
      <c r="A22" s="160" t="s">
        <v>221</v>
      </c>
      <c r="B22" s="77" t="n">
        <f aca="false">SUM(B14:B21)</f>
        <v>7874.69137967121</v>
      </c>
      <c r="C22" s="169" t="n">
        <f aca="false">IFERROR(B22/B22,0)</f>
        <v>1</v>
      </c>
      <c r="D22" s="77" t="n">
        <f aca="false">SUM(D14:D21)</f>
        <v>12413.3696447372</v>
      </c>
      <c r="E22" s="170"/>
      <c r="F22" s="163"/>
    </row>
    <row r="23" customFormat="false" ht="15" hidden="false" customHeight="true" outlineLevel="0" collapsed="false">
      <c r="A23" s="163"/>
      <c r="B23" s="163"/>
      <c r="C23" s="163"/>
      <c r="D23" s="163"/>
      <c r="E23" s="163"/>
      <c r="F23" s="163"/>
    </row>
    <row r="24" customFormat="false" ht="15" hidden="false" customHeight="true" outlineLevel="0" collapsed="false">
      <c r="A24" s="163"/>
      <c r="B24" s="163"/>
      <c r="C24" s="163"/>
      <c r="D24" s="163"/>
      <c r="E24" s="163"/>
      <c r="F24" s="163"/>
    </row>
  </sheetData>
  <mergeCells count="3">
    <mergeCell ref="A1:F1"/>
    <mergeCell ref="A3:F3"/>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5"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3" min="3" style="0" width="55"/>
    <col collapsed="false" customWidth="true" hidden="false" outlineLevel="0" max="4" min="4" style="0" width="28"/>
  </cols>
  <sheetData>
    <row r="1" customFormat="false" ht="17.25" hidden="false" customHeight="true" outlineLevel="0" collapsed="false">
      <c r="A1" s="12" t="s">
        <v>395</v>
      </c>
      <c r="B1" s="12"/>
      <c r="C1" s="12"/>
      <c r="D1" s="12"/>
    </row>
    <row r="2" customFormat="false" ht="15" hidden="false" customHeight="true" outlineLevel="0" collapsed="false">
      <c r="A2" s="171" t="s">
        <v>396</v>
      </c>
      <c r="B2" s="171"/>
      <c r="C2" s="171"/>
      <c r="D2" s="171"/>
    </row>
    <row r="3" customFormat="false" ht="15" hidden="false" customHeight="true" outlineLevel="0" collapsed="false">
      <c r="A3" s="172" t="s">
        <v>397</v>
      </c>
      <c r="B3" s="172" t="s">
        <v>398</v>
      </c>
      <c r="C3" s="172" t="s">
        <v>399</v>
      </c>
      <c r="D3" s="172" t="s">
        <v>400</v>
      </c>
    </row>
    <row r="4" customFormat="false" ht="49.5" hidden="false" customHeight="true" outlineLevel="0" collapsed="false">
      <c r="A4" s="173" t="s">
        <v>401</v>
      </c>
      <c r="B4" s="174" t="s">
        <v>402</v>
      </c>
      <c r="C4" s="174" t="s">
        <v>403</v>
      </c>
      <c r="D4" s="174" t="s">
        <v>404</v>
      </c>
    </row>
    <row r="5" customFormat="false" ht="49.5" hidden="false" customHeight="true" outlineLevel="0" collapsed="false">
      <c r="A5" s="175" t="s">
        <v>405</v>
      </c>
      <c r="B5" s="176" t="s">
        <v>406</v>
      </c>
      <c r="C5" s="176" t="s">
        <v>407</v>
      </c>
      <c r="D5" s="176" t="s">
        <v>408</v>
      </c>
    </row>
    <row r="6" customFormat="false" ht="49.5" hidden="false" customHeight="true" outlineLevel="0" collapsed="false">
      <c r="A6" s="173" t="s">
        <v>409</v>
      </c>
      <c r="B6" s="174" t="s">
        <v>410</v>
      </c>
      <c r="C6" s="174" t="s">
        <v>411</v>
      </c>
      <c r="D6" s="174" t="s">
        <v>412</v>
      </c>
    </row>
    <row r="7" customFormat="false" ht="49.5" hidden="false" customHeight="true" outlineLevel="0" collapsed="false">
      <c r="A7" s="175" t="s">
        <v>413</v>
      </c>
      <c r="B7" s="176" t="s">
        <v>414</v>
      </c>
      <c r="C7" s="176" t="s">
        <v>415</v>
      </c>
      <c r="D7" s="176" t="s">
        <v>412</v>
      </c>
    </row>
    <row r="8" customFormat="false" ht="49.5" hidden="false" customHeight="true" outlineLevel="0" collapsed="false">
      <c r="A8" s="173" t="s">
        <v>416</v>
      </c>
      <c r="B8" s="174" t="s">
        <v>417</v>
      </c>
      <c r="C8" s="174" t="s">
        <v>418</v>
      </c>
      <c r="D8" s="174" t="s">
        <v>419</v>
      </c>
    </row>
    <row r="9" customFormat="false" ht="49.5" hidden="false" customHeight="true" outlineLevel="0" collapsed="false">
      <c r="A9" s="175" t="s">
        <v>420</v>
      </c>
      <c r="B9" s="176" t="s">
        <v>421</v>
      </c>
      <c r="C9" s="176" t="s">
        <v>422</v>
      </c>
      <c r="D9" s="176" t="s">
        <v>423</v>
      </c>
    </row>
    <row r="10" customFormat="false" ht="49.5" hidden="false" customHeight="true" outlineLevel="0" collapsed="false">
      <c r="A10" s="173" t="s">
        <v>424</v>
      </c>
      <c r="B10" s="174" t="s">
        <v>425</v>
      </c>
      <c r="C10" s="174" t="s">
        <v>426</v>
      </c>
      <c r="D10" s="174" t="s">
        <v>427</v>
      </c>
    </row>
    <row r="11" customFormat="false" ht="49.5" hidden="false" customHeight="true" outlineLevel="0" collapsed="false">
      <c r="A11" s="175" t="s">
        <v>428</v>
      </c>
      <c r="B11" s="176" t="s">
        <v>429</v>
      </c>
      <c r="C11" s="176" t="s">
        <v>430</v>
      </c>
      <c r="D11" s="176" t="s">
        <v>431</v>
      </c>
    </row>
    <row r="12" customFormat="false" ht="49.5" hidden="false" customHeight="true" outlineLevel="0" collapsed="false">
      <c r="A12" s="173" t="s">
        <v>432</v>
      </c>
      <c r="B12" s="174" t="s">
        <v>433</v>
      </c>
      <c r="C12" s="174" t="s">
        <v>434</v>
      </c>
      <c r="D12" s="174" t="s">
        <v>431</v>
      </c>
    </row>
    <row r="13" customFormat="false" ht="49.5" hidden="false" customHeight="true" outlineLevel="0" collapsed="false">
      <c r="A13" s="175" t="s">
        <v>435</v>
      </c>
      <c r="B13" s="176" t="s">
        <v>436</v>
      </c>
      <c r="C13" s="176" t="s">
        <v>437</v>
      </c>
      <c r="D13" s="176" t="s">
        <v>438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77" t="s">
        <v>439</v>
      </c>
      <c r="B1" s="177"/>
      <c r="C1" s="177"/>
      <c r="D1" s="177"/>
      <c r="E1" s="177"/>
      <c r="F1" s="177"/>
      <c r="G1" s="177"/>
      <c r="H1" s="177"/>
      <c r="I1" s="177"/>
      <c r="J1" s="177"/>
      <c r="K1" s="177"/>
    </row>
    <row r="2" customFormat="false" ht="15" hidden="false" customHeight="false" outlineLevel="0" collapsed="false">
      <c r="A2" s="178" t="s">
        <v>440</v>
      </c>
      <c r="B2" s="0" t="s">
        <v>441</v>
      </c>
      <c r="D2" s="178" t="s">
        <v>442</v>
      </c>
      <c r="E2" s="0" t="s">
        <v>443</v>
      </c>
      <c r="H2" s="178" t="s">
        <v>444</v>
      </c>
      <c r="I2" s="0" t="s">
        <v>445</v>
      </c>
    </row>
    <row r="3" customFormat="false" ht="15" hidden="false" customHeight="false" outlineLevel="0" collapsed="false">
      <c r="A3" s="178" t="s">
        <v>446</v>
      </c>
      <c r="B3" s="0" t="s">
        <v>447</v>
      </c>
      <c r="D3" s="178" t="s">
        <v>448</v>
      </c>
      <c r="E3" s="0" t="s">
        <v>449</v>
      </c>
      <c r="H3" s="178" t="s">
        <v>450</v>
      </c>
      <c r="I3" s="0" t="s">
        <v>451</v>
      </c>
    </row>
    <row r="5" customFormat="false" ht="24.75" hidden="false" customHeight="true" outlineLevel="0" collapsed="false">
      <c r="A5" s="179" t="s">
        <v>0</v>
      </c>
      <c r="B5" s="179" t="s">
        <v>1</v>
      </c>
      <c r="C5" s="179" t="s">
        <v>2</v>
      </c>
      <c r="D5" s="179" t="s">
        <v>452</v>
      </c>
      <c r="E5" s="180" t="s">
        <v>453</v>
      </c>
      <c r="F5" s="180" t="s">
        <v>454</v>
      </c>
      <c r="G5" s="180" t="s">
        <v>455</v>
      </c>
      <c r="H5" s="180" t="s">
        <v>456</v>
      </c>
      <c r="I5" s="180" t="s">
        <v>457</v>
      </c>
      <c r="J5" s="180" t="s">
        <v>458</v>
      </c>
      <c r="K5" s="180" t="s">
        <v>459</v>
      </c>
    </row>
    <row r="6" customFormat="false" ht="19.5" hidden="false" customHeight="true" outlineLevel="0" collapsed="false">
      <c r="A6" s="181" t="str">
        <f aca="false">MAPA_OBRA_707!A2</f>
        <v>4.1</v>
      </c>
      <c r="B6" s="182" t="str">
        <f aca="false">MAPA_OBRA_707!B2</f>
        <v>Betão de Limpeza / Cleaning concrete</v>
      </c>
      <c r="C6" s="181" t="n">
        <f aca="false">MAPA_OBRA_707!C2</f>
        <v>0</v>
      </c>
      <c r="D6" s="183"/>
      <c r="E6" s="183"/>
      <c r="F6" s="183"/>
      <c r="G6" s="183"/>
      <c r="H6" s="183"/>
      <c r="I6" s="183"/>
      <c r="J6" s="183"/>
      <c r="K6" s="183"/>
    </row>
    <row r="7" customFormat="false" ht="36" hidden="false" customHeight="true" outlineLevel="0" collapsed="false">
      <c r="A7" s="184" t="str">
        <f aca="false">MAPA_OBRA_707!A3</f>
        <v>4.1.1</v>
      </c>
      <c r="B7" s="185" t="str">
        <f aca="false">MAPA_OBRA_707!B3</f>
        <v>Fornecimento e aplicação de betão de limpeza do tipo C16/20 X0 numa espessura de 0,10 m.</v>
      </c>
      <c r="C7" s="184" t="str">
        <f aca="false">MAPA_OBRA_707!C3</f>
        <v>m3</v>
      </c>
      <c r="D7" s="186" t="n">
        <f aca="false">MAPA_OBRA_707!D3</f>
        <v>172.56</v>
      </c>
      <c r="E7" s="186" t="n">
        <v>0</v>
      </c>
      <c r="F7" s="187" t="n">
        <v>0</v>
      </c>
      <c r="G7" s="186" t="n">
        <f aca="false">E7+F7</f>
        <v>0</v>
      </c>
      <c r="H7" s="188" t="n">
        <f aca="false">IF(D7&gt;0, G7/D7, 0)</f>
        <v>0</v>
      </c>
      <c r="I7" s="186" t="n">
        <f aca="false">D7-G7</f>
        <v>172.56</v>
      </c>
      <c r="J7" s="189" t="n">
        <v>0</v>
      </c>
      <c r="K7" s="189" t="n">
        <f aca="false">F7*J7</f>
        <v>0</v>
      </c>
    </row>
    <row r="8" customFormat="false" ht="19.5" hidden="false" customHeight="true" outlineLevel="0" collapsed="false">
      <c r="A8" s="181" t="str">
        <f aca="false">MAPA_OBRA_707!A4</f>
        <v>4.2</v>
      </c>
      <c r="B8" s="182" t="str">
        <f aca="false">MAPA_OBRA_707!B4</f>
        <v>Fundações / Foundations</v>
      </c>
      <c r="C8" s="181" t="n">
        <f aca="false">MAPA_OBRA_707!C4</f>
        <v>0</v>
      </c>
      <c r="D8" s="183"/>
      <c r="E8" s="183"/>
      <c r="F8" s="183"/>
      <c r="G8" s="183"/>
      <c r="H8" s="183"/>
      <c r="I8" s="183"/>
      <c r="J8" s="183"/>
      <c r="K8" s="183"/>
    </row>
    <row r="9" customFormat="false" ht="49.5" hidden="false" customHeight="true" outlineLevel="0" collapsed="false">
      <c r="A9" s="181" t="str">
        <f aca="false">MAPA_OBRA_707!A5</f>
        <v>4.2.1</v>
      </c>
      <c r="B9" s="182"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9" s="181" t="n">
        <f aca="false">MAPA_OBRA_707!C5</f>
        <v>0</v>
      </c>
      <c r="D9" s="183"/>
      <c r="E9" s="183"/>
      <c r="F9" s="183"/>
      <c r="G9" s="183"/>
      <c r="H9" s="183"/>
      <c r="I9" s="183"/>
      <c r="J9" s="183"/>
      <c r="K9" s="183"/>
    </row>
    <row r="10" customFormat="false" ht="19.5" hidden="false" customHeight="true" outlineLevel="0" collapsed="false">
      <c r="A10" s="181" t="str">
        <f aca="false">MAPA_OBRA_707!A6</f>
        <v>4.2.1.1</v>
      </c>
      <c r="B10" s="182" t="str">
        <f aca="false">MAPA_OBRA_707!B6</f>
        <v>Sapatas Isoladas / Isolated Foundations (90 kg/m3)</v>
      </c>
      <c r="C10" s="181" t="n">
        <f aca="false">MAPA_OBRA_707!C6</f>
        <v>0</v>
      </c>
      <c r="D10" s="183"/>
      <c r="E10" s="183"/>
      <c r="F10" s="183"/>
      <c r="G10" s="183"/>
      <c r="H10" s="183"/>
      <c r="I10" s="183"/>
      <c r="J10" s="183"/>
      <c r="K10" s="183"/>
    </row>
    <row r="11" customFormat="false" ht="19.5" hidden="false" customHeight="true" outlineLevel="0" collapsed="false">
      <c r="A11" s="184" t="n">
        <f aca="false">MAPA_OBRA_707!A7</f>
        <v>0</v>
      </c>
      <c r="B11" s="185" t="str">
        <f aca="false">MAPA_OBRA_707!B7</f>
        <v>Betão - Aplicação e Vibração</v>
      </c>
      <c r="C11" s="184" t="str">
        <f aca="false">MAPA_OBRA_707!C7</f>
        <v>m3</v>
      </c>
      <c r="D11" s="186" t="n">
        <f aca="false">MAPA_OBRA_707!D7</f>
        <v>163.87</v>
      </c>
      <c r="E11" s="186" t="n">
        <v>0</v>
      </c>
      <c r="F11" s="187" t="n">
        <v>0</v>
      </c>
      <c r="G11" s="186" t="n">
        <f aca="false">E11+F11</f>
        <v>0</v>
      </c>
      <c r="H11" s="188" t="n">
        <f aca="false">IF(D11&gt;0, G11/D11, 0)</f>
        <v>0</v>
      </c>
      <c r="I11" s="186" t="n">
        <f aca="false">D11-G11</f>
        <v>163.87</v>
      </c>
      <c r="J11" s="189" t="n">
        <v>0</v>
      </c>
      <c r="K11" s="189" t="n">
        <f aca="false">F11*J11</f>
        <v>0</v>
      </c>
    </row>
    <row r="12" customFormat="false" ht="19.5" hidden="false" customHeight="true" outlineLevel="0" collapsed="false">
      <c r="A12" s="184" t="n">
        <f aca="false">MAPA_OBRA_707!A8</f>
        <v>0</v>
      </c>
      <c r="B12" s="185" t="str">
        <f aca="false">MAPA_OBRA_707!B8</f>
        <v>Cofragem - Fornecimento e aplicação</v>
      </c>
      <c r="C12" s="184" t="str">
        <f aca="false">MAPA_OBRA_707!C8</f>
        <v>m2</v>
      </c>
      <c r="D12" s="186" t="n">
        <f aca="false">MAPA_OBRA_707!D8</f>
        <v>409.68</v>
      </c>
      <c r="E12" s="186" t="n">
        <v>0</v>
      </c>
      <c r="F12" s="187" t="n">
        <v>0</v>
      </c>
      <c r="G12" s="186" t="n">
        <f aca="false">E12+F12</f>
        <v>0</v>
      </c>
      <c r="H12" s="188" t="n">
        <f aca="false">IF(D12&gt;0, G12/D12, 0)</f>
        <v>0</v>
      </c>
      <c r="I12" s="186" t="n">
        <f aca="false">D12-G12</f>
        <v>409.68</v>
      </c>
      <c r="J12" s="189" t="n">
        <v>0</v>
      </c>
      <c r="K12" s="189" t="n">
        <f aca="false">F12*J12</f>
        <v>0</v>
      </c>
    </row>
    <row r="13" customFormat="false" ht="19.5" hidden="false" customHeight="true" outlineLevel="0" collapsed="false">
      <c r="A13" s="184" t="n">
        <f aca="false">MAPA_OBRA_707!A9</f>
        <v>0</v>
      </c>
      <c r="B13" s="185" t="str">
        <f aca="false">MAPA_OBRA_707!B9</f>
        <v>Aço - Moldagem, Corte e Aplicação</v>
      </c>
      <c r="C13" s="184" t="str">
        <f aca="false">MAPA_OBRA_707!C9</f>
        <v>kg</v>
      </c>
      <c r="D13" s="186" t="n">
        <f aca="false">MAPA_OBRA_707!D9</f>
        <v>16960.55</v>
      </c>
      <c r="E13" s="186" t="n">
        <v>0</v>
      </c>
      <c r="F13" s="187" t="n">
        <v>0</v>
      </c>
      <c r="G13" s="186" t="n">
        <f aca="false">E13+F13</f>
        <v>0</v>
      </c>
      <c r="H13" s="188" t="n">
        <f aca="false">IF(D13&gt;0, G13/D13, 0)</f>
        <v>0</v>
      </c>
      <c r="I13" s="186" t="n">
        <f aca="false">D13-G13</f>
        <v>16960.55</v>
      </c>
      <c r="J13" s="189" t="n">
        <v>0</v>
      </c>
      <c r="K13" s="189" t="n">
        <f aca="false">F13*J13</f>
        <v>0</v>
      </c>
    </row>
    <row r="14" customFormat="false" ht="19.5" hidden="false" customHeight="true" outlineLevel="0" collapsed="false">
      <c r="A14" s="181" t="str">
        <f aca="false">MAPA_OBRA_707!A10</f>
        <v>4.2.1.2</v>
      </c>
      <c r="B14" s="182" t="str">
        <f aca="false">MAPA_OBRA_707!B10</f>
        <v>Sapatas Contínuas / Continuous Foundations (110 kg/m3)</v>
      </c>
      <c r="C14" s="181" t="n">
        <f aca="false">MAPA_OBRA_707!C10</f>
        <v>0</v>
      </c>
      <c r="D14" s="183"/>
      <c r="E14" s="183"/>
      <c r="F14" s="183"/>
      <c r="G14" s="183"/>
      <c r="H14" s="183"/>
      <c r="I14" s="183"/>
      <c r="J14" s="183"/>
      <c r="K14" s="183"/>
    </row>
    <row r="15" customFormat="false" ht="19.5" hidden="false" customHeight="true" outlineLevel="0" collapsed="false">
      <c r="A15" s="184" t="n">
        <f aca="false">MAPA_OBRA_707!A11</f>
        <v>0</v>
      </c>
      <c r="B15" s="185" t="str">
        <f aca="false">MAPA_OBRA_707!B11</f>
        <v>Betão - Aplicação e Vibração</v>
      </c>
      <c r="C15" s="184" t="str">
        <f aca="false">MAPA_OBRA_707!C11</f>
        <v>m3</v>
      </c>
      <c r="D15" s="186" t="n">
        <f aca="false">MAPA_OBRA_707!D11</f>
        <v>155.53</v>
      </c>
      <c r="E15" s="186" t="n">
        <v>0</v>
      </c>
      <c r="F15" s="187" t="n">
        <v>0</v>
      </c>
      <c r="G15" s="186" t="n">
        <f aca="false">E15+F15</f>
        <v>0</v>
      </c>
      <c r="H15" s="188" t="n">
        <f aca="false">IF(D15&gt;0, G15/D15, 0)</f>
        <v>0</v>
      </c>
      <c r="I15" s="186" t="n">
        <f aca="false">D15-G15</f>
        <v>155.53</v>
      </c>
      <c r="J15" s="189" t="n">
        <v>0</v>
      </c>
      <c r="K15" s="189" t="n">
        <f aca="false">F15*J15</f>
        <v>0</v>
      </c>
    </row>
    <row r="16" customFormat="false" ht="19.5" hidden="false" customHeight="true" outlineLevel="0" collapsed="false">
      <c r="A16" s="184" t="n">
        <f aca="false">MAPA_OBRA_707!A12</f>
        <v>0</v>
      </c>
      <c r="B16" s="185" t="str">
        <f aca="false">MAPA_OBRA_707!B12</f>
        <v>Cofragem - Fornecimento e aplicação</v>
      </c>
      <c r="C16" s="184" t="str">
        <f aca="false">MAPA_OBRA_707!C12</f>
        <v>m2</v>
      </c>
      <c r="D16" s="186" t="n">
        <f aca="false">MAPA_OBRA_707!D12</f>
        <v>388.83</v>
      </c>
      <c r="E16" s="186" t="n">
        <v>0</v>
      </c>
      <c r="F16" s="187" t="n">
        <v>0</v>
      </c>
      <c r="G16" s="186" t="n">
        <f aca="false">E16+F16</f>
        <v>0</v>
      </c>
      <c r="H16" s="188" t="n">
        <f aca="false">IF(D16&gt;0, G16/D16, 0)</f>
        <v>0</v>
      </c>
      <c r="I16" s="186" t="n">
        <f aca="false">D16-G16</f>
        <v>388.83</v>
      </c>
      <c r="J16" s="189" t="n">
        <v>0</v>
      </c>
      <c r="K16" s="189" t="n">
        <f aca="false">F16*J16</f>
        <v>0</v>
      </c>
    </row>
    <row r="17" customFormat="false" ht="19.5" hidden="false" customHeight="true" outlineLevel="0" collapsed="false">
      <c r="A17" s="184" t="n">
        <f aca="false">MAPA_OBRA_707!A13</f>
        <v>0</v>
      </c>
      <c r="B17" s="185" t="str">
        <f aca="false">MAPA_OBRA_707!B13</f>
        <v>Aço - Moldagem, Corte e Aplicação</v>
      </c>
      <c r="C17" s="184" t="str">
        <f aca="false">MAPA_OBRA_707!C13</f>
        <v>kg</v>
      </c>
      <c r="D17" s="186" t="n">
        <f aca="false">MAPA_OBRA_707!D13</f>
        <v>19674.67</v>
      </c>
      <c r="E17" s="186" t="n">
        <v>0</v>
      </c>
      <c r="F17" s="187" t="n">
        <v>0</v>
      </c>
      <c r="G17" s="186" t="n">
        <f aca="false">E17+F17</f>
        <v>0</v>
      </c>
      <c r="H17" s="188" t="n">
        <f aca="false">IF(D17&gt;0, G17/D17, 0)</f>
        <v>0</v>
      </c>
      <c r="I17" s="186" t="n">
        <f aca="false">D17-G17</f>
        <v>19674.67</v>
      </c>
      <c r="J17" s="189" t="n">
        <v>0</v>
      </c>
      <c r="K17" s="189" t="n">
        <f aca="false">F17*J17</f>
        <v>0</v>
      </c>
    </row>
    <row r="18" customFormat="false" ht="19.5" hidden="false" customHeight="true" outlineLevel="0" collapsed="false">
      <c r="A18" s="181" t="str">
        <f aca="false">MAPA_OBRA_707!A14</f>
        <v>4.2.1.3</v>
      </c>
      <c r="B18" s="182" t="str">
        <f aca="false">MAPA_OBRA_707!B14</f>
        <v>Vigas de Fundação / Beams of Foundations (115 kg/m3)</v>
      </c>
      <c r="C18" s="181" t="n">
        <f aca="false">MAPA_OBRA_707!C14</f>
        <v>0</v>
      </c>
      <c r="D18" s="183"/>
      <c r="E18" s="183"/>
      <c r="F18" s="183"/>
      <c r="G18" s="183"/>
      <c r="H18" s="183"/>
      <c r="I18" s="183"/>
      <c r="J18" s="183"/>
      <c r="K18" s="183"/>
    </row>
    <row r="19" customFormat="false" ht="19.5" hidden="false" customHeight="true" outlineLevel="0" collapsed="false">
      <c r="A19" s="184" t="n">
        <f aca="false">MAPA_OBRA_707!A15</f>
        <v>0</v>
      </c>
      <c r="B19" s="185" t="str">
        <f aca="false">MAPA_OBRA_707!B15</f>
        <v>Betão - Aplicação e Vibração</v>
      </c>
      <c r="C19" s="184" t="str">
        <f aca="false">MAPA_OBRA_707!C15</f>
        <v>m3</v>
      </c>
      <c r="D19" s="186" t="n">
        <f aca="false">MAPA_OBRA_707!D15</f>
        <v>61.44</v>
      </c>
      <c r="E19" s="186" t="n">
        <v>0</v>
      </c>
      <c r="F19" s="187" t="n">
        <v>0</v>
      </c>
      <c r="G19" s="186" t="n">
        <f aca="false">E19+F19</f>
        <v>0</v>
      </c>
      <c r="H19" s="188" t="n">
        <f aca="false">IF(D19&gt;0, G19/D19, 0)</f>
        <v>0</v>
      </c>
      <c r="I19" s="186" t="n">
        <f aca="false">D19-G19</f>
        <v>61.44</v>
      </c>
      <c r="J19" s="189" t="n">
        <v>0</v>
      </c>
      <c r="K19" s="189" t="n">
        <f aca="false">F19*J19</f>
        <v>0</v>
      </c>
    </row>
    <row r="20" customFormat="false" ht="19.5" hidden="false" customHeight="true" outlineLevel="0" collapsed="false">
      <c r="A20" s="184" t="n">
        <f aca="false">MAPA_OBRA_707!A16</f>
        <v>0</v>
      </c>
      <c r="B20" s="185" t="str">
        <f aca="false">MAPA_OBRA_707!B16</f>
        <v>Cofragem - Fornecimento e aplicação</v>
      </c>
      <c r="C20" s="184" t="str">
        <f aca="false">MAPA_OBRA_707!C16</f>
        <v>m2</v>
      </c>
      <c r="D20" s="186" t="n">
        <f aca="false">MAPA_OBRA_707!D16</f>
        <v>688.74</v>
      </c>
      <c r="E20" s="186" t="n">
        <v>0</v>
      </c>
      <c r="F20" s="187" t="n">
        <v>0</v>
      </c>
      <c r="G20" s="186" t="n">
        <f aca="false">E20+F20</f>
        <v>0</v>
      </c>
      <c r="H20" s="188" t="n">
        <f aca="false">IF(D20&gt;0, G20/D20, 0)</f>
        <v>0</v>
      </c>
      <c r="I20" s="186" t="n">
        <f aca="false">D20-G20</f>
        <v>688.74</v>
      </c>
      <c r="J20" s="189" t="n">
        <v>0</v>
      </c>
      <c r="K20" s="189" t="n">
        <f aca="false">F20*J20</f>
        <v>0</v>
      </c>
    </row>
    <row r="21" customFormat="false" ht="19.5" hidden="false" customHeight="true" outlineLevel="0" collapsed="false">
      <c r="A21" s="184" t="n">
        <f aca="false">MAPA_OBRA_707!A17</f>
        <v>0</v>
      </c>
      <c r="B21" s="185" t="str">
        <f aca="false">MAPA_OBRA_707!B17</f>
        <v>Aço - Moldagem, Corte e Aplicação</v>
      </c>
      <c r="C21" s="184" t="str">
        <f aca="false">MAPA_OBRA_707!C17</f>
        <v>kg</v>
      </c>
      <c r="D21" s="186" t="n">
        <f aca="false">MAPA_OBRA_707!D17</f>
        <v>8125.44</v>
      </c>
      <c r="E21" s="186" t="n">
        <v>0</v>
      </c>
      <c r="F21" s="187" t="n">
        <v>0</v>
      </c>
      <c r="G21" s="186" t="n">
        <f aca="false">E21+F21</f>
        <v>0</v>
      </c>
      <c r="H21" s="188" t="n">
        <f aca="false">IF(D21&gt;0, G21/D21, 0)</f>
        <v>0</v>
      </c>
      <c r="I21" s="186" t="n">
        <f aca="false">D21-G21</f>
        <v>8125.44</v>
      </c>
      <c r="J21" s="189" t="n">
        <v>0</v>
      </c>
      <c r="K21" s="189" t="n">
        <f aca="false">F21*J21</f>
        <v>0</v>
      </c>
    </row>
    <row r="22" customFormat="false" ht="19.5" hidden="false" customHeight="true" outlineLevel="0" collapsed="false">
      <c r="A22" s="181" t="str">
        <f aca="false">MAPA_OBRA_707!A18</f>
        <v>4.3</v>
      </c>
      <c r="B22" s="182" t="str">
        <f aca="false">MAPA_OBRA_707!B18</f>
        <v>Superestrutura / Superstructure</v>
      </c>
      <c r="C22" s="181" t="n">
        <f aca="false">MAPA_OBRA_707!C18</f>
        <v>0</v>
      </c>
      <c r="D22" s="183"/>
      <c r="E22" s="183"/>
      <c r="F22" s="183"/>
      <c r="G22" s="183"/>
      <c r="H22" s="183"/>
      <c r="I22" s="183"/>
      <c r="J22" s="183"/>
      <c r="K22" s="183"/>
    </row>
    <row r="23" customFormat="false" ht="49.5" hidden="false" customHeight="true" outlineLevel="0" collapsed="false">
      <c r="A23" s="181" t="str">
        <f aca="false">MAPA_OBRA_707!A19</f>
        <v>4.3.1</v>
      </c>
      <c r="B23" s="182"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23" s="181" t="n">
        <f aca="false">MAPA_OBRA_707!C19</f>
        <v>0</v>
      </c>
      <c r="D23" s="183"/>
      <c r="E23" s="183"/>
      <c r="F23" s="183"/>
      <c r="G23" s="183"/>
      <c r="H23" s="183"/>
      <c r="I23" s="183"/>
      <c r="J23" s="183"/>
      <c r="K23" s="183"/>
    </row>
    <row r="24" customFormat="false" ht="19.5" hidden="false" customHeight="true" outlineLevel="0" collapsed="false">
      <c r="A24" s="181" t="str">
        <f aca="false">MAPA_OBRA_707!A20</f>
        <v>4.3.1.1</v>
      </c>
      <c r="B24" s="182" t="str">
        <f aca="false">MAPA_OBRA_707!B20</f>
        <v>Muros Enterrados / Buried Walls (115 kg/m3)</v>
      </c>
      <c r="C24" s="181" t="n">
        <f aca="false">MAPA_OBRA_707!C20</f>
        <v>0</v>
      </c>
      <c r="D24" s="183"/>
      <c r="E24" s="183"/>
      <c r="F24" s="183"/>
      <c r="G24" s="183"/>
      <c r="H24" s="183"/>
      <c r="I24" s="183"/>
      <c r="J24" s="183"/>
      <c r="K24" s="183"/>
    </row>
    <row r="25" customFormat="false" ht="19.5" hidden="false" customHeight="true" outlineLevel="0" collapsed="false">
      <c r="A25" s="184" t="n">
        <f aca="false">MAPA_OBRA_707!A21</f>
        <v>0</v>
      </c>
      <c r="B25" s="185" t="str">
        <f aca="false">MAPA_OBRA_707!B21</f>
        <v>Betão - Aplicação e Vibração</v>
      </c>
      <c r="C25" s="184" t="str">
        <f aca="false">MAPA_OBRA_707!C21</f>
        <v>m3</v>
      </c>
      <c r="D25" s="186" t="n">
        <f aca="false">MAPA_OBRA_707!D21</f>
        <v>357.21</v>
      </c>
      <c r="E25" s="186" t="n">
        <v>0</v>
      </c>
      <c r="F25" s="187" t="n">
        <v>0</v>
      </c>
      <c r="G25" s="186" t="n">
        <f aca="false">E25+F25</f>
        <v>0</v>
      </c>
      <c r="H25" s="188" t="n">
        <f aca="false">IF(D25&gt;0, G25/D25, 0)</f>
        <v>0</v>
      </c>
      <c r="I25" s="186" t="n">
        <f aca="false">D25-G25</f>
        <v>357.21</v>
      </c>
      <c r="J25" s="189" t="n">
        <v>0</v>
      </c>
      <c r="K25" s="189" t="n">
        <f aca="false">F25*J25</f>
        <v>0</v>
      </c>
    </row>
    <row r="26" customFormat="false" ht="19.5" hidden="false" customHeight="true" outlineLevel="0" collapsed="false">
      <c r="A26" s="184" t="n">
        <f aca="false">MAPA_OBRA_707!A22</f>
        <v>0</v>
      </c>
      <c r="B26" s="185" t="str">
        <f aca="false">MAPA_OBRA_707!B22</f>
        <v>Cofragem - Fornecimento e aplicação</v>
      </c>
      <c r="C26" s="184" t="str">
        <f aca="false">MAPA_OBRA_707!C22</f>
        <v>m2</v>
      </c>
      <c r="D26" s="186" t="n">
        <f aca="false">MAPA_OBRA_707!D22</f>
        <v>3597.09</v>
      </c>
      <c r="E26" s="186" t="n">
        <v>0</v>
      </c>
      <c r="F26" s="187" t="n">
        <v>0</v>
      </c>
      <c r="G26" s="186" t="n">
        <f aca="false">E26+F26</f>
        <v>0</v>
      </c>
      <c r="H26" s="188" t="n">
        <f aca="false">IF(D26&gt;0, G26/D26, 0)</f>
        <v>0</v>
      </c>
      <c r="I26" s="186" t="n">
        <f aca="false">D26-G26</f>
        <v>3597.09</v>
      </c>
      <c r="J26" s="189" t="n">
        <v>0</v>
      </c>
      <c r="K26" s="189" t="n">
        <f aca="false">F26*J26</f>
        <v>0</v>
      </c>
    </row>
    <row r="27" customFormat="false" ht="19.5" hidden="false" customHeight="true" outlineLevel="0" collapsed="false">
      <c r="A27" s="184" t="n">
        <f aca="false">MAPA_OBRA_707!A23</f>
        <v>0</v>
      </c>
      <c r="B27" s="185" t="str">
        <f aca="false">MAPA_OBRA_707!B23</f>
        <v>Aço - Moldagem, Corte e Aplicação</v>
      </c>
      <c r="C27" s="184" t="str">
        <f aca="false">MAPA_OBRA_707!C23</f>
        <v>kg</v>
      </c>
      <c r="D27" s="186" t="n">
        <f aca="false">MAPA_OBRA_707!D23</f>
        <v>53583.49</v>
      </c>
      <c r="E27" s="186" t="n">
        <v>0</v>
      </c>
      <c r="F27" s="187" t="n">
        <v>0</v>
      </c>
      <c r="G27" s="186" t="n">
        <f aca="false">E27+F27</f>
        <v>0</v>
      </c>
      <c r="H27" s="188" t="n">
        <f aca="false">IF(D27&gt;0, G27/D27, 0)</f>
        <v>0</v>
      </c>
      <c r="I27" s="186" t="n">
        <f aca="false">D27-G27</f>
        <v>53583.49</v>
      </c>
      <c r="J27" s="189" t="n">
        <v>0</v>
      </c>
      <c r="K27" s="189" t="n">
        <f aca="false">F27*J27</f>
        <v>0</v>
      </c>
    </row>
    <row r="28" customFormat="false" ht="19.5" hidden="false" customHeight="true" outlineLevel="0" collapsed="false">
      <c r="A28" s="181" t="str">
        <f aca="false">MAPA_OBRA_707!A24</f>
        <v>4.3.1.2</v>
      </c>
      <c r="B28" s="182" t="str">
        <f aca="false">MAPA_OBRA_707!B24</f>
        <v>Pilares / Columns (290 kg/m3)</v>
      </c>
      <c r="C28" s="181" t="n">
        <f aca="false">MAPA_OBRA_707!C24</f>
        <v>0</v>
      </c>
      <c r="D28" s="183"/>
      <c r="E28" s="183"/>
      <c r="F28" s="183"/>
      <c r="G28" s="183"/>
      <c r="H28" s="183"/>
      <c r="I28" s="183"/>
      <c r="J28" s="183"/>
      <c r="K28" s="183"/>
    </row>
    <row r="29" customFormat="false" ht="19.5" hidden="false" customHeight="true" outlineLevel="0" collapsed="false">
      <c r="A29" s="184" t="n">
        <f aca="false">MAPA_OBRA_707!A25</f>
        <v>0</v>
      </c>
      <c r="B29" s="185" t="str">
        <f aca="false">MAPA_OBRA_707!B25</f>
        <v>Betão - Aplicação e Vibração</v>
      </c>
      <c r="C29" s="184" t="str">
        <f aca="false">MAPA_OBRA_707!C25</f>
        <v>m3</v>
      </c>
      <c r="D29" s="186" t="n">
        <f aca="false">MAPA_OBRA_707!D25</f>
        <v>175.75</v>
      </c>
      <c r="E29" s="186" t="n">
        <v>0</v>
      </c>
      <c r="F29" s="187" t="n">
        <v>0</v>
      </c>
      <c r="G29" s="186" t="n">
        <f aca="false">E29+F29</f>
        <v>0</v>
      </c>
      <c r="H29" s="188" t="n">
        <f aca="false">IF(D29&gt;0, G29/D29, 0)</f>
        <v>0</v>
      </c>
      <c r="I29" s="186" t="n">
        <f aca="false">D29-G29</f>
        <v>175.75</v>
      </c>
      <c r="J29" s="189" t="n">
        <v>0</v>
      </c>
      <c r="K29" s="189" t="n">
        <f aca="false">F29*J29</f>
        <v>0</v>
      </c>
    </row>
    <row r="30" customFormat="false" ht="19.5" hidden="false" customHeight="true" outlineLevel="0" collapsed="false">
      <c r="A30" s="184" t="n">
        <f aca="false">MAPA_OBRA_707!A26</f>
        <v>0</v>
      </c>
      <c r="B30" s="185" t="str">
        <f aca="false">MAPA_OBRA_707!B26</f>
        <v>Cofragem - Fornecimento e aplicação</v>
      </c>
      <c r="C30" s="184" t="str">
        <f aca="false">MAPA_OBRA_707!C26</f>
        <v>m2</v>
      </c>
      <c r="D30" s="186" t="n">
        <f aca="false">MAPA_OBRA_707!D26</f>
        <v>1933.25</v>
      </c>
      <c r="E30" s="186" t="n">
        <v>0</v>
      </c>
      <c r="F30" s="187" t="n">
        <v>0</v>
      </c>
      <c r="G30" s="186" t="n">
        <f aca="false">E30+F30</f>
        <v>0</v>
      </c>
      <c r="H30" s="188" t="n">
        <f aca="false">IF(D30&gt;0, G30/D30, 0)</f>
        <v>0</v>
      </c>
      <c r="I30" s="186" t="n">
        <f aca="false">D30-G30</f>
        <v>1933.25</v>
      </c>
      <c r="J30" s="189" t="n">
        <v>0</v>
      </c>
      <c r="K30" s="189" t="n">
        <f aca="false">F30*J30</f>
        <v>0</v>
      </c>
    </row>
    <row r="31" customFormat="false" ht="19.5" hidden="false" customHeight="true" outlineLevel="0" collapsed="false">
      <c r="A31" s="184" t="n">
        <f aca="false">MAPA_OBRA_707!A27</f>
        <v>0</v>
      </c>
      <c r="B31" s="185" t="str">
        <f aca="false">MAPA_OBRA_707!B27</f>
        <v>Aço - Moldagem, Corte e Aplicação</v>
      </c>
      <c r="C31" s="184" t="str">
        <f aca="false">MAPA_OBRA_707!C27</f>
        <v>kg</v>
      </c>
      <c r="D31" s="186" t="n">
        <f aca="false">MAPA_OBRA_707!D27</f>
        <v>58612.63</v>
      </c>
      <c r="E31" s="186" t="n">
        <v>0</v>
      </c>
      <c r="F31" s="187" t="n">
        <v>0</v>
      </c>
      <c r="G31" s="186" t="n">
        <f aca="false">E31+F31</f>
        <v>0</v>
      </c>
      <c r="H31" s="188" t="n">
        <f aca="false">IF(D31&gt;0, G31/D31, 0)</f>
        <v>0</v>
      </c>
      <c r="I31" s="186" t="n">
        <f aca="false">D31-G31</f>
        <v>58612.63</v>
      </c>
      <c r="J31" s="189" t="n">
        <v>0</v>
      </c>
      <c r="K31" s="189" t="n">
        <f aca="false">F31*J31</f>
        <v>0</v>
      </c>
    </row>
    <row r="32" customFormat="false" ht="19.5" hidden="false" customHeight="true" outlineLevel="0" collapsed="false">
      <c r="A32" s="181" t="str">
        <f aca="false">MAPA_OBRA_707!A28</f>
        <v>4.3.1.3</v>
      </c>
      <c r="B32" s="182" t="str">
        <f aca="false">MAPA_OBRA_707!B28</f>
        <v>Paredes / Walls (200 kg/m3)</v>
      </c>
      <c r="C32" s="181" t="n">
        <f aca="false">MAPA_OBRA_707!C28</f>
        <v>0</v>
      </c>
      <c r="D32" s="183"/>
      <c r="E32" s="183"/>
      <c r="F32" s="183"/>
      <c r="G32" s="183"/>
      <c r="H32" s="183"/>
      <c r="I32" s="183"/>
      <c r="J32" s="183"/>
      <c r="K32" s="183"/>
    </row>
    <row r="33" customFormat="false" ht="19.5" hidden="false" customHeight="true" outlineLevel="0" collapsed="false">
      <c r="A33" s="184" t="n">
        <f aca="false">MAPA_OBRA_707!A29</f>
        <v>0</v>
      </c>
      <c r="B33" s="185" t="str">
        <f aca="false">MAPA_OBRA_707!B29</f>
        <v>Betão - Aplicação e Vibração</v>
      </c>
      <c r="C33" s="184" t="str">
        <f aca="false">MAPA_OBRA_707!C29</f>
        <v>m3</v>
      </c>
      <c r="D33" s="186" t="n">
        <f aca="false">MAPA_OBRA_707!D29</f>
        <v>55.41</v>
      </c>
      <c r="E33" s="186" t="n">
        <v>0</v>
      </c>
      <c r="F33" s="187" t="n">
        <v>0</v>
      </c>
      <c r="G33" s="186" t="n">
        <f aca="false">E33+F33</f>
        <v>0</v>
      </c>
      <c r="H33" s="188" t="n">
        <f aca="false">IF(D33&gt;0, G33/D33, 0)</f>
        <v>0</v>
      </c>
      <c r="I33" s="186" t="n">
        <f aca="false">D33-G33</f>
        <v>55.41</v>
      </c>
      <c r="J33" s="189" t="n">
        <v>0</v>
      </c>
      <c r="K33" s="189" t="n">
        <f aca="false">F33*J33</f>
        <v>0</v>
      </c>
    </row>
    <row r="34" customFormat="false" ht="19.5" hidden="false" customHeight="true" outlineLevel="0" collapsed="false">
      <c r="A34" s="184" t="n">
        <f aca="false">MAPA_OBRA_707!A30</f>
        <v>0</v>
      </c>
      <c r="B34" s="185" t="str">
        <f aca="false">MAPA_OBRA_707!B30</f>
        <v>Cofragem - Fornecimento e aplicação</v>
      </c>
      <c r="C34" s="184" t="str">
        <f aca="false">MAPA_OBRA_707!C30</f>
        <v>m2</v>
      </c>
      <c r="D34" s="186" t="n">
        <f aca="false">MAPA_OBRA_707!D30</f>
        <v>554.1</v>
      </c>
      <c r="E34" s="186" t="n">
        <v>0</v>
      </c>
      <c r="F34" s="187" t="n">
        <v>0</v>
      </c>
      <c r="G34" s="186" t="n">
        <f aca="false">E34+F34</f>
        <v>0</v>
      </c>
      <c r="H34" s="188" t="n">
        <f aca="false">IF(D34&gt;0, G34/D34, 0)</f>
        <v>0</v>
      </c>
      <c r="I34" s="186" t="n">
        <f aca="false">D34-G34</f>
        <v>554.1</v>
      </c>
      <c r="J34" s="189" t="n">
        <v>0</v>
      </c>
      <c r="K34" s="189" t="n">
        <f aca="false">F34*J34</f>
        <v>0</v>
      </c>
    </row>
    <row r="35" customFormat="false" ht="19.5" hidden="false" customHeight="true" outlineLevel="0" collapsed="false">
      <c r="A35" s="184" t="n">
        <f aca="false">MAPA_OBRA_707!A31</f>
        <v>0</v>
      </c>
      <c r="B35" s="185" t="str">
        <f aca="false">MAPA_OBRA_707!B31</f>
        <v>Aço - Moldagem, Corte e Aplicação</v>
      </c>
      <c r="C35" s="184" t="str">
        <f aca="false">MAPA_OBRA_707!C31</f>
        <v>kg</v>
      </c>
      <c r="D35" s="186" t="n">
        <f aca="false">MAPA_OBRA_707!D31</f>
        <v>12744.3</v>
      </c>
      <c r="E35" s="186" t="n">
        <v>0</v>
      </c>
      <c r="F35" s="187" t="n">
        <v>0</v>
      </c>
      <c r="G35" s="186" t="n">
        <f aca="false">E35+F35</f>
        <v>0</v>
      </c>
      <c r="H35" s="188" t="n">
        <f aca="false">IF(D35&gt;0, G35/D35, 0)</f>
        <v>0</v>
      </c>
      <c r="I35" s="186" t="n">
        <f aca="false">D35-G35</f>
        <v>12744.3</v>
      </c>
      <c r="J35" s="189" t="n">
        <v>0</v>
      </c>
      <c r="K35" s="189" t="n">
        <f aca="false">F35*J35</f>
        <v>0</v>
      </c>
    </row>
    <row r="36" customFormat="false" ht="19.5" hidden="false" customHeight="true" outlineLevel="0" collapsed="false">
      <c r="A36" s="181" t="str">
        <f aca="false">MAPA_OBRA_707!A32</f>
        <v>4.3.1.3 A</v>
      </c>
      <c r="B36" s="182" t="str">
        <f aca="false">MAPA_OBRA_707!B32</f>
        <v>Núcleos do Elevador / Elevator Shaft (200 kg/m3)</v>
      </c>
      <c r="C36" s="181" t="n">
        <f aca="false">MAPA_OBRA_707!C32</f>
        <v>0</v>
      </c>
      <c r="D36" s="183"/>
      <c r="E36" s="183"/>
      <c r="F36" s="183"/>
      <c r="G36" s="183"/>
      <c r="H36" s="183"/>
      <c r="I36" s="183"/>
      <c r="J36" s="183"/>
      <c r="K36" s="183"/>
    </row>
    <row r="37" customFormat="false" ht="19.5" hidden="false" customHeight="true" outlineLevel="0" collapsed="false">
      <c r="A37" s="184" t="n">
        <f aca="false">MAPA_OBRA_707!A33</f>
        <v>0</v>
      </c>
      <c r="B37" s="185" t="str">
        <f aca="false">MAPA_OBRA_707!B33</f>
        <v>Betão - Aplicação e Vibração</v>
      </c>
      <c r="C37" s="184" t="str">
        <f aca="false">MAPA_OBRA_707!C33</f>
        <v>m3</v>
      </c>
      <c r="D37" s="186" t="n">
        <f aca="false">MAPA_OBRA_707!D33</f>
        <v>168.52</v>
      </c>
      <c r="E37" s="186" t="n">
        <v>0</v>
      </c>
      <c r="F37" s="187" t="n">
        <v>0</v>
      </c>
      <c r="G37" s="186" t="n">
        <f aca="false">E37+F37</f>
        <v>0</v>
      </c>
      <c r="H37" s="188" t="n">
        <f aca="false">IF(D37&gt;0, G37/D37, 0)</f>
        <v>0</v>
      </c>
      <c r="I37" s="186" t="n">
        <f aca="false">D37-G37</f>
        <v>168.52</v>
      </c>
      <c r="J37" s="189" t="n">
        <v>0</v>
      </c>
      <c r="K37" s="189" t="n">
        <f aca="false">F37*J37</f>
        <v>0</v>
      </c>
    </row>
    <row r="38" customFormat="false" ht="19.5" hidden="false" customHeight="true" outlineLevel="0" collapsed="false">
      <c r="A38" s="184" t="n">
        <f aca="false">MAPA_OBRA_707!A34</f>
        <v>0</v>
      </c>
      <c r="B38" s="185" t="str">
        <f aca="false">MAPA_OBRA_707!B34</f>
        <v>Cofragem - Fornecimento e aplicação</v>
      </c>
      <c r="C38" s="184" t="str">
        <f aca="false">MAPA_OBRA_707!C34</f>
        <v>m2</v>
      </c>
      <c r="D38" s="186" t="n">
        <f aca="false">MAPA_OBRA_707!D34</f>
        <v>1862.19</v>
      </c>
      <c r="E38" s="186" t="n">
        <v>0</v>
      </c>
      <c r="F38" s="187" t="n">
        <v>0</v>
      </c>
      <c r="G38" s="186" t="n">
        <f aca="false">E38+F38</f>
        <v>0</v>
      </c>
      <c r="H38" s="188" t="n">
        <f aca="false">IF(D38&gt;0, G38/D38, 0)</f>
        <v>0</v>
      </c>
      <c r="I38" s="186" t="n">
        <f aca="false">D38-G38</f>
        <v>1862.19</v>
      </c>
      <c r="J38" s="189" t="n">
        <v>0</v>
      </c>
      <c r="K38" s="189" t="n">
        <f aca="false">F38*J38</f>
        <v>0</v>
      </c>
    </row>
    <row r="39" customFormat="false" ht="19.5" hidden="false" customHeight="true" outlineLevel="0" collapsed="false">
      <c r="A39" s="184" t="n">
        <f aca="false">MAPA_OBRA_707!A35</f>
        <v>0</v>
      </c>
      <c r="B39" s="185" t="str">
        <f aca="false">MAPA_OBRA_707!B35</f>
        <v>Aço - Moldagem, Corte e Aplicação</v>
      </c>
      <c r="C39" s="184" t="str">
        <f aca="false">MAPA_OBRA_707!C35</f>
        <v>kg</v>
      </c>
      <c r="D39" s="186" t="n">
        <f aca="false">MAPA_OBRA_707!D35</f>
        <v>38760.52</v>
      </c>
      <c r="E39" s="186" t="n">
        <v>0</v>
      </c>
      <c r="F39" s="187" t="n">
        <v>0</v>
      </c>
      <c r="G39" s="186" t="n">
        <f aca="false">E39+F39</f>
        <v>0</v>
      </c>
      <c r="H39" s="188" t="n">
        <f aca="false">IF(D39&gt;0, G39/D39, 0)</f>
        <v>0</v>
      </c>
      <c r="I39" s="186" t="n">
        <f aca="false">D39-G39</f>
        <v>38760.52</v>
      </c>
      <c r="J39" s="189" t="n">
        <v>0</v>
      </c>
      <c r="K39" s="189" t="n">
        <f aca="false">F39*J39</f>
        <v>0</v>
      </c>
    </row>
    <row r="40" customFormat="false" ht="19.5" hidden="false" customHeight="true" outlineLevel="0" collapsed="false">
      <c r="A40" s="181" t="str">
        <f aca="false">MAPA_OBRA_707!A36</f>
        <v>4.3.1.4</v>
      </c>
      <c r="B40" s="182" t="str">
        <f aca="false">MAPA_OBRA_707!B36</f>
        <v>Vigas / Beams (150 kg/m3)</v>
      </c>
      <c r="C40" s="181" t="n">
        <f aca="false">MAPA_OBRA_707!C36</f>
        <v>0</v>
      </c>
      <c r="D40" s="183"/>
      <c r="E40" s="183"/>
      <c r="F40" s="183"/>
      <c r="G40" s="183"/>
      <c r="H40" s="183"/>
      <c r="I40" s="183"/>
      <c r="J40" s="183"/>
      <c r="K40" s="183"/>
    </row>
    <row r="41" customFormat="false" ht="19.5" hidden="false" customHeight="true" outlineLevel="0" collapsed="false">
      <c r="A41" s="184" t="n">
        <f aca="false">MAPA_OBRA_707!A37</f>
        <v>0</v>
      </c>
      <c r="B41" s="185" t="str">
        <f aca="false">MAPA_OBRA_707!B37</f>
        <v>Betão - Aplicação e Vibração</v>
      </c>
      <c r="C41" s="184" t="str">
        <f aca="false">MAPA_OBRA_707!C37</f>
        <v>m3</v>
      </c>
      <c r="D41" s="186" t="n">
        <f aca="false">MAPA_OBRA_707!D37</f>
        <v>384.7</v>
      </c>
      <c r="E41" s="186" t="n">
        <v>0</v>
      </c>
      <c r="F41" s="187" t="n">
        <v>0</v>
      </c>
      <c r="G41" s="186" t="n">
        <f aca="false">E41+F41</f>
        <v>0</v>
      </c>
      <c r="H41" s="188" t="n">
        <f aca="false">IF(D41&gt;0, G41/D41, 0)</f>
        <v>0</v>
      </c>
      <c r="I41" s="186" t="n">
        <f aca="false">D41-G41</f>
        <v>384.7</v>
      </c>
      <c r="J41" s="189" t="n">
        <v>0</v>
      </c>
      <c r="K41" s="189" t="n">
        <f aca="false">F41*J41</f>
        <v>0</v>
      </c>
    </row>
    <row r="42" customFormat="false" ht="19.5" hidden="false" customHeight="true" outlineLevel="0" collapsed="false">
      <c r="A42" s="184" t="n">
        <f aca="false">MAPA_OBRA_707!A38</f>
        <v>0</v>
      </c>
      <c r="B42" s="185" t="str">
        <f aca="false">MAPA_OBRA_707!B38</f>
        <v>Cofragem - Fornecimento e aplicação</v>
      </c>
      <c r="C42" s="184" t="str">
        <f aca="false">MAPA_OBRA_707!C38</f>
        <v>m2</v>
      </c>
      <c r="D42" s="186" t="n">
        <f aca="false">MAPA_OBRA_707!D38</f>
        <v>3847</v>
      </c>
      <c r="E42" s="186" t="n">
        <v>0</v>
      </c>
      <c r="F42" s="187" t="n">
        <v>0</v>
      </c>
      <c r="G42" s="186" t="n">
        <f aca="false">E42+F42</f>
        <v>0</v>
      </c>
      <c r="H42" s="188" t="n">
        <f aca="false">IF(D42&gt;0, G42/D42, 0)</f>
        <v>0</v>
      </c>
      <c r="I42" s="186" t="n">
        <f aca="false">D42-G42</f>
        <v>3847</v>
      </c>
      <c r="J42" s="189" t="n">
        <v>0</v>
      </c>
      <c r="K42" s="189" t="n">
        <f aca="false">F42*J42</f>
        <v>0</v>
      </c>
    </row>
    <row r="43" customFormat="false" ht="19.5" hidden="false" customHeight="true" outlineLevel="0" collapsed="false">
      <c r="A43" s="184" t="n">
        <f aca="false">MAPA_OBRA_707!A39</f>
        <v>0</v>
      </c>
      <c r="B43" s="185" t="str">
        <f aca="false">MAPA_OBRA_707!B39</f>
        <v>Aço - Moldagem, Corte e Aplicação</v>
      </c>
      <c r="C43" s="184" t="str">
        <f aca="false">MAPA_OBRA_707!C39</f>
        <v>kg</v>
      </c>
      <c r="D43" s="186" t="n">
        <f aca="false">MAPA_OBRA_707!D39</f>
        <v>66360.75</v>
      </c>
      <c r="E43" s="186" t="n">
        <v>0</v>
      </c>
      <c r="F43" s="187" t="n">
        <v>0</v>
      </c>
      <c r="G43" s="186" t="n">
        <f aca="false">E43+F43</f>
        <v>0</v>
      </c>
      <c r="H43" s="188" t="n">
        <f aca="false">IF(D43&gt;0, G43/D43, 0)</f>
        <v>0</v>
      </c>
      <c r="I43" s="186" t="n">
        <f aca="false">D43-G43</f>
        <v>66360.75</v>
      </c>
      <c r="J43" s="189" t="n">
        <v>0</v>
      </c>
      <c r="K43" s="189" t="n">
        <f aca="false">F43*J43</f>
        <v>0</v>
      </c>
    </row>
    <row r="44" customFormat="false" ht="19.5" hidden="false" customHeight="true" outlineLevel="0" collapsed="false">
      <c r="A44" s="181" t="str">
        <f aca="false">MAPA_OBRA_707!A40</f>
        <v>4.3.1.5</v>
      </c>
      <c r="B44" s="182" t="str">
        <f aca="false">MAPA_OBRA_707!B40</f>
        <v>Lajes Maciças / Massive Slabs (120 kg/m3)</v>
      </c>
      <c r="C44" s="181" t="n">
        <f aca="false">MAPA_OBRA_707!C40</f>
        <v>0</v>
      </c>
      <c r="D44" s="183"/>
      <c r="E44" s="183"/>
      <c r="F44" s="183"/>
      <c r="G44" s="183"/>
      <c r="H44" s="183"/>
      <c r="I44" s="183"/>
      <c r="J44" s="183"/>
      <c r="K44" s="183"/>
    </row>
    <row r="45" customFormat="false" ht="19.5" hidden="false" customHeight="true" outlineLevel="0" collapsed="false">
      <c r="A45" s="184" t="n">
        <f aca="false">MAPA_OBRA_707!A41</f>
        <v>0</v>
      </c>
      <c r="B45" s="185" t="str">
        <f aca="false">MAPA_OBRA_707!B41</f>
        <v>Betão - Aplicação e Vibração</v>
      </c>
      <c r="C45" s="184" t="str">
        <f aca="false">MAPA_OBRA_707!C41</f>
        <v>m3</v>
      </c>
      <c r="D45" s="186" t="n">
        <f aca="false">MAPA_OBRA_707!D41</f>
        <v>145.35</v>
      </c>
      <c r="E45" s="186" t="n">
        <v>0</v>
      </c>
      <c r="F45" s="187" t="n">
        <v>0</v>
      </c>
      <c r="G45" s="186" t="n">
        <f aca="false">E45+F45</f>
        <v>0</v>
      </c>
      <c r="H45" s="188" t="n">
        <f aca="false">IF(D45&gt;0, G45/D45, 0)</f>
        <v>0</v>
      </c>
      <c r="I45" s="186" t="n">
        <f aca="false">D45-G45</f>
        <v>145.35</v>
      </c>
      <c r="J45" s="189" t="n">
        <v>0</v>
      </c>
      <c r="K45" s="189" t="n">
        <f aca="false">F45*J45</f>
        <v>0</v>
      </c>
    </row>
    <row r="46" customFormat="false" ht="19.5" hidden="false" customHeight="true" outlineLevel="0" collapsed="false">
      <c r="A46" s="184" t="n">
        <f aca="false">MAPA_OBRA_707!A42</f>
        <v>0</v>
      </c>
      <c r="B46" s="185" t="str">
        <f aca="false">MAPA_OBRA_707!B42</f>
        <v>Cofragem - Fornecimento e aplicação</v>
      </c>
      <c r="C46" s="184" t="str">
        <f aca="false">MAPA_OBRA_707!C42</f>
        <v>m2</v>
      </c>
      <c r="D46" s="186" t="n">
        <f aca="false">MAPA_OBRA_707!D42</f>
        <v>726.75</v>
      </c>
      <c r="E46" s="186" t="n">
        <v>0</v>
      </c>
      <c r="F46" s="187" t="n">
        <v>0</v>
      </c>
      <c r="G46" s="186" t="n">
        <f aca="false">E46+F46</f>
        <v>0</v>
      </c>
      <c r="H46" s="188" t="n">
        <f aca="false">IF(D46&gt;0, G46/D46, 0)</f>
        <v>0</v>
      </c>
      <c r="I46" s="186" t="n">
        <f aca="false">D46-G46</f>
        <v>726.75</v>
      </c>
      <c r="J46" s="189" t="n">
        <v>0</v>
      </c>
      <c r="K46" s="189" t="n">
        <f aca="false">F46*J46</f>
        <v>0</v>
      </c>
    </row>
    <row r="47" customFormat="false" ht="19.5" hidden="false" customHeight="true" outlineLevel="0" collapsed="false">
      <c r="A47" s="184" t="n">
        <f aca="false">MAPA_OBRA_707!A43</f>
        <v>0</v>
      </c>
      <c r="B47" s="185" t="str">
        <f aca="false">MAPA_OBRA_707!B43</f>
        <v>Aço - Moldagem, Corte e Aplicação</v>
      </c>
      <c r="C47" s="184" t="str">
        <f aca="false">MAPA_OBRA_707!C43</f>
        <v>kg</v>
      </c>
      <c r="D47" s="186" t="n">
        <f aca="false">MAPA_OBRA_707!D43</f>
        <v>20058.3</v>
      </c>
      <c r="E47" s="186" t="n">
        <v>0</v>
      </c>
      <c r="F47" s="187" t="n">
        <v>0</v>
      </c>
      <c r="G47" s="186" t="n">
        <f aca="false">E47+F47</f>
        <v>0</v>
      </c>
      <c r="H47" s="188" t="n">
        <f aca="false">IF(D47&gt;0, G47/D47, 0)</f>
        <v>0</v>
      </c>
      <c r="I47" s="186" t="n">
        <f aca="false">D47-G47</f>
        <v>20058.3</v>
      </c>
      <c r="J47" s="189" t="n">
        <v>0</v>
      </c>
      <c r="K47" s="189" t="n">
        <f aca="false">F47*J47</f>
        <v>0</v>
      </c>
    </row>
    <row r="48" customFormat="false" ht="19.5" hidden="false" customHeight="true" outlineLevel="0" collapsed="false">
      <c r="A48" s="181" t="str">
        <f aca="false">MAPA_OBRA_707!A44</f>
        <v>4.3.1.6</v>
      </c>
      <c r="B48" s="182" t="str">
        <f aca="false">MAPA_OBRA_707!B44</f>
        <v>Escadas / Stairs (80 kg/m3)</v>
      </c>
      <c r="C48" s="181" t="n">
        <f aca="false">MAPA_OBRA_707!C44</f>
        <v>0</v>
      </c>
      <c r="D48" s="183"/>
      <c r="E48" s="183"/>
      <c r="F48" s="183"/>
      <c r="G48" s="183"/>
      <c r="H48" s="183"/>
      <c r="I48" s="183"/>
      <c r="J48" s="183"/>
      <c r="K48" s="183"/>
    </row>
    <row r="49" customFormat="false" ht="19.5" hidden="false" customHeight="true" outlineLevel="0" collapsed="false">
      <c r="A49" s="184" t="n">
        <f aca="false">MAPA_OBRA_707!A45</f>
        <v>0</v>
      </c>
      <c r="B49" s="185" t="str">
        <f aca="false">MAPA_OBRA_707!B45</f>
        <v>Betão - Aplicação e Vibração</v>
      </c>
      <c r="C49" s="184" t="str">
        <f aca="false">MAPA_OBRA_707!C45</f>
        <v>m3</v>
      </c>
      <c r="D49" s="186" t="n">
        <f aca="false">MAPA_OBRA_707!D45</f>
        <v>60</v>
      </c>
      <c r="E49" s="186" t="n">
        <v>0</v>
      </c>
      <c r="F49" s="187" t="n">
        <v>0</v>
      </c>
      <c r="G49" s="186" t="n">
        <f aca="false">E49+F49</f>
        <v>0</v>
      </c>
      <c r="H49" s="188" t="n">
        <f aca="false">IF(D49&gt;0, G49/D49, 0)</f>
        <v>0</v>
      </c>
      <c r="I49" s="186" t="n">
        <f aca="false">D49-G49</f>
        <v>60</v>
      </c>
      <c r="J49" s="189" t="n">
        <v>0</v>
      </c>
      <c r="K49" s="189" t="n">
        <f aca="false">F49*J49</f>
        <v>0</v>
      </c>
    </row>
    <row r="50" customFormat="false" ht="19.5" hidden="false" customHeight="true" outlineLevel="0" collapsed="false">
      <c r="A50" s="184" t="n">
        <f aca="false">MAPA_OBRA_707!A46</f>
        <v>0</v>
      </c>
      <c r="B50" s="185" t="str">
        <f aca="false">MAPA_OBRA_707!B46</f>
        <v>Cofragem - Fornecimento e aplicação</v>
      </c>
      <c r="C50" s="184" t="str">
        <f aca="false">MAPA_OBRA_707!C46</f>
        <v>m2</v>
      </c>
      <c r="D50" s="186" t="n">
        <f aca="false">MAPA_OBRA_707!D46</f>
        <v>600</v>
      </c>
      <c r="E50" s="186" t="n">
        <v>0</v>
      </c>
      <c r="F50" s="187" t="n">
        <v>0</v>
      </c>
      <c r="G50" s="186" t="n">
        <f aca="false">E50+F50</f>
        <v>0</v>
      </c>
      <c r="H50" s="188" t="n">
        <f aca="false">IF(D50&gt;0, G50/D50, 0)</f>
        <v>0</v>
      </c>
      <c r="I50" s="186" t="n">
        <f aca="false">D50-G50</f>
        <v>600</v>
      </c>
      <c r="J50" s="189" t="n">
        <v>0</v>
      </c>
      <c r="K50" s="189" t="n">
        <f aca="false">F50*J50</f>
        <v>0</v>
      </c>
    </row>
    <row r="51" customFormat="false" ht="19.5" hidden="false" customHeight="true" outlineLevel="0" collapsed="false">
      <c r="A51" s="184" t="n">
        <f aca="false">MAPA_OBRA_707!A47</f>
        <v>0</v>
      </c>
      <c r="B51" s="185" t="str">
        <f aca="false">MAPA_OBRA_707!B47</f>
        <v>Aço - Moldagem, Corte e Aplicação</v>
      </c>
      <c r="C51" s="184" t="str">
        <f aca="false">MAPA_OBRA_707!C47</f>
        <v>kg</v>
      </c>
      <c r="D51" s="186" t="n">
        <f aca="false">MAPA_OBRA_707!D47</f>
        <v>5520</v>
      </c>
      <c r="E51" s="186" t="n">
        <v>0</v>
      </c>
      <c r="F51" s="187" t="n">
        <v>0</v>
      </c>
      <c r="G51" s="186" t="n">
        <f aca="false">E51+F51</f>
        <v>0</v>
      </c>
      <c r="H51" s="188" t="n">
        <f aca="false">IF(D51&gt;0, G51/D51, 0)</f>
        <v>0</v>
      </c>
      <c r="I51" s="186" t="n">
        <f aca="false">D51-G51</f>
        <v>5520</v>
      </c>
      <c r="J51" s="189" t="n">
        <v>0</v>
      </c>
      <c r="K51" s="189" t="n">
        <f aca="false">F51*J51</f>
        <v>0</v>
      </c>
    </row>
    <row r="52" customFormat="false" ht="49.5" hidden="false" customHeight="true" outlineLevel="0" collapsed="false">
      <c r="A52" s="181" t="str">
        <f aca="false">MAPA_OBRA_707!A48</f>
        <v>4.3.1.7</v>
      </c>
      <c r="B52" s="182"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52" s="181" t="n">
        <f aca="false">MAPA_OBRA_707!C48</f>
        <v>0</v>
      </c>
      <c r="D52" s="183"/>
      <c r="E52" s="183"/>
      <c r="F52" s="183"/>
      <c r="G52" s="183"/>
      <c r="H52" s="183"/>
      <c r="I52" s="183"/>
      <c r="J52" s="183"/>
      <c r="K52" s="183"/>
    </row>
    <row r="53" customFormat="false" ht="19.5" hidden="false" customHeight="true" outlineLevel="0" collapsed="false">
      <c r="A53" s="184" t="n">
        <f aca="false">MAPA_OBRA_707!A49</f>
        <v>0</v>
      </c>
      <c r="B53" s="185" t="str">
        <f aca="false">MAPA_OBRA_707!B49</f>
        <v>Betão - Aplicação e Vibração</v>
      </c>
      <c r="C53" s="184" t="str">
        <f aca="false">MAPA_OBRA_707!C49</f>
        <v>m3</v>
      </c>
      <c r="D53" s="186" t="n">
        <f aca="false">MAPA_OBRA_707!D49</f>
        <v>685.93</v>
      </c>
      <c r="E53" s="186" t="n">
        <v>0</v>
      </c>
      <c r="F53" s="187" t="n">
        <v>0</v>
      </c>
      <c r="G53" s="186" t="n">
        <f aca="false">E53+F53</f>
        <v>0</v>
      </c>
      <c r="H53" s="188" t="n">
        <f aca="false">IF(D53&gt;0, G53/D53, 0)</f>
        <v>0</v>
      </c>
      <c r="I53" s="186" t="n">
        <f aca="false">D53-G53</f>
        <v>685.93</v>
      </c>
      <c r="J53" s="189" t="n">
        <v>0</v>
      </c>
      <c r="K53" s="189" t="n">
        <f aca="false">F53*J53</f>
        <v>0</v>
      </c>
    </row>
    <row r="54" customFormat="false" ht="19.5" hidden="false" customHeight="true" outlineLevel="0" collapsed="false">
      <c r="A54" s="184" t="n">
        <f aca="false">MAPA_OBRA_707!A50</f>
        <v>0</v>
      </c>
      <c r="B54" s="185" t="str">
        <f aca="false">MAPA_OBRA_707!B50</f>
        <v>Cofragem - Fornecimento e aplicação</v>
      </c>
      <c r="C54" s="184" t="str">
        <f aca="false">MAPA_OBRA_707!C50</f>
        <v>m2</v>
      </c>
      <c r="D54" s="186" t="n">
        <f aca="false">MAPA_OBRA_707!D50</f>
        <v>5900.33</v>
      </c>
      <c r="E54" s="186" t="n">
        <v>0</v>
      </c>
      <c r="F54" s="187" t="n">
        <v>0</v>
      </c>
      <c r="G54" s="186" t="n">
        <f aca="false">E54+F54</f>
        <v>0</v>
      </c>
      <c r="H54" s="188" t="n">
        <f aca="false">IF(D54&gt;0, G54/D54, 0)</f>
        <v>0</v>
      </c>
      <c r="I54" s="186" t="n">
        <f aca="false">D54-G54</f>
        <v>5900.33</v>
      </c>
      <c r="J54" s="189" t="n">
        <v>0</v>
      </c>
      <c r="K54" s="189" t="n">
        <f aca="false">F54*J54</f>
        <v>0</v>
      </c>
    </row>
    <row r="55" customFormat="false" ht="19.5" hidden="false" customHeight="true" outlineLevel="0" collapsed="false">
      <c r="A55" s="184" t="n">
        <f aca="false">MAPA_OBRA_707!A51</f>
        <v>0</v>
      </c>
      <c r="B55" s="185" t="str">
        <f aca="false">MAPA_OBRA_707!B51</f>
        <v>Aço - Moldagem, Corte e Aplicação</v>
      </c>
      <c r="C55" s="184" t="str">
        <f aca="false">MAPA_OBRA_707!C51</f>
        <v>kg</v>
      </c>
      <c r="D55" s="186" t="n">
        <f aca="false">MAPA_OBRA_707!D51</f>
        <v>162796.88</v>
      </c>
      <c r="E55" s="186" t="n">
        <v>0</v>
      </c>
      <c r="F55" s="187" t="n">
        <v>0</v>
      </c>
      <c r="G55" s="186" t="n">
        <f aca="false">E55+F55</f>
        <v>0</v>
      </c>
      <c r="H55" s="188" t="n">
        <f aca="false">IF(D55&gt;0, G55/D55, 0)</f>
        <v>0</v>
      </c>
      <c r="I55" s="186" t="n">
        <f aca="false">D55-G55</f>
        <v>162796.88</v>
      </c>
      <c r="J55" s="189" t="n">
        <v>0</v>
      </c>
      <c r="K55" s="189" t="n">
        <f aca="false">F55*J55</f>
        <v>0</v>
      </c>
    </row>
    <row r="56" customFormat="false" ht="19.5" hidden="false" customHeight="true" outlineLevel="0" collapsed="false">
      <c r="A56" s="184" t="n">
        <f aca="false">MAPA_OBRA_707!A52</f>
        <v>0</v>
      </c>
      <c r="B56" s="185" t="str">
        <f aca="false">MAPA_OBRA_707!B52</f>
        <v>Aplicação Moldes CBX</v>
      </c>
      <c r="C56" s="184" t="str">
        <f aca="false">MAPA_OBRA_707!C52</f>
        <v>m2</v>
      </c>
      <c r="D56" s="186" t="n">
        <f aca="false">MAPA_OBRA_707!D52</f>
        <v>2723.06</v>
      </c>
      <c r="E56" s="186" t="n">
        <v>0</v>
      </c>
      <c r="F56" s="187" t="n">
        <v>0</v>
      </c>
      <c r="G56" s="186" t="n">
        <f aca="false">E56+F56</f>
        <v>0</v>
      </c>
      <c r="H56" s="188" t="n">
        <f aca="false">IF(D56&gt;0, G56/D56, 0)</f>
        <v>0</v>
      </c>
      <c r="I56" s="186" t="n">
        <f aca="false">D56-G56</f>
        <v>2723.06</v>
      </c>
      <c r="J56" s="189" t="n">
        <v>0</v>
      </c>
      <c r="K56" s="189" t="n">
        <f aca="false">F56*J56</f>
        <v>0</v>
      </c>
    </row>
    <row r="57" customFormat="false" ht="49.5" hidden="false" customHeight="true" outlineLevel="0" collapsed="false">
      <c r="A57" s="181" t="str">
        <f aca="false">MAPA_OBRA_707!A53</f>
        <v>4.3.2</v>
      </c>
      <c r="B57" s="182"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57" s="181" t="n">
        <f aca="false">MAPA_OBRA_707!C53</f>
        <v>0</v>
      </c>
      <c r="D57" s="183"/>
      <c r="E57" s="183"/>
      <c r="F57" s="183"/>
      <c r="G57" s="183"/>
      <c r="H57" s="183"/>
      <c r="I57" s="183"/>
      <c r="J57" s="183"/>
      <c r="K57" s="183"/>
    </row>
    <row r="58" customFormat="false" ht="36" hidden="false" customHeight="true" outlineLevel="0" collapsed="false">
      <c r="A58" s="181" t="str">
        <f aca="false">MAPA_OBRA_707!A54</f>
        <v>4.3.1</v>
      </c>
      <c r="B58" s="182" t="str">
        <f aca="false">MAPA_OBRA_707!B54</f>
        <v>Laje de Fundo de Piscina do Piso 0 / Pool Bottom Slab of Leve 0</v>
      </c>
      <c r="C58" s="181" t="n">
        <f aca="false">MAPA_OBRA_707!C54</f>
        <v>0</v>
      </c>
      <c r="D58" s="183"/>
      <c r="E58" s="183"/>
      <c r="F58" s="183"/>
      <c r="G58" s="183"/>
      <c r="H58" s="183"/>
      <c r="I58" s="183"/>
      <c r="J58" s="183"/>
      <c r="K58" s="183"/>
    </row>
    <row r="59" customFormat="false" ht="19.5" hidden="false" customHeight="true" outlineLevel="0" collapsed="false">
      <c r="A59" s="184" t="n">
        <f aca="false">MAPA_OBRA_707!A55</f>
        <v>0</v>
      </c>
      <c r="B59" s="185" t="str">
        <f aca="false">MAPA_OBRA_707!B55</f>
        <v>Betão - Aplicação e Vibração</v>
      </c>
      <c r="C59" s="184" t="str">
        <f aca="false">MAPA_OBRA_707!C55</f>
        <v>m3</v>
      </c>
      <c r="D59" s="186" t="n">
        <f aca="false">MAPA_OBRA_707!D55</f>
        <v>187.85</v>
      </c>
      <c r="E59" s="186" t="n">
        <v>0</v>
      </c>
      <c r="F59" s="187" t="n">
        <v>0</v>
      </c>
      <c r="G59" s="186" t="n">
        <f aca="false">E59+F59</f>
        <v>0</v>
      </c>
      <c r="H59" s="188" t="n">
        <f aca="false">IF(D59&gt;0, G59/D59, 0)</f>
        <v>0</v>
      </c>
      <c r="I59" s="186" t="n">
        <f aca="false">D59-G59</f>
        <v>187.85</v>
      </c>
      <c r="J59" s="189" t="n">
        <v>0</v>
      </c>
      <c r="K59" s="189" t="n">
        <f aca="false">F59*J59</f>
        <v>0</v>
      </c>
    </row>
    <row r="60" customFormat="false" ht="19.5" hidden="false" customHeight="true" outlineLevel="0" collapsed="false">
      <c r="A60" s="184" t="n">
        <f aca="false">MAPA_OBRA_707!A56</f>
        <v>0</v>
      </c>
      <c r="B60" s="185" t="str">
        <f aca="false">MAPA_OBRA_707!B56</f>
        <v>Cofragem - Fornecimento e aplicação</v>
      </c>
      <c r="C60" s="184" t="str">
        <f aca="false">MAPA_OBRA_707!C56</f>
        <v>m2</v>
      </c>
      <c r="D60" s="186" t="n">
        <f aca="false">MAPA_OBRA_707!D56</f>
        <v>469.62</v>
      </c>
      <c r="E60" s="186" t="n">
        <v>0</v>
      </c>
      <c r="F60" s="187" t="n">
        <v>0</v>
      </c>
      <c r="G60" s="186" t="n">
        <f aca="false">E60+F60</f>
        <v>0</v>
      </c>
      <c r="H60" s="188" t="n">
        <f aca="false">IF(D60&gt;0, G60/D60, 0)</f>
        <v>0</v>
      </c>
      <c r="I60" s="186" t="n">
        <f aca="false">D60-G60</f>
        <v>469.62</v>
      </c>
      <c r="J60" s="189" t="n">
        <v>0</v>
      </c>
      <c r="K60" s="189" t="n">
        <f aca="false">F60*J60</f>
        <v>0</v>
      </c>
    </row>
    <row r="61" customFormat="false" ht="19.5" hidden="false" customHeight="true" outlineLevel="0" collapsed="false">
      <c r="A61" s="184" t="n">
        <f aca="false">MAPA_OBRA_707!A57</f>
        <v>0</v>
      </c>
      <c r="B61" s="185" t="str">
        <f aca="false">MAPA_OBRA_707!B57</f>
        <v>Aço - Moldagem, Corte e Aplicação</v>
      </c>
      <c r="C61" s="184" t="str">
        <f aca="false">MAPA_OBRA_707!C57</f>
        <v>kg</v>
      </c>
      <c r="D61" s="186" t="n">
        <f aca="false">MAPA_OBRA_707!D57</f>
        <v>23762.77</v>
      </c>
      <c r="E61" s="186" t="n">
        <v>0</v>
      </c>
      <c r="F61" s="187" t="n">
        <v>0</v>
      </c>
      <c r="G61" s="186" t="n">
        <f aca="false">E61+F61</f>
        <v>0</v>
      </c>
      <c r="H61" s="188" t="n">
        <f aca="false">IF(D61&gt;0, G61/D61, 0)</f>
        <v>0</v>
      </c>
      <c r="I61" s="186" t="n">
        <f aca="false">D61-G61</f>
        <v>23762.77</v>
      </c>
      <c r="J61" s="189" t="n">
        <v>0</v>
      </c>
      <c r="K61" s="189" t="n">
        <f aca="false">F61*J61</f>
        <v>0</v>
      </c>
    </row>
    <row r="62" customFormat="false" ht="19.5" hidden="false" customHeight="true" outlineLevel="0" collapsed="false">
      <c r="A62" s="181" t="str">
        <f aca="false">MAPA_OBRA_707!A58</f>
        <v>4.3.2</v>
      </c>
      <c r="B62" s="182" t="str">
        <f aca="false">MAPA_OBRA_707!B58</f>
        <v>Parede de Piscina do Piso 0 / Pool Walls at Level 0</v>
      </c>
      <c r="C62" s="181" t="n">
        <f aca="false">MAPA_OBRA_707!C58</f>
        <v>0</v>
      </c>
      <c r="D62" s="183"/>
      <c r="E62" s="183"/>
      <c r="F62" s="183"/>
      <c r="G62" s="183"/>
      <c r="H62" s="183"/>
      <c r="I62" s="183"/>
      <c r="J62" s="183"/>
      <c r="K62" s="183"/>
    </row>
    <row r="63" customFormat="false" ht="19.5" hidden="false" customHeight="true" outlineLevel="0" collapsed="false">
      <c r="A63" s="184" t="n">
        <f aca="false">MAPA_OBRA_707!A59</f>
        <v>0</v>
      </c>
      <c r="B63" s="185" t="str">
        <f aca="false">MAPA_OBRA_707!B59</f>
        <v>Betão - Aplicação e Vibração</v>
      </c>
      <c r="C63" s="184" t="str">
        <f aca="false">MAPA_OBRA_707!C59</f>
        <v>m3</v>
      </c>
      <c r="D63" s="186" t="n">
        <f aca="false">MAPA_OBRA_707!D59</f>
        <v>215.23</v>
      </c>
      <c r="E63" s="186" t="n">
        <v>0</v>
      </c>
      <c r="F63" s="187" t="n">
        <v>0</v>
      </c>
      <c r="G63" s="186" t="n">
        <f aca="false">E63+F63</f>
        <v>0</v>
      </c>
      <c r="H63" s="188" t="n">
        <f aca="false">IF(D63&gt;0, G63/D63, 0)</f>
        <v>0</v>
      </c>
      <c r="I63" s="186" t="n">
        <f aca="false">D63-G63</f>
        <v>215.23</v>
      </c>
      <c r="J63" s="189" t="n">
        <v>0</v>
      </c>
      <c r="K63" s="189" t="n">
        <f aca="false">F63*J63</f>
        <v>0</v>
      </c>
    </row>
    <row r="64" customFormat="false" ht="19.5" hidden="false" customHeight="true" outlineLevel="0" collapsed="false">
      <c r="A64" s="184" t="n">
        <f aca="false">MAPA_OBRA_707!A60</f>
        <v>0</v>
      </c>
      <c r="B64" s="185" t="str">
        <f aca="false">MAPA_OBRA_707!B60</f>
        <v>Cofragem - Fornecimento e aplicação</v>
      </c>
      <c r="C64" s="184" t="str">
        <f aca="false">MAPA_OBRA_707!C60</f>
        <v>m2</v>
      </c>
      <c r="D64" s="186" t="n">
        <f aca="false">MAPA_OBRA_707!D60</f>
        <v>2152.3</v>
      </c>
      <c r="E64" s="186" t="n">
        <v>0</v>
      </c>
      <c r="F64" s="187" t="n">
        <v>0</v>
      </c>
      <c r="G64" s="186" t="n">
        <f aca="false">E64+F64</f>
        <v>0</v>
      </c>
      <c r="H64" s="188" t="n">
        <f aca="false">IF(D64&gt;0, G64/D64, 0)</f>
        <v>0</v>
      </c>
      <c r="I64" s="186" t="n">
        <f aca="false">D64-G64</f>
        <v>2152.3</v>
      </c>
      <c r="J64" s="189" t="n">
        <v>0</v>
      </c>
      <c r="K64" s="189" t="n">
        <f aca="false">F64*J64</f>
        <v>0</v>
      </c>
    </row>
    <row r="65" customFormat="false" ht="19.5" hidden="false" customHeight="true" outlineLevel="0" collapsed="false">
      <c r="A65" s="184" t="n">
        <f aca="false">MAPA_OBRA_707!A61</f>
        <v>0</v>
      </c>
      <c r="B65" s="185" t="str">
        <f aca="false">MAPA_OBRA_707!B61</f>
        <v>Aço - Moldagem, Corte e Aplicação</v>
      </c>
      <c r="C65" s="184" t="str">
        <f aca="false">MAPA_OBRA_707!C61</f>
        <v>kg</v>
      </c>
      <c r="D65" s="186" t="n">
        <f aca="false">MAPA_OBRA_707!D61</f>
        <v>35956.43</v>
      </c>
      <c r="E65" s="186" t="n">
        <v>0</v>
      </c>
      <c r="F65" s="187" t="n">
        <v>0</v>
      </c>
      <c r="G65" s="186" t="n">
        <f aca="false">E65+F65</f>
        <v>0</v>
      </c>
      <c r="H65" s="188" t="n">
        <f aca="false">IF(D65&gt;0, G65/D65, 0)</f>
        <v>0</v>
      </c>
      <c r="I65" s="186" t="n">
        <f aca="false">D65-G65</f>
        <v>35956.43</v>
      </c>
      <c r="J65" s="189" t="n">
        <v>0</v>
      </c>
      <c r="K65" s="189" t="n">
        <f aca="false">F65*J65</f>
        <v>0</v>
      </c>
    </row>
    <row r="66" customFormat="false" ht="19.5" hidden="false" customHeight="true" outlineLevel="0" collapsed="false">
      <c r="A66" s="181" t="str">
        <f aca="false">MAPA_OBRA_707!A62</f>
        <v>4.3.3</v>
      </c>
      <c r="B66" s="182" t="str">
        <f aca="false">MAPA_OBRA_707!B62</f>
        <v>Paredes da Piscina da Cobertura</v>
      </c>
      <c r="C66" s="181" t="n">
        <f aca="false">MAPA_OBRA_707!C62</f>
        <v>0</v>
      </c>
      <c r="D66" s="183"/>
      <c r="E66" s="183"/>
      <c r="F66" s="183"/>
      <c r="G66" s="183"/>
      <c r="H66" s="183"/>
      <c r="I66" s="183"/>
      <c r="J66" s="183"/>
      <c r="K66" s="183"/>
    </row>
    <row r="67" customFormat="false" ht="19.5" hidden="false" customHeight="true" outlineLevel="0" collapsed="false">
      <c r="A67" s="184" t="n">
        <f aca="false">MAPA_OBRA_707!A63</f>
        <v>0</v>
      </c>
      <c r="B67" s="185" t="str">
        <f aca="false">MAPA_OBRA_707!B63</f>
        <v>Betão - Aplicação e Vibração</v>
      </c>
      <c r="C67" s="184" t="str">
        <f aca="false">MAPA_OBRA_707!C63</f>
        <v>m3</v>
      </c>
      <c r="D67" s="186" t="n">
        <f aca="false">MAPA_OBRA_707!D63</f>
        <v>29.76</v>
      </c>
      <c r="E67" s="186" t="n">
        <v>0</v>
      </c>
      <c r="F67" s="187" t="n">
        <v>0</v>
      </c>
      <c r="G67" s="186" t="n">
        <f aca="false">E67+F67</f>
        <v>0</v>
      </c>
      <c r="H67" s="188" t="n">
        <f aca="false">IF(D67&gt;0, G67/D67, 0)</f>
        <v>0</v>
      </c>
      <c r="I67" s="186" t="n">
        <f aca="false">D67-G67</f>
        <v>29.76</v>
      </c>
      <c r="J67" s="189" t="n">
        <v>0</v>
      </c>
      <c r="K67" s="189" t="n">
        <f aca="false">F67*J67</f>
        <v>0</v>
      </c>
    </row>
    <row r="68" customFormat="false" ht="19.5" hidden="false" customHeight="true" outlineLevel="0" collapsed="false">
      <c r="A68" s="184" t="n">
        <f aca="false">MAPA_OBRA_707!A64</f>
        <v>0</v>
      </c>
      <c r="B68" s="185" t="str">
        <f aca="false">MAPA_OBRA_707!B64</f>
        <v>Cofragem - Fornecimento e aplicação</v>
      </c>
      <c r="C68" s="184" t="str">
        <f aca="false">MAPA_OBRA_707!C64</f>
        <v>m2</v>
      </c>
      <c r="D68" s="186" t="n">
        <f aca="false">MAPA_OBRA_707!D64</f>
        <v>267.84</v>
      </c>
      <c r="E68" s="186" t="n">
        <v>0</v>
      </c>
      <c r="F68" s="187" t="n">
        <v>0</v>
      </c>
      <c r="G68" s="186" t="n">
        <f aca="false">E68+F68</f>
        <v>0</v>
      </c>
      <c r="H68" s="188" t="n">
        <f aca="false">IF(D68&gt;0, G68/D68, 0)</f>
        <v>0</v>
      </c>
      <c r="I68" s="186" t="n">
        <f aca="false">D68-G68</f>
        <v>267.84</v>
      </c>
      <c r="J68" s="189" t="n">
        <v>0</v>
      </c>
      <c r="K68" s="189" t="n">
        <f aca="false">F68*J68</f>
        <v>0</v>
      </c>
    </row>
    <row r="69" customFormat="false" ht="19.5" hidden="false" customHeight="true" outlineLevel="0" collapsed="false">
      <c r="A69" s="184" t="n">
        <f aca="false">MAPA_OBRA_707!A65</f>
        <v>0</v>
      </c>
      <c r="B69" s="185" t="str">
        <f aca="false">MAPA_OBRA_707!B65</f>
        <v>Aço - Moldagem, Corte e Aplicação</v>
      </c>
      <c r="C69" s="184" t="str">
        <f aca="false">MAPA_OBRA_707!C65</f>
        <v>kg</v>
      </c>
      <c r="D69" s="186" t="n">
        <f aca="false">MAPA_OBRA_707!D65</f>
        <v>4791.36</v>
      </c>
      <c r="E69" s="186" t="n">
        <v>0</v>
      </c>
      <c r="F69" s="187" t="n">
        <v>0</v>
      </c>
      <c r="G69" s="186" t="n">
        <f aca="false">E69+F69</f>
        <v>0</v>
      </c>
      <c r="H69" s="188" t="n">
        <f aca="false">IF(D69&gt;0, G69/D69, 0)</f>
        <v>0</v>
      </c>
      <c r="I69" s="186" t="n">
        <f aca="false">D69-G69</f>
        <v>4791.36</v>
      </c>
      <c r="J69" s="189" t="n">
        <v>0</v>
      </c>
      <c r="K69" s="189" t="n">
        <f aca="false">F69*J69</f>
        <v>0</v>
      </c>
    </row>
    <row r="70" customFormat="false" ht="19.5" hidden="false" customHeight="true" outlineLevel="0" collapsed="false">
      <c r="A70" s="181" t="str">
        <f aca="false">MAPA_OBRA_707!A66</f>
        <v>4.4</v>
      </c>
      <c r="B70" s="182" t="str">
        <f aca="false">MAPA_OBRA_707!B66</f>
        <v>Pavimento Térreos / Ground Floors</v>
      </c>
      <c r="C70" s="181" t="n">
        <f aca="false">MAPA_OBRA_707!C66</f>
        <v>0</v>
      </c>
      <c r="D70" s="183"/>
      <c r="E70" s="183"/>
      <c r="F70" s="183"/>
      <c r="G70" s="183"/>
      <c r="H70" s="183"/>
      <c r="I70" s="183"/>
      <c r="J70" s="183"/>
      <c r="K70" s="183"/>
    </row>
    <row r="71" customFormat="false" ht="19.5" hidden="false" customHeight="true" outlineLevel="0" collapsed="false">
      <c r="A71" s="181" t="str">
        <f aca="false">MAPA_OBRA_707!A67</f>
        <v>4.4.1</v>
      </c>
      <c r="B71" s="182" t="str">
        <f aca="false">MAPA_OBRA_707!B67</f>
        <v>Piso da Cave / Basement Level</v>
      </c>
      <c r="C71" s="181" t="n">
        <f aca="false">MAPA_OBRA_707!C67</f>
        <v>0</v>
      </c>
      <c r="D71" s="183"/>
      <c r="E71" s="183"/>
      <c r="F71" s="183"/>
      <c r="G71" s="183"/>
      <c r="H71" s="183"/>
      <c r="I71" s="183"/>
      <c r="J71" s="183"/>
      <c r="K71" s="183"/>
    </row>
    <row r="72" customFormat="false" ht="49.5" hidden="false" customHeight="true" outlineLevel="0" collapsed="false">
      <c r="A72" s="181" t="str">
        <f aca="false">MAPA_OBRA_707!A68</f>
        <v>4.4.1.1</v>
      </c>
      <c r="B72" s="182"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72" s="181" t="n">
        <f aca="false">MAPA_OBRA_707!C68</f>
        <v>0</v>
      </c>
      <c r="D72" s="183"/>
      <c r="E72" s="183"/>
      <c r="F72" s="183"/>
      <c r="G72" s="183"/>
      <c r="H72" s="183"/>
      <c r="I72" s="183"/>
      <c r="J72" s="183"/>
      <c r="K72" s="183"/>
    </row>
    <row r="73" customFormat="false" ht="19.5" hidden="false" customHeight="true" outlineLevel="0" collapsed="false">
      <c r="A73" s="184" t="str">
        <f aca="false">MAPA_OBRA_707!A69</f>
        <v>4.1.1.1</v>
      </c>
      <c r="B73" s="185" t="str">
        <f aca="false">MAPA_OBRA_707!B69</f>
        <v>Betão de Limpeza / Cleaning concrete</v>
      </c>
      <c r="C73" s="184" t="str">
        <f aca="false">MAPA_OBRA_707!C69</f>
        <v>m3</v>
      </c>
      <c r="D73" s="186" t="n">
        <f aca="false">MAPA_OBRA_707!D69</f>
        <v>108.75</v>
      </c>
      <c r="E73" s="186" t="n">
        <v>0</v>
      </c>
      <c r="F73" s="187" t="n">
        <v>0</v>
      </c>
      <c r="G73" s="186" t="n">
        <f aca="false">E73+F73</f>
        <v>0</v>
      </c>
      <c r="H73" s="188" t="n">
        <f aca="false">IF(D73&gt;0, G73/D73, 0)</f>
        <v>0</v>
      </c>
      <c r="I73" s="186" t="n">
        <f aca="false">D73-G73</f>
        <v>108.75</v>
      </c>
      <c r="J73" s="189" t="n">
        <v>0</v>
      </c>
      <c r="K73" s="189" t="n">
        <f aca="false">F73*J73</f>
        <v>0</v>
      </c>
    </row>
    <row r="74" customFormat="false" ht="19.5" hidden="false" customHeight="true" outlineLevel="0" collapsed="false">
      <c r="A74" s="184" t="str">
        <f aca="false">MAPA_OBRA_707!A70</f>
        <v>4.1.1.2</v>
      </c>
      <c r="B74" s="185" t="str">
        <f aca="false">MAPA_OBRA_707!B70</f>
        <v>Cupolex 20</v>
      </c>
      <c r="C74" s="184" t="str">
        <f aca="false">MAPA_OBRA_707!C70</f>
        <v>m2</v>
      </c>
      <c r="D74" s="186" t="n">
        <f aca="false">MAPA_OBRA_707!D70</f>
        <v>2175</v>
      </c>
      <c r="E74" s="186" t="n">
        <v>0</v>
      </c>
      <c r="F74" s="187" t="n">
        <v>0</v>
      </c>
      <c r="G74" s="186" t="n">
        <f aca="false">E74+F74</f>
        <v>0</v>
      </c>
      <c r="H74" s="188" t="n">
        <f aca="false">IF(D74&gt;0, G74/D74, 0)</f>
        <v>0</v>
      </c>
      <c r="I74" s="186" t="n">
        <f aca="false">D74-G74</f>
        <v>2175</v>
      </c>
      <c r="J74" s="189" t="n">
        <v>0</v>
      </c>
      <c r="K74" s="189" t="n">
        <f aca="false">F74*J74</f>
        <v>0</v>
      </c>
    </row>
    <row r="75" customFormat="false" ht="19.5" hidden="false" customHeight="true" outlineLevel="0" collapsed="false">
      <c r="A75" s="184" t="str">
        <f aca="false">MAPA_OBRA_707!A71</f>
        <v>4.1.1.3</v>
      </c>
      <c r="B75" s="185" t="str">
        <f aca="false">MAPA_OBRA_707!B71</f>
        <v>Lâmina de compressão em betão C20/25 XC2 C0,40 D22 S3</v>
      </c>
      <c r="C75" s="184" t="str">
        <f aca="false">MAPA_OBRA_707!C71</f>
        <v>m3</v>
      </c>
      <c r="D75" s="186" t="n">
        <f aca="false">MAPA_OBRA_707!D71</f>
        <v>108.75</v>
      </c>
      <c r="E75" s="186" t="n">
        <v>0</v>
      </c>
      <c r="F75" s="187" t="n">
        <v>0</v>
      </c>
      <c r="G75" s="186" t="n">
        <f aca="false">E75+F75</f>
        <v>0</v>
      </c>
      <c r="H75" s="188" t="n">
        <f aca="false">IF(D75&gt;0, G75/D75, 0)</f>
        <v>0</v>
      </c>
      <c r="I75" s="186" t="n">
        <f aca="false">D75-G75</f>
        <v>108.75</v>
      </c>
      <c r="J75" s="189" t="n">
        <v>0</v>
      </c>
      <c r="K75" s="189" t="n">
        <f aca="false">F75*J75</f>
        <v>0</v>
      </c>
    </row>
    <row r="76" customFormat="false" ht="19.5" hidden="false" customHeight="true" outlineLevel="0" collapsed="false">
      <c r="A76" s="184" t="str">
        <f aca="false">MAPA_OBRA_707!A72</f>
        <v>4.1.1.4</v>
      </c>
      <c r="B76" s="185" t="str">
        <f aca="false">MAPA_OBRA_707!B72</f>
        <v>Malhasol A500 AQ50</v>
      </c>
      <c r="C76" s="184" t="str">
        <f aca="false">MAPA_OBRA_707!C72</f>
        <v>m2</v>
      </c>
      <c r="D76" s="186" t="n">
        <f aca="false">MAPA_OBRA_707!D72</f>
        <v>2175</v>
      </c>
      <c r="E76" s="186" t="n">
        <v>0</v>
      </c>
      <c r="F76" s="187" t="n">
        <v>0</v>
      </c>
      <c r="G76" s="186" t="n">
        <f aca="false">E76+F76</f>
        <v>0</v>
      </c>
      <c r="H76" s="188" t="n">
        <f aca="false">IF(D76&gt;0, G76/D76, 0)</f>
        <v>0</v>
      </c>
      <c r="I76" s="186" t="n">
        <f aca="false">D76-G76</f>
        <v>2175</v>
      </c>
      <c r="J76" s="189" t="n">
        <v>0</v>
      </c>
      <c r="K76" s="189" t="n">
        <f aca="false">F76*J76</f>
        <v>0</v>
      </c>
    </row>
    <row r="77" customFormat="false" ht="15" hidden="false" customHeight="false" outlineLevel="0" collapsed="false">
      <c r="A77" s="190" t="s">
        <v>221</v>
      </c>
      <c r="B77" s="190"/>
      <c r="C77" s="190"/>
      <c r="D77" s="191"/>
      <c r="E77" s="191"/>
      <c r="F77" s="191"/>
      <c r="G77" s="191"/>
      <c r="H77" s="191"/>
      <c r="I77" s="191"/>
      <c r="J77" s="191"/>
      <c r="K77" s="192" t="n">
        <f aca="false">SUM(K6:K76)</f>
        <v>0</v>
      </c>
    </row>
  </sheetData>
  <mergeCells count="2">
    <mergeCell ref="A1:K1"/>
    <mergeCell ref="A77:C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77" t="s">
        <v>460</v>
      </c>
      <c r="B1" s="177"/>
      <c r="C1" s="177"/>
      <c r="D1" s="177"/>
      <c r="E1" s="177"/>
      <c r="F1" s="177"/>
      <c r="G1" s="177"/>
      <c r="H1" s="177"/>
      <c r="I1" s="177"/>
      <c r="J1" s="177"/>
      <c r="K1" s="177"/>
    </row>
    <row r="2" customFormat="false" ht="15" hidden="false" customHeight="false" outlineLevel="0" collapsed="false">
      <c r="A2" s="178" t="s">
        <v>440</v>
      </c>
      <c r="B2" s="0" t="s">
        <v>441</v>
      </c>
      <c r="D2" s="178" t="s">
        <v>442</v>
      </c>
      <c r="E2" s="0" t="s">
        <v>461</v>
      </c>
      <c r="H2" s="178" t="s">
        <v>444</v>
      </c>
      <c r="I2" s="0" t="s">
        <v>445</v>
      </c>
    </row>
    <row r="3" customFormat="false" ht="15" hidden="false" customHeight="false" outlineLevel="0" collapsed="false">
      <c r="A3" s="178" t="s">
        <v>446</v>
      </c>
      <c r="B3" s="0" t="s">
        <v>447</v>
      </c>
      <c r="D3" s="178" t="s">
        <v>448</v>
      </c>
      <c r="E3" s="0" t="s">
        <v>462</v>
      </c>
      <c r="H3" s="178" t="s">
        <v>450</v>
      </c>
      <c r="I3" s="0" t="s">
        <v>451</v>
      </c>
    </row>
    <row r="5" customFormat="false" ht="24.75" hidden="false" customHeight="true" outlineLevel="0" collapsed="false">
      <c r="A5" s="179" t="s">
        <v>0</v>
      </c>
      <c r="B5" s="179" t="s">
        <v>1</v>
      </c>
      <c r="C5" s="179" t="s">
        <v>2</v>
      </c>
      <c r="D5" s="179" t="s">
        <v>452</v>
      </c>
      <c r="E5" s="180" t="s">
        <v>453</v>
      </c>
      <c r="F5" s="180" t="s">
        <v>454</v>
      </c>
      <c r="G5" s="180" t="s">
        <v>455</v>
      </c>
      <c r="H5" s="180" t="s">
        <v>456</v>
      </c>
      <c r="I5" s="180" t="s">
        <v>457</v>
      </c>
      <c r="J5" s="180" t="s">
        <v>458</v>
      </c>
      <c r="K5" s="180" t="s">
        <v>459</v>
      </c>
    </row>
    <row r="6" customFormat="false" ht="19.5" hidden="false" customHeight="true" outlineLevel="0" collapsed="false">
      <c r="A6" s="181" t="str">
        <f aca="false">MAPA_OBRA_707!A2</f>
        <v>4.1</v>
      </c>
      <c r="B6" s="182" t="str">
        <f aca="false">MAPA_OBRA_707!B2</f>
        <v>Betão de Limpeza / Cleaning concrete</v>
      </c>
      <c r="C6" s="181" t="n">
        <f aca="false">MAPA_OBRA_707!C2</f>
        <v>0</v>
      </c>
      <c r="D6" s="183"/>
      <c r="E6" s="183"/>
      <c r="F6" s="183"/>
      <c r="G6" s="183"/>
      <c r="H6" s="183"/>
      <c r="I6" s="183"/>
      <c r="J6" s="183"/>
      <c r="K6" s="183"/>
    </row>
    <row r="7" customFormat="false" ht="19.5" hidden="false" customHeight="true" outlineLevel="0" collapsed="false">
      <c r="A7" s="181" t="str">
        <f aca="false">MAPA_OBRA_707!A4</f>
        <v>4.2</v>
      </c>
      <c r="B7" s="182" t="str">
        <f aca="false">MAPA_OBRA_707!B4</f>
        <v>Fundações / Foundations</v>
      </c>
      <c r="C7" s="181" t="n">
        <f aca="false">MAPA_OBRA_707!C4</f>
        <v>0</v>
      </c>
      <c r="D7" s="183"/>
      <c r="E7" s="183"/>
      <c r="F7" s="183"/>
      <c r="G7" s="183"/>
      <c r="H7" s="183"/>
      <c r="I7" s="183"/>
      <c r="J7" s="183"/>
      <c r="K7" s="183"/>
    </row>
    <row r="8" customFormat="false" ht="49.5" hidden="false" customHeight="true" outlineLevel="0" collapsed="false">
      <c r="A8" s="181" t="str">
        <f aca="false">MAPA_OBRA_707!A5</f>
        <v>4.2.1</v>
      </c>
      <c r="B8" s="182"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8" s="181" t="n">
        <f aca="false">MAPA_OBRA_707!C5</f>
        <v>0</v>
      </c>
      <c r="D8" s="183"/>
      <c r="E8" s="183"/>
      <c r="F8" s="183"/>
      <c r="G8" s="183"/>
      <c r="H8" s="183"/>
      <c r="I8" s="183"/>
      <c r="J8" s="183"/>
      <c r="K8" s="183"/>
    </row>
    <row r="9" customFormat="false" ht="19.5" hidden="false" customHeight="true" outlineLevel="0" collapsed="false">
      <c r="A9" s="181" t="str">
        <f aca="false">MAPA_OBRA_707!A6</f>
        <v>4.2.1.1</v>
      </c>
      <c r="B9" s="182" t="str">
        <f aca="false">MAPA_OBRA_707!B6</f>
        <v>Sapatas Isoladas / Isolated Foundations (90 kg/m3)</v>
      </c>
      <c r="C9" s="181" t="n">
        <f aca="false">MAPA_OBRA_707!C6</f>
        <v>0</v>
      </c>
      <c r="D9" s="183"/>
      <c r="E9" s="183"/>
      <c r="F9" s="183"/>
      <c r="G9" s="183"/>
      <c r="H9" s="183"/>
      <c r="I9" s="183"/>
      <c r="J9" s="183"/>
      <c r="K9" s="183"/>
    </row>
    <row r="10" customFormat="false" ht="19.5" hidden="false" customHeight="true" outlineLevel="0" collapsed="false">
      <c r="A10" s="184" t="n">
        <f aca="false">MAPA_OBRA_707!A8</f>
        <v>0</v>
      </c>
      <c r="B10" s="185" t="str">
        <f aca="false">MAPA_OBRA_707!B8</f>
        <v>Cofragem - Fornecimento e aplicação</v>
      </c>
      <c r="C10" s="184" t="str">
        <f aca="false">MAPA_OBRA_707!C8</f>
        <v>m2</v>
      </c>
      <c r="D10" s="186" t="n">
        <f aca="false">MAPA_OBRA_707!D8</f>
        <v>409.68</v>
      </c>
      <c r="E10" s="186" t="n">
        <v>0</v>
      </c>
      <c r="F10" s="187" t="n">
        <v>0</v>
      </c>
      <c r="G10" s="186" t="n">
        <f aca="false">E10+F10</f>
        <v>0</v>
      </c>
      <c r="H10" s="188" t="n">
        <f aca="false">IF(D10&gt;0, G10/D10, 0)</f>
        <v>0</v>
      </c>
      <c r="I10" s="186" t="n">
        <f aca="false">D10-G10</f>
        <v>409.68</v>
      </c>
      <c r="J10" s="189" t="n">
        <v>0</v>
      </c>
      <c r="K10" s="189" t="n">
        <f aca="false">F10*J10</f>
        <v>0</v>
      </c>
    </row>
    <row r="11" customFormat="false" ht="19.5" hidden="false" customHeight="true" outlineLevel="0" collapsed="false">
      <c r="A11" s="181" t="str">
        <f aca="false">MAPA_OBRA_707!A10</f>
        <v>4.2.1.2</v>
      </c>
      <c r="B11" s="182" t="str">
        <f aca="false">MAPA_OBRA_707!B10</f>
        <v>Sapatas Contínuas / Continuous Foundations (110 kg/m3)</v>
      </c>
      <c r="C11" s="181" t="n">
        <f aca="false">MAPA_OBRA_707!C10</f>
        <v>0</v>
      </c>
      <c r="D11" s="183"/>
      <c r="E11" s="183"/>
      <c r="F11" s="183"/>
      <c r="G11" s="183"/>
      <c r="H11" s="183"/>
      <c r="I11" s="183"/>
      <c r="J11" s="183"/>
      <c r="K11" s="183"/>
    </row>
    <row r="12" customFormat="false" ht="19.5" hidden="false" customHeight="true" outlineLevel="0" collapsed="false">
      <c r="A12" s="184" t="n">
        <f aca="false">MAPA_OBRA_707!A12</f>
        <v>0</v>
      </c>
      <c r="B12" s="185" t="str">
        <f aca="false">MAPA_OBRA_707!B12</f>
        <v>Cofragem - Fornecimento e aplicação</v>
      </c>
      <c r="C12" s="184" t="str">
        <f aca="false">MAPA_OBRA_707!C12</f>
        <v>m2</v>
      </c>
      <c r="D12" s="186" t="n">
        <f aca="false">MAPA_OBRA_707!D12</f>
        <v>388.83</v>
      </c>
      <c r="E12" s="186" t="n">
        <v>0</v>
      </c>
      <c r="F12" s="187" t="n">
        <v>0</v>
      </c>
      <c r="G12" s="186" t="n">
        <f aca="false">E12+F12</f>
        <v>0</v>
      </c>
      <c r="H12" s="188" t="n">
        <f aca="false">IF(D12&gt;0, G12/D12, 0)</f>
        <v>0</v>
      </c>
      <c r="I12" s="186" t="n">
        <f aca="false">D12-G12</f>
        <v>388.83</v>
      </c>
      <c r="J12" s="189" t="n">
        <v>0</v>
      </c>
      <c r="K12" s="189" t="n">
        <f aca="false">F12*J12</f>
        <v>0</v>
      </c>
    </row>
    <row r="13" customFormat="false" ht="19.5" hidden="false" customHeight="true" outlineLevel="0" collapsed="false">
      <c r="A13" s="181" t="str">
        <f aca="false">MAPA_OBRA_707!A14</f>
        <v>4.2.1.3</v>
      </c>
      <c r="B13" s="182" t="str">
        <f aca="false">MAPA_OBRA_707!B14</f>
        <v>Vigas de Fundação / Beams of Foundations (115 kg/m3)</v>
      </c>
      <c r="C13" s="181" t="n">
        <f aca="false">MAPA_OBRA_707!C14</f>
        <v>0</v>
      </c>
      <c r="D13" s="183"/>
      <c r="E13" s="183"/>
      <c r="F13" s="183"/>
      <c r="G13" s="183"/>
      <c r="H13" s="183"/>
      <c r="I13" s="183"/>
      <c r="J13" s="183"/>
      <c r="K13" s="183"/>
    </row>
    <row r="14" customFormat="false" ht="19.5" hidden="false" customHeight="true" outlineLevel="0" collapsed="false">
      <c r="A14" s="184" t="n">
        <f aca="false">MAPA_OBRA_707!A16</f>
        <v>0</v>
      </c>
      <c r="B14" s="185" t="str">
        <f aca="false">MAPA_OBRA_707!B16</f>
        <v>Cofragem - Fornecimento e aplicação</v>
      </c>
      <c r="C14" s="184" t="str">
        <f aca="false">MAPA_OBRA_707!C16</f>
        <v>m2</v>
      </c>
      <c r="D14" s="186" t="n">
        <f aca="false">MAPA_OBRA_707!D16</f>
        <v>688.74</v>
      </c>
      <c r="E14" s="186" t="n">
        <v>0</v>
      </c>
      <c r="F14" s="187" t="n">
        <v>0</v>
      </c>
      <c r="G14" s="186" t="n">
        <f aca="false">E14+F14</f>
        <v>0</v>
      </c>
      <c r="H14" s="188" t="n">
        <f aca="false">IF(D14&gt;0, G14/D14, 0)</f>
        <v>0</v>
      </c>
      <c r="I14" s="186" t="n">
        <f aca="false">D14-G14</f>
        <v>688.74</v>
      </c>
      <c r="J14" s="189" t="n">
        <v>0</v>
      </c>
      <c r="K14" s="189" t="n">
        <f aca="false">F14*J14</f>
        <v>0</v>
      </c>
    </row>
    <row r="15" customFormat="false" ht="19.5" hidden="false" customHeight="true" outlineLevel="0" collapsed="false">
      <c r="A15" s="181" t="str">
        <f aca="false">MAPA_OBRA_707!A18</f>
        <v>4.3</v>
      </c>
      <c r="B15" s="182" t="str">
        <f aca="false">MAPA_OBRA_707!B18</f>
        <v>Superestrutura / Superstructure</v>
      </c>
      <c r="C15" s="181" t="n">
        <f aca="false">MAPA_OBRA_707!C18</f>
        <v>0</v>
      </c>
      <c r="D15" s="183"/>
      <c r="E15" s="183"/>
      <c r="F15" s="183"/>
      <c r="G15" s="183"/>
      <c r="H15" s="183"/>
      <c r="I15" s="183"/>
      <c r="J15" s="183"/>
      <c r="K15" s="183"/>
    </row>
    <row r="16" customFormat="false" ht="49.5" hidden="false" customHeight="true" outlineLevel="0" collapsed="false">
      <c r="A16" s="181" t="str">
        <f aca="false">MAPA_OBRA_707!A19</f>
        <v>4.3.1</v>
      </c>
      <c r="B16" s="182"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16" s="181" t="n">
        <f aca="false">MAPA_OBRA_707!C19</f>
        <v>0</v>
      </c>
      <c r="D16" s="183"/>
      <c r="E16" s="183"/>
      <c r="F16" s="183"/>
      <c r="G16" s="183"/>
      <c r="H16" s="183"/>
      <c r="I16" s="183"/>
      <c r="J16" s="183"/>
      <c r="K16" s="183"/>
    </row>
    <row r="17" customFormat="false" ht="19.5" hidden="false" customHeight="true" outlineLevel="0" collapsed="false">
      <c r="A17" s="181" t="str">
        <f aca="false">MAPA_OBRA_707!A20</f>
        <v>4.3.1.1</v>
      </c>
      <c r="B17" s="182" t="str">
        <f aca="false">MAPA_OBRA_707!B20</f>
        <v>Muros Enterrados / Buried Walls (115 kg/m3)</v>
      </c>
      <c r="C17" s="181" t="n">
        <f aca="false">MAPA_OBRA_707!C20</f>
        <v>0</v>
      </c>
      <c r="D17" s="183"/>
      <c r="E17" s="183"/>
      <c r="F17" s="183"/>
      <c r="G17" s="183"/>
      <c r="H17" s="183"/>
      <c r="I17" s="183"/>
      <c r="J17" s="183"/>
      <c r="K17" s="183"/>
    </row>
    <row r="18" customFormat="false" ht="19.5" hidden="false" customHeight="true" outlineLevel="0" collapsed="false">
      <c r="A18" s="184" t="n">
        <f aca="false">MAPA_OBRA_707!A22</f>
        <v>0</v>
      </c>
      <c r="B18" s="185" t="str">
        <f aca="false">MAPA_OBRA_707!B22</f>
        <v>Cofragem - Fornecimento e aplicação</v>
      </c>
      <c r="C18" s="184" t="str">
        <f aca="false">MAPA_OBRA_707!C22</f>
        <v>m2</v>
      </c>
      <c r="D18" s="186" t="n">
        <f aca="false">MAPA_OBRA_707!D22</f>
        <v>3597.09</v>
      </c>
      <c r="E18" s="186" t="n">
        <v>0</v>
      </c>
      <c r="F18" s="187" t="n">
        <v>0</v>
      </c>
      <c r="G18" s="186" t="n">
        <f aca="false">E18+F18</f>
        <v>0</v>
      </c>
      <c r="H18" s="188" t="n">
        <f aca="false">IF(D18&gt;0, G18/D18, 0)</f>
        <v>0</v>
      </c>
      <c r="I18" s="186" t="n">
        <f aca="false">D18-G18</f>
        <v>3597.09</v>
      </c>
      <c r="J18" s="189" t="n">
        <v>0</v>
      </c>
      <c r="K18" s="189" t="n">
        <f aca="false">F18*J18</f>
        <v>0</v>
      </c>
    </row>
    <row r="19" customFormat="false" ht="19.5" hidden="false" customHeight="true" outlineLevel="0" collapsed="false">
      <c r="A19" s="181" t="str">
        <f aca="false">MAPA_OBRA_707!A24</f>
        <v>4.3.1.2</v>
      </c>
      <c r="B19" s="182" t="str">
        <f aca="false">MAPA_OBRA_707!B24</f>
        <v>Pilares / Columns (290 kg/m3)</v>
      </c>
      <c r="C19" s="181" t="n">
        <f aca="false">MAPA_OBRA_707!C24</f>
        <v>0</v>
      </c>
      <c r="D19" s="183"/>
      <c r="E19" s="183"/>
      <c r="F19" s="183"/>
      <c r="G19" s="183"/>
      <c r="H19" s="183"/>
      <c r="I19" s="183"/>
      <c r="J19" s="183"/>
      <c r="K19" s="183"/>
    </row>
    <row r="20" customFormat="false" ht="19.5" hidden="false" customHeight="true" outlineLevel="0" collapsed="false">
      <c r="A20" s="184" t="n">
        <f aca="false">MAPA_OBRA_707!A26</f>
        <v>0</v>
      </c>
      <c r="B20" s="185" t="str">
        <f aca="false">MAPA_OBRA_707!B26</f>
        <v>Cofragem - Fornecimento e aplicação</v>
      </c>
      <c r="C20" s="184" t="str">
        <f aca="false">MAPA_OBRA_707!C26</f>
        <v>m2</v>
      </c>
      <c r="D20" s="186" t="n">
        <f aca="false">MAPA_OBRA_707!D26</f>
        <v>1933.25</v>
      </c>
      <c r="E20" s="186" t="n">
        <v>0</v>
      </c>
      <c r="F20" s="187" t="n">
        <v>0</v>
      </c>
      <c r="G20" s="186" t="n">
        <f aca="false">E20+F20</f>
        <v>0</v>
      </c>
      <c r="H20" s="188" t="n">
        <f aca="false">IF(D20&gt;0, G20/D20, 0)</f>
        <v>0</v>
      </c>
      <c r="I20" s="186" t="n">
        <f aca="false">D20-G20</f>
        <v>1933.25</v>
      </c>
      <c r="J20" s="189" t="n">
        <v>0</v>
      </c>
      <c r="K20" s="189" t="n">
        <f aca="false">F20*J20</f>
        <v>0</v>
      </c>
    </row>
    <row r="21" customFormat="false" ht="19.5" hidden="false" customHeight="true" outlineLevel="0" collapsed="false">
      <c r="A21" s="181" t="str">
        <f aca="false">MAPA_OBRA_707!A28</f>
        <v>4.3.1.3</v>
      </c>
      <c r="B21" s="182" t="str">
        <f aca="false">MAPA_OBRA_707!B28</f>
        <v>Paredes / Walls (200 kg/m3)</v>
      </c>
      <c r="C21" s="181" t="n">
        <f aca="false">MAPA_OBRA_707!C28</f>
        <v>0</v>
      </c>
      <c r="D21" s="183"/>
      <c r="E21" s="183"/>
      <c r="F21" s="183"/>
      <c r="G21" s="183"/>
      <c r="H21" s="183"/>
      <c r="I21" s="183"/>
      <c r="J21" s="183"/>
      <c r="K21" s="183"/>
    </row>
    <row r="22" customFormat="false" ht="19.5" hidden="false" customHeight="true" outlineLevel="0" collapsed="false">
      <c r="A22" s="184" t="n">
        <f aca="false">MAPA_OBRA_707!A30</f>
        <v>0</v>
      </c>
      <c r="B22" s="185" t="str">
        <f aca="false">MAPA_OBRA_707!B30</f>
        <v>Cofragem - Fornecimento e aplicação</v>
      </c>
      <c r="C22" s="184" t="str">
        <f aca="false">MAPA_OBRA_707!C30</f>
        <v>m2</v>
      </c>
      <c r="D22" s="186" t="n">
        <f aca="false">MAPA_OBRA_707!D30</f>
        <v>554.1</v>
      </c>
      <c r="E22" s="186" t="n">
        <v>0</v>
      </c>
      <c r="F22" s="187" t="n">
        <v>0</v>
      </c>
      <c r="G22" s="186" t="n">
        <f aca="false">E22+F22</f>
        <v>0</v>
      </c>
      <c r="H22" s="188" t="n">
        <f aca="false">IF(D22&gt;0, G22/D22, 0)</f>
        <v>0</v>
      </c>
      <c r="I22" s="186" t="n">
        <f aca="false">D22-G22</f>
        <v>554.1</v>
      </c>
      <c r="J22" s="189" t="n">
        <v>0</v>
      </c>
      <c r="K22" s="189" t="n">
        <f aca="false">F22*J22</f>
        <v>0</v>
      </c>
    </row>
    <row r="23" customFormat="false" ht="19.5" hidden="false" customHeight="true" outlineLevel="0" collapsed="false">
      <c r="A23" s="181" t="str">
        <f aca="false">MAPA_OBRA_707!A32</f>
        <v>4.3.1.3 A</v>
      </c>
      <c r="B23" s="182" t="str">
        <f aca="false">MAPA_OBRA_707!B32</f>
        <v>Núcleos do Elevador / Elevator Shaft (200 kg/m3)</v>
      </c>
      <c r="C23" s="181" t="n">
        <f aca="false">MAPA_OBRA_707!C32</f>
        <v>0</v>
      </c>
      <c r="D23" s="183"/>
      <c r="E23" s="183"/>
      <c r="F23" s="183"/>
      <c r="G23" s="183"/>
      <c r="H23" s="183"/>
      <c r="I23" s="183"/>
      <c r="J23" s="183"/>
      <c r="K23" s="183"/>
    </row>
    <row r="24" customFormat="false" ht="19.5" hidden="false" customHeight="true" outlineLevel="0" collapsed="false">
      <c r="A24" s="184" t="n">
        <f aca="false">MAPA_OBRA_707!A34</f>
        <v>0</v>
      </c>
      <c r="B24" s="185" t="str">
        <f aca="false">MAPA_OBRA_707!B34</f>
        <v>Cofragem - Fornecimento e aplicação</v>
      </c>
      <c r="C24" s="184" t="str">
        <f aca="false">MAPA_OBRA_707!C34</f>
        <v>m2</v>
      </c>
      <c r="D24" s="186" t="n">
        <f aca="false">MAPA_OBRA_707!D34</f>
        <v>1862.19</v>
      </c>
      <c r="E24" s="186" t="n">
        <v>0</v>
      </c>
      <c r="F24" s="187" t="n">
        <v>0</v>
      </c>
      <c r="G24" s="186" t="n">
        <f aca="false">E24+F24</f>
        <v>0</v>
      </c>
      <c r="H24" s="188" t="n">
        <f aca="false">IF(D24&gt;0, G24/D24, 0)</f>
        <v>0</v>
      </c>
      <c r="I24" s="186" t="n">
        <f aca="false">D24-G24</f>
        <v>1862.19</v>
      </c>
      <c r="J24" s="189" t="n">
        <v>0</v>
      </c>
      <c r="K24" s="189" t="n">
        <f aca="false">F24*J24</f>
        <v>0</v>
      </c>
    </row>
    <row r="25" customFormat="false" ht="19.5" hidden="false" customHeight="true" outlineLevel="0" collapsed="false">
      <c r="A25" s="181" t="str">
        <f aca="false">MAPA_OBRA_707!A36</f>
        <v>4.3.1.4</v>
      </c>
      <c r="B25" s="182" t="str">
        <f aca="false">MAPA_OBRA_707!B36</f>
        <v>Vigas / Beams (150 kg/m3)</v>
      </c>
      <c r="C25" s="181" t="n">
        <f aca="false">MAPA_OBRA_707!C36</f>
        <v>0</v>
      </c>
      <c r="D25" s="183"/>
      <c r="E25" s="183"/>
      <c r="F25" s="183"/>
      <c r="G25" s="183"/>
      <c r="H25" s="183"/>
      <c r="I25" s="183"/>
      <c r="J25" s="183"/>
      <c r="K25" s="183"/>
    </row>
    <row r="26" customFormat="false" ht="19.5" hidden="false" customHeight="true" outlineLevel="0" collapsed="false">
      <c r="A26" s="184" t="n">
        <f aca="false">MAPA_OBRA_707!A38</f>
        <v>0</v>
      </c>
      <c r="B26" s="185" t="str">
        <f aca="false">MAPA_OBRA_707!B38</f>
        <v>Cofragem - Fornecimento e aplicação</v>
      </c>
      <c r="C26" s="184" t="str">
        <f aca="false">MAPA_OBRA_707!C38</f>
        <v>m2</v>
      </c>
      <c r="D26" s="186" t="n">
        <f aca="false">MAPA_OBRA_707!D38</f>
        <v>3847</v>
      </c>
      <c r="E26" s="186" t="n">
        <v>0</v>
      </c>
      <c r="F26" s="187" t="n">
        <v>0</v>
      </c>
      <c r="G26" s="186" t="n">
        <f aca="false">E26+F26</f>
        <v>0</v>
      </c>
      <c r="H26" s="188" t="n">
        <f aca="false">IF(D26&gt;0, G26/D26, 0)</f>
        <v>0</v>
      </c>
      <c r="I26" s="186" t="n">
        <f aca="false">D26-G26</f>
        <v>3847</v>
      </c>
      <c r="J26" s="189" t="n">
        <v>0</v>
      </c>
      <c r="K26" s="189" t="n">
        <f aca="false">F26*J26</f>
        <v>0</v>
      </c>
    </row>
    <row r="27" customFormat="false" ht="19.5" hidden="false" customHeight="true" outlineLevel="0" collapsed="false">
      <c r="A27" s="181" t="str">
        <f aca="false">MAPA_OBRA_707!A40</f>
        <v>4.3.1.5</v>
      </c>
      <c r="B27" s="182" t="str">
        <f aca="false">MAPA_OBRA_707!B40</f>
        <v>Lajes Maciças / Massive Slabs (120 kg/m3)</v>
      </c>
      <c r="C27" s="181" t="n">
        <f aca="false">MAPA_OBRA_707!C40</f>
        <v>0</v>
      </c>
      <c r="D27" s="183"/>
      <c r="E27" s="183"/>
      <c r="F27" s="183"/>
      <c r="G27" s="183"/>
      <c r="H27" s="183"/>
      <c r="I27" s="183"/>
      <c r="J27" s="183"/>
      <c r="K27" s="183"/>
    </row>
    <row r="28" customFormat="false" ht="19.5" hidden="false" customHeight="true" outlineLevel="0" collapsed="false">
      <c r="A28" s="184" t="n">
        <f aca="false">MAPA_OBRA_707!A42</f>
        <v>0</v>
      </c>
      <c r="B28" s="185" t="str">
        <f aca="false">MAPA_OBRA_707!B42</f>
        <v>Cofragem - Fornecimento e aplicação</v>
      </c>
      <c r="C28" s="184" t="str">
        <f aca="false">MAPA_OBRA_707!C42</f>
        <v>m2</v>
      </c>
      <c r="D28" s="186" t="n">
        <f aca="false">MAPA_OBRA_707!D42</f>
        <v>726.75</v>
      </c>
      <c r="E28" s="186" t="n">
        <v>0</v>
      </c>
      <c r="F28" s="187" t="n">
        <v>0</v>
      </c>
      <c r="G28" s="186" t="n">
        <f aca="false">E28+F28</f>
        <v>0</v>
      </c>
      <c r="H28" s="188" t="n">
        <f aca="false">IF(D28&gt;0, G28/D28, 0)</f>
        <v>0</v>
      </c>
      <c r="I28" s="186" t="n">
        <f aca="false">D28-G28</f>
        <v>726.75</v>
      </c>
      <c r="J28" s="189" t="n">
        <v>0</v>
      </c>
      <c r="K28" s="189" t="n">
        <f aca="false">F28*J28</f>
        <v>0</v>
      </c>
    </row>
    <row r="29" customFormat="false" ht="19.5" hidden="false" customHeight="true" outlineLevel="0" collapsed="false">
      <c r="A29" s="181" t="str">
        <f aca="false">MAPA_OBRA_707!A44</f>
        <v>4.3.1.6</v>
      </c>
      <c r="B29" s="182" t="str">
        <f aca="false">MAPA_OBRA_707!B44</f>
        <v>Escadas / Stairs (80 kg/m3)</v>
      </c>
      <c r="C29" s="181" t="n">
        <f aca="false">MAPA_OBRA_707!C44</f>
        <v>0</v>
      </c>
      <c r="D29" s="183"/>
      <c r="E29" s="183"/>
      <c r="F29" s="183"/>
      <c r="G29" s="183"/>
      <c r="H29" s="183"/>
      <c r="I29" s="183"/>
      <c r="J29" s="183"/>
      <c r="K29" s="183"/>
    </row>
    <row r="30" customFormat="false" ht="19.5" hidden="false" customHeight="true" outlineLevel="0" collapsed="false">
      <c r="A30" s="184" t="n">
        <f aca="false">MAPA_OBRA_707!A46</f>
        <v>0</v>
      </c>
      <c r="B30" s="185" t="str">
        <f aca="false">MAPA_OBRA_707!B46</f>
        <v>Cofragem - Fornecimento e aplicação</v>
      </c>
      <c r="C30" s="184" t="str">
        <f aca="false">MAPA_OBRA_707!C46</f>
        <v>m2</v>
      </c>
      <c r="D30" s="186" t="n">
        <f aca="false">MAPA_OBRA_707!D46</f>
        <v>600</v>
      </c>
      <c r="E30" s="186" t="n">
        <v>0</v>
      </c>
      <c r="F30" s="187" t="n">
        <v>0</v>
      </c>
      <c r="G30" s="186" t="n">
        <f aca="false">E30+F30</f>
        <v>0</v>
      </c>
      <c r="H30" s="188" t="n">
        <f aca="false">IF(D30&gt;0, G30/D30, 0)</f>
        <v>0</v>
      </c>
      <c r="I30" s="186" t="n">
        <f aca="false">D30-G30</f>
        <v>600</v>
      </c>
      <c r="J30" s="189" t="n">
        <v>0</v>
      </c>
      <c r="K30" s="189" t="n">
        <f aca="false">F30*J30</f>
        <v>0</v>
      </c>
    </row>
    <row r="31" customFormat="false" ht="49.5" hidden="false" customHeight="true" outlineLevel="0" collapsed="false">
      <c r="A31" s="181" t="str">
        <f aca="false">MAPA_OBRA_707!A48</f>
        <v>4.3.1.7</v>
      </c>
      <c r="B31" s="182"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31" s="181" t="n">
        <f aca="false">MAPA_OBRA_707!C48</f>
        <v>0</v>
      </c>
      <c r="D31" s="183"/>
      <c r="E31" s="183"/>
      <c r="F31" s="183"/>
      <c r="G31" s="183"/>
      <c r="H31" s="183"/>
      <c r="I31" s="183"/>
      <c r="J31" s="183"/>
      <c r="K31" s="183"/>
    </row>
    <row r="32" customFormat="false" ht="19.5" hidden="false" customHeight="true" outlineLevel="0" collapsed="false">
      <c r="A32" s="184" t="n">
        <f aca="false">MAPA_OBRA_707!A50</f>
        <v>0</v>
      </c>
      <c r="B32" s="185" t="str">
        <f aca="false">MAPA_OBRA_707!B50</f>
        <v>Cofragem - Fornecimento e aplicação</v>
      </c>
      <c r="C32" s="184" t="str">
        <f aca="false">MAPA_OBRA_707!C50</f>
        <v>m2</v>
      </c>
      <c r="D32" s="186" t="n">
        <f aca="false">MAPA_OBRA_707!D50</f>
        <v>5900.33</v>
      </c>
      <c r="E32" s="186" t="n">
        <v>0</v>
      </c>
      <c r="F32" s="187" t="n">
        <v>0</v>
      </c>
      <c r="G32" s="186" t="n">
        <f aca="false">E32+F32</f>
        <v>0</v>
      </c>
      <c r="H32" s="188" t="n">
        <f aca="false">IF(D32&gt;0, G32/D32, 0)</f>
        <v>0</v>
      </c>
      <c r="I32" s="186" t="n">
        <f aca="false">D32-G32</f>
        <v>5900.33</v>
      </c>
      <c r="J32" s="189" t="n">
        <v>0</v>
      </c>
      <c r="K32" s="189" t="n">
        <f aca="false">F32*J32</f>
        <v>0</v>
      </c>
    </row>
    <row r="33" customFormat="false" ht="49.5" hidden="false" customHeight="true" outlineLevel="0" collapsed="false">
      <c r="A33" s="181" t="str">
        <f aca="false">MAPA_OBRA_707!A53</f>
        <v>4.3.2</v>
      </c>
      <c r="B33" s="182"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33" s="181" t="n">
        <f aca="false">MAPA_OBRA_707!C53</f>
        <v>0</v>
      </c>
      <c r="D33" s="183"/>
      <c r="E33" s="183"/>
      <c r="F33" s="183"/>
      <c r="G33" s="183"/>
      <c r="H33" s="183"/>
      <c r="I33" s="183"/>
      <c r="J33" s="183"/>
      <c r="K33" s="183"/>
    </row>
    <row r="34" customFormat="false" ht="36" hidden="false" customHeight="true" outlineLevel="0" collapsed="false">
      <c r="A34" s="181" t="str">
        <f aca="false">MAPA_OBRA_707!A54</f>
        <v>4.3.1</v>
      </c>
      <c r="B34" s="182" t="str">
        <f aca="false">MAPA_OBRA_707!B54</f>
        <v>Laje de Fundo de Piscina do Piso 0 / Pool Bottom Slab of Leve 0</v>
      </c>
      <c r="C34" s="181" t="n">
        <f aca="false">MAPA_OBRA_707!C54</f>
        <v>0</v>
      </c>
      <c r="D34" s="183"/>
      <c r="E34" s="183"/>
      <c r="F34" s="183"/>
      <c r="G34" s="183"/>
      <c r="H34" s="183"/>
      <c r="I34" s="183"/>
      <c r="J34" s="183"/>
      <c r="K34" s="183"/>
    </row>
    <row r="35" customFormat="false" ht="19.5" hidden="false" customHeight="true" outlineLevel="0" collapsed="false">
      <c r="A35" s="184" t="n">
        <f aca="false">MAPA_OBRA_707!A56</f>
        <v>0</v>
      </c>
      <c r="B35" s="185" t="str">
        <f aca="false">MAPA_OBRA_707!B56</f>
        <v>Cofragem - Fornecimento e aplicação</v>
      </c>
      <c r="C35" s="184" t="str">
        <f aca="false">MAPA_OBRA_707!C56</f>
        <v>m2</v>
      </c>
      <c r="D35" s="186" t="n">
        <f aca="false">MAPA_OBRA_707!D56</f>
        <v>469.62</v>
      </c>
      <c r="E35" s="186" t="n">
        <v>0</v>
      </c>
      <c r="F35" s="187" t="n">
        <v>0</v>
      </c>
      <c r="G35" s="186" t="n">
        <f aca="false">E35+F35</f>
        <v>0</v>
      </c>
      <c r="H35" s="188" t="n">
        <f aca="false">IF(D35&gt;0, G35/D35, 0)</f>
        <v>0</v>
      </c>
      <c r="I35" s="186" t="n">
        <f aca="false">D35-G35</f>
        <v>469.62</v>
      </c>
      <c r="J35" s="189" t="n">
        <v>0</v>
      </c>
      <c r="K35" s="189" t="n">
        <f aca="false">F35*J35</f>
        <v>0</v>
      </c>
    </row>
    <row r="36" customFormat="false" ht="19.5" hidden="false" customHeight="true" outlineLevel="0" collapsed="false">
      <c r="A36" s="181" t="str">
        <f aca="false">MAPA_OBRA_707!A58</f>
        <v>4.3.2</v>
      </c>
      <c r="B36" s="182" t="str">
        <f aca="false">MAPA_OBRA_707!B58</f>
        <v>Parede de Piscina do Piso 0 / Pool Walls at Level 0</v>
      </c>
      <c r="C36" s="181" t="n">
        <f aca="false">MAPA_OBRA_707!C58</f>
        <v>0</v>
      </c>
      <c r="D36" s="183"/>
      <c r="E36" s="183"/>
      <c r="F36" s="183"/>
      <c r="G36" s="183"/>
      <c r="H36" s="183"/>
      <c r="I36" s="183"/>
      <c r="J36" s="183"/>
      <c r="K36" s="183"/>
    </row>
    <row r="37" customFormat="false" ht="19.5" hidden="false" customHeight="true" outlineLevel="0" collapsed="false">
      <c r="A37" s="184" t="n">
        <f aca="false">MAPA_OBRA_707!A60</f>
        <v>0</v>
      </c>
      <c r="B37" s="185" t="str">
        <f aca="false">MAPA_OBRA_707!B60</f>
        <v>Cofragem - Fornecimento e aplicação</v>
      </c>
      <c r="C37" s="184" t="str">
        <f aca="false">MAPA_OBRA_707!C60</f>
        <v>m2</v>
      </c>
      <c r="D37" s="186" t="n">
        <f aca="false">MAPA_OBRA_707!D60</f>
        <v>2152.3</v>
      </c>
      <c r="E37" s="186" t="n">
        <v>0</v>
      </c>
      <c r="F37" s="187" t="n">
        <v>0</v>
      </c>
      <c r="G37" s="186" t="n">
        <f aca="false">E37+F37</f>
        <v>0</v>
      </c>
      <c r="H37" s="188" t="n">
        <f aca="false">IF(D37&gt;0, G37/D37, 0)</f>
        <v>0</v>
      </c>
      <c r="I37" s="186" t="n">
        <f aca="false">D37-G37</f>
        <v>2152.3</v>
      </c>
      <c r="J37" s="189" t="n">
        <v>0</v>
      </c>
      <c r="K37" s="189" t="n">
        <f aca="false">F37*J37</f>
        <v>0</v>
      </c>
    </row>
    <row r="38" customFormat="false" ht="19.5" hidden="false" customHeight="true" outlineLevel="0" collapsed="false">
      <c r="A38" s="181" t="str">
        <f aca="false">MAPA_OBRA_707!A62</f>
        <v>4.3.3</v>
      </c>
      <c r="B38" s="182" t="str">
        <f aca="false">MAPA_OBRA_707!B62</f>
        <v>Paredes da Piscina da Cobertura</v>
      </c>
      <c r="C38" s="181" t="n">
        <f aca="false">MAPA_OBRA_707!C62</f>
        <v>0</v>
      </c>
      <c r="D38" s="183"/>
      <c r="E38" s="183"/>
      <c r="F38" s="183"/>
      <c r="G38" s="183"/>
      <c r="H38" s="183"/>
      <c r="I38" s="183"/>
      <c r="J38" s="183"/>
      <c r="K38" s="183"/>
    </row>
    <row r="39" customFormat="false" ht="19.5" hidden="false" customHeight="true" outlineLevel="0" collapsed="false">
      <c r="A39" s="184" t="n">
        <f aca="false">MAPA_OBRA_707!A64</f>
        <v>0</v>
      </c>
      <c r="B39" s="185" t="str">
        <f aca="false">MAPA_OBRA_707!B64</f>
        <v>Cofragem - Fornecimento e aplicação</v>
      </c>
      <c r="C39" s="184" t="str">
        <f aca="false">MAPA_OBRA_707!C64</f>
        <v>m2</v>
      </c>
      <c r="D39" s="186" t="n">
        <f aca="false">MAPA_OBRA_707!D64</f>
        <v>267.84</v>
      </c>
      <c r="E39" s="186" t="n">
        <v>0</v>
      </c>
      <c r="F39" s="187" t="n">
        <v>0</v>
      </c>
      <c r="G39" s="186" t="n">
        <f aca="false">E39+F39</f>
        <v>0</v>
      </c>
      <c r="H39" s="188" t="n">
        <f aca="false">IF(D39&gt;0, G39/D39, 0)</f>
        <v>0</v>
      </c>
      <c r="I39" s="186" t="n">
        <f aca="false">D39-G39</f>
        <v>267.84</v>
      </c>
      <c r="J39" s="189" t="n">
        <v>0</v>
      </c>
      <c r="K39" s="189" t="n">
        <f aca="false">F39*J39</f>
        <v>0</v>
      </c>
    </row>
    <row r="40" customFormat="false" ht="19.5" hidden="false" customHeight="true" outlineLevel="0" collapsed="false">
      <c r="A40" s="181" t="str">
        <f aca="false">MAPA_OBRA_707!A66</f>
        <v>4.4</v>
      </c>
      <c r="B40" s="182" t="str">
        <f aca="false">MAPA_OBRA_707!B66</f>
        <v>Pavimento Térreos / Ground Floors</v>
      </c>
      <c r="C40" s="181" t="n">
        <f aca="false">MAPA_OBRA_707!C66</f>
        <v>0</v>
      </c>
      <c r="D40" s="183"/>
      <c r="E40" s="183"/>
      <c r="F40" s="183"/>
      <c r="G40" s="183"/>
      <c r="H40" s="183"/>
      <c r="I40" s="183"/>
      <c r="J40" s="183"/>
      <c r="K40" s="183"/>
    </row>
    <row r="41" customFormat="false" ht="19.5" hidden="false" customHeight="true" outlineLevel="0" collapsed="false">
      <c r="A41" s="181" t="str">
        <f aca="false">MAPA_OBRA_707!A67</f>
        <v>4.4.1</v>
      </c>
      <c r="B41" s="182" t="str">
        <f aca="false">MAPA_OBRA_707!B67</f>
        <v>Piso da Cave / Basement Level</v>
      </c>
      <c r="C41" s="181" t="n">
        <f aca="false">MAPA_OBRA_707!C67</f>
        <v>0</v>
      </c>
      <c r="D41" s="183"/>
      <c r="E41" s="183"/>
      <c r="F41" s="183"/>
      <c r="G41" s="183"/>
      <c r="H41" s="183"/>
      <c r="I41" s="183"/>
      <c r="J41" s="183"/>
      <c r="K41" s="183"/>
    </row>
    <row r="42" customFormat="false" ht="49.5" hidden="false" customHeight="true" outlineLevel="0" collapsed="false">
      <c r="A42" s="181" t="str">
        <f aca="false">MAPA_OBRA_707!A68</f>
        <v>4.4.1.1</v>
      </c>
      <c r="B42" s="182"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42" s="181" t="n">
        <f aca="false">MAPA_OBRA_707!C68</f>
        <v>0</v>
      </c>
      <c r="D42" s="183"/>
      <c r="E42" s="183"/>
      <c r="F42" s="183"/>
      <c r="G42" s="183"/>
      <c r="H42" s="183"/>
      <c r="I42" s="183"/>
      <c r="J42" s="183"/>
      <c r="K42" s="183"/>
    </row>
    <row r="43" customFormat="false" ht="15" hidden="false" customHeight="false" outlineLevel="0" collapsed="false">
      <c r="A43" s="190" t="s">
        <v>221</v>
      </c>
      <c r="B43" s="190"/>
      <c r="C43" s="190"/>
      <c r="D43" s="191"/>
      <c r="E43" s="191"/>
      <c r="F43" s="191"/>
      <c r="G43" s="191"/>
      <c r="H43" s="191"/>
      <c r="I43" s="191"/>
      <c r="J43" s="191"/>
      <c r="K43" s="192" t="n">
        <f aca="false">SUM(K6:K42)</f>
        <v>0</v>
      </c>
    </row>
  </sheetData>
  <mergeCells count="2">
    <mergeCell ref="A1:K1"/>
    <mergeCell ref="A43:C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77" t="s">
        <v>463</v>
      </c>
      <c r="B1" s="177"/>
      <c r="C1" s="177"/>
      <c r="D1" s="177"/>
      <c r="E1" s="177"/>
      <c r="F1" s="177"/>
      <c r="G1" s="177"/>
      <c r="H1" s="177"/>
      <c r="I1" s="177"/>
      <c r="J1" s="177"/>
      <c r="K1" s="177"/>
    </row>
    <row r="2" customFormat="false" ht="15" hidden="false" customHeight="false" outlineLevel="0" collapsed="false">
      <c r="A2" s="178" t="s">
        <v>440</v>
      </c>
      <c r="B2" s="0" t="s">
        <v>441</v>
      </c>
      <c r="D2" s="178" t="s">
        <v>442</v>
      </c>
      <c r="E2" s="0" t="s">
        <v>464</v>
      </c>
      <c r="H2" s="178" t="s">
        <v>444</v>
      </c>
      <c r="I2" s="0" t="s">
        <v>445</v>
      </c>
    </row>
    <row r="3" customFormat="false" ht="15" hidden="false" customHeight="false" outlineLevel="0" collapsed="false">
      <c r="A3" s="178" t="s">
        <v>446</v>
      </c>
      <c r="B3" s="0" t="s">
        <v>447</v>
      </c>
      <c r="D3" s="178" t="s">
        <v>448</v>
      </c>
      <c r="E3" s="0" t="s">
        <v>465</v>
      </c>
      <c r="H3" s="178" t="s">
        <v>450</v>
      </c>
      <c r="I3" s="0" t="s">
        <v>451</v>
      </c>
    </row>
    <row r="5" customFormat="false" ht="24.75" hidden="false" customHeight="true" outlineLevel="0" collapsed="false">
      <c r="A5" s="179" t="s">
        <v>0</v>
      </c>
      <c r="B5" s="179" t="s">
        <v>1</v>
      </c>
      <c r="C5" s="179" t="s">
        <v>2</v>
      </c>
      <c r="D5" s="179" t="s">
        <v>452</v>
      </c>
      <c r="E5" s="180" t="s">
        <v>453</v>
      </c>
      <c r="F5" s="180" t="s">
        <v>454</v>
      </c>
      <c r="G5" s="180" t="s">
        <v>455</v>
      </c>
      <c r="H5" s="180" t="s">
        <v>456</v>
      </c>
      <c r="I5" s="180" t="s">
        <v>457</v>
      </c>
      <c r="J5" s="180" t="s">
        <v>458</v>
      </c>
      <c r="K5" s="180" t="s">
        <v>459</v>
      </c>
    </row>
    <row r="6" customFormat="false" ht="19.5" hidden="false" customHeight="true" outlineLevel="0" collapsed="false">
      <c r="A6" s="181" t="str">
        <f aca="false">MAPA_OBRA_707!A2</f>
        <v>4.1</v>
      </c>
      <c r="B6" s="182" t="str">
        <f aca="false">MAPA_OBRA_707!B2</f>
        <v>Betão de Limpeza / Cleaning concrete</v>
      </c>
      <c r="C6" s="181" t="n">
        <f aca="false">MAPA_OBRA_707!C2</f>
        <v>0</v>
      </c>
      <c r="D6" s="183"/>
      <c r="E6" s="183"/>
      <c r="F6" s="183"/>
      <c r="G6" s="183"/>
      <c r="H6" s="183"/>
      <c r="I6" s="183"/>
      <c r="J6" s="183"/>
      <c r="K6" s="183"/>
    </row>
    <row r="7" customFormat="false" ht="19.5" hidden="false" customHeight="true" outlineLevel="0" collapsed="false">
      <c r="A7" s="181" t="str">
        <f aca="false">MAPA_OBRA_707!A4</f>
        <v>4.2</v>
      </c>
      <c r="B7" s="182" t="str">
        <f aca="false">MAPA_OBRA_707!B4</f>
        <v>Fundações / Foundations</v>
      </c>
      <c r="C7" s="181" t="n">
        <f aca="false">MAPA_OBRA_707!C4</f>
        <v>0</v>
      </c>
      <c r="D7" s="183"/>
      <c r="E7" s="183"/>
      <c r="F7" s="183"/>
      <c r="G7" s="183"/>
      <c r="H7" s="183"/>
      <c r="I7" s="183"/>
      <c r="J7" s="183"/>
      <c r="K7" s="183"/>
    </row>
    <row r="8" customFormat="false" ht="49.5" hidden="false" customHeight="true" outlineLevel="0" collapsed="false">
      <c r="A8" s="181" t="str">
        <f aca="false">MAPA_OBRA_707!A5</f>
        <v>4.2.1</v>
      </c>
      <c r="B8" s="182"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8" s="181" t="n">
        <f aca="false">MAPA_OBRA_707!C5</f>
        <v>0</v>
      </c>
      <c r="D8" s="183"/>
      <c r="E8" s="183"/>
      <c r="F8" s="183"/>
      <c r="G8" s="183"/>
      <c r="H8" s="183"/>
      <c r="I8" s="183"/>
      <c r="J8" s="183"/>
      <c r="K8" s="183"/>
    </row>
    <row r="9" customFormat="false" ht="19.5" hidden="false" customHeight="true" outlineLevel="0" collapsed="false">
      <c r="A9" s="181" t="str">
        <f aca="false">MAPA_OBRA_707!A6</f>
        <v>4.2.1.1</v>
      </c>
      <c r="B9" s="182" t="str">
        <f aca="false">MAPA_OBRA_707!B6</f>
        <v>Sapatas Isoladas / Isolated Foundations (90 kg/m3)</v>
      </c>
      <c r="C9" s="181" t="n">
        <f aca="false">MAPA_OBRA_707!C6</f>
        <v>0</v>
      </c>
      <c r="D9" s="183"/>
      <c r="E9" s="183"/>
      <c r="F9" s="183"/>
      <c r="G9" s="183"/>
      <c r="H9" s="183"/>
      <c r="I9" s="183"/>
      <c r="J9" s="183"/>
      <c r="K9" s="183"/>
    </row>
    <row r="10" customFormat="false" ht="19.5" hidden="false" customHeight="true" outlineLevel="0" collapsed="false">
      <c r="A10" s="184" t="n">
        <f aca="false">MAPA_OBRA_707!A9</f>
        <v>0</v>
      </c>
      <c r="B10" s="185" t="str">
        <f aca="false">MAPA_OBRA_707!B9</f>
        <v>Aço - Moldagem, Corte e Aplicação</v>
      </c>
      <c r="C10" s="184" t="str">
        <f aca="false">MAPA_OBRA_707!C9</f>
        <v>kg</v>
      </c>
      <c r="D10" s="186" t="n">
        <f aca="false">MAPA_OBRA_707!D9</f>
        <v>16960.55</v>
      </c>
      <c r="E10" s="186" t="n">
        <v>0</v>
      </c>
      <c r="F10" s="187" t="n">
        <v>0</v>
      </c>
      <c r="G10" s="186" t="n">
        <f aca="false">E10+F10</f>
        <v>0</v>
      </c>
      <c r="H10" s="188" t="n">
        <f aca="false">IF(D10&gt;0, G10/D10, 0)</f>
        <v>0</v>
      </c>
      <c r="I10" s="186" t="n">
        <f aca="false">D10-G10</f>
        <v>16960.55</v>
      </c>
      <c r="J10" s="189" t="n">
        <v>0</v>
      </c>
      <c r="K10" s="189" t="n">
        <f aca="false">F10*J10</f>
        <v>0</v>
      </c>
    </row>
    <row r="11" customFormat="false" ht="19.5" hidden="false" customHeight="true" outlineLevel="0" collapsed="false">
      <c r="A11" s="181" t="str">
        <f aca="false">MAPA_OBRA_707!A10</f>
        <v>4.2.1.2</v>
      </c>
      <c r="B11" s="182" t="str">
        <f aca="false">MAPA_OBRA_707!B10</f>
        <v>Sapatas Contínuas / Continuous Foundations (110 kg/m3)</v>
      </c>
      <c r="C11" s="181" t="n">
        <f aca="false">MAPA_OBRA_707!C10</f>
        <v>0</v>
      </c>
      <c r="D11" s="183"/>
      <c r="E11" s="183"/>
      <c r="F11" s="183"/>
      <c r="G11" s="183"/>
      <c r="H11" s="183"/>
      <c r="I11" s="183"/>
      <c r="J11" s="183"/>
      <c r="K11" s="183"/>
    </row>
    <row r="12" customFormat="false" ht="19.5" hidden="false" customHeight="true" outlineLevel="0" collapsed="false">
      <c r="A12" s="184" t="n">
        <f aca="false">MAPA_OBRA_707!A13</f>
        <v>0</v>
      </c>
      <c r="B12" s="185" t="str">
        <f aca="false">MAPA_OBRA_707!B13</f>
        <v>Aço - Moldagem, Corte e Aplicação</v>
      </c>
      <c r="C12" s="184" t="str">
        <f aca="false">MAPA_OBRA_707!C13</f>
        <v>kg</v>
      </c>
      <c r="D12" s="186" t="n">
        <f aca="false">MAPA_OBRA_707!D13</f>
        <v>19674.67</v>
      </c>
      <c r="E12" s="186" t="n">
        <v>0</v>
      </c>
      <c r="F12" s="187" t="n">
        <v>0</v>
      </c>
      <c r="G12" s="186" t="n">
        <f aca="false">E12+F12</f>
        <v>0</v>
      </c>
      <c r="H12" s="188" t="n">
        <f aca="false">IF(D12&gt;0, G12/D12, 0)</f>
        <v>0</v>
      </c>
      <c r="I12" s="186" t="n">
        <f aca="false">D12-G12</f>
        <v>19674.67</v>
      </c>
      <c r="J12" s="189" t="n">
        <v>0</v>
      </c>
      <c r="K12" s="189" t="n">
        <f aca="false">F12*J12</f>
        <v>0</v>
      </c>
    </row>
    <row r="13" customFormat="false" ht="19.5" hidden="false" customHeight="true" outlineLevel="0" collapsed="false">
      <c r="A13" s="181" t="str">
        <f aca="false">MAPA_OBRA_707!A14</f>
        <v>4.2.1.3</v>
      </c>
      <c r="B13" s="182" t="str">
        <f aca="false">MAPA_OBRA_707!B14</f>
        <v>Vigas de Fundação / Beams of Foundations (115 kg/m3)</v>
      </c>
      <c r="C13" s="181" t="n">
        <f aca="false">MAPA_OBRA_707!C14</f>
        <v>0</v>
      </c>
      <c r="D13" s="183"/>
      <c r="E13" s="183"/>
      <c r="F13" s="183"/>
      <c r="G13" s="183"/>
      <c r="H13" s="183"/>
      <c r="I13" s="183"/>
      <c r="J13" s="183"/>
      <c r="K13" s="183"/>
    </row>
    <row r="14" customFormat="false" ht="19.5" hidden="false" customHeight="true" outlineLevel="0" collapsed="false">
      <c r="A14" s="184" t="n">
        <f aca="false">MAPA_OBRA_707!A17</f>
        <v>0</v>
      </c>
      <c r="B14" s="185" t="str">
        <f aca="false">MAPA_OBRA_707!B17</f>
        <v>Aço - Moldagem, Corte e Aplicação</v>
      </c>
      <c r="C14" s="184" t="str">
        <f aca="false">MAPA_OBRA_707!C17</f>
        <v>kg</v>
      </c>
      <c r="D14" s="186" t="n">
        <f aca="false">MAPA_OBRA_707!D17</f>
        <v>8125.44</v>
      </c>
      <c r="E14" s="186" t="n">
        <v>0</v>
      </c>
      <c r="F14" s="187" t="n">
        <v>0</v>
      </c>
      <c r="G14" s="186" t="n">
        <f aca="false">E14+F14</f>
        <v>0</v>
      </c>
      <c r="H14" s="188" t="n">
        <f aca="false">IF(D14&gt;0, G14/D14, 0)</f>
        <v>0</v>
      </c>
      <c r="I14" s="186" t="n">
        <f aca="false">D14-G14</f>
        <v>8125.44</v>
      </c>
      <c r="J14" s="189" t="n">
        <v>0</v>
      </c>
      <c r="K14" s="189" t="n">
        <f aca="false">F14*J14</f>
        <v>0</v>
      </c>
    </row>
    <row r="15" customFormat="false" ht="19.5" hidden="false" customHeight="true" outlineLevel="0" collapsed="false">
      <c r="A15" s="181" t="str">
        <f aca="false">MAPA_OBRA_707!A18</f>
        <v>4.3</v>
      </c>
      <c r="B15" s="182" t="str">
        <f aca="false">MAPA_OBRA_707!B18</f>
        <v>Superestrutura / Superstructure</v>
      </c>
      <c r="C15" s="181" t="n">
        <f aca="false">MAPA_OBRA_707!C18</f>
        <v>0</v>
      </c>
      <c r="D15" s="183"/>
      <c r="E15" s="183"/>
      <c r="F15" s="183"/>
      <c r="G15" s="183"/>
      <c r="H15" s="183"/>
      <c r="I15" s="183"/>
      <c r="J15" s="183"/>
      <c r="K15" s="183"/>
    </row>
    <row r="16" customFormat="false" ht="49.5" hidden="false" customHeight="true" outlineLevel="0" collapsed="false">
      <c r="A16" s="181" t="str">
        <f aca="false">MAPA_OBRA_707!A19</f>
        <v>4.3.1</v>
      </c>
      <c r="B16" s="182"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16" s="181" t="n">
        <f aca="false">MAPA_OBRA_707!C19</f>
        <v>0</v>
      </c>
      <c r="D16" s="183"/>
      <c r="E16" s="183"/>
      <c r="F16" s="183"/>
      <c r="G16" s="183"/>
      <c r="H16" s="183"/>
      <c r="I16" s="183"/>
      <c r="J16" s="183"/>
      <c r="K16" s="183"/>
    </row>
    <row r="17" customFormat="false" ht="19.5" hidden="false" customHeight="true" outlineLevel="0" collapsed="false">
      <c r="A17" s="181" t="str">
        <f aca="false">MAPA_OBRA_707!A20</f>
        <v>4.3.1.1</v>
      </c>
      <c r="B17" s="182" t="str">
        <f aca="false">MAPA_OBRA_707!B20</f>
        <v>Muros Enterrados / Buried Walls (115 kg/m3)</v>
      </c>
      <c r="C17" s="181" t="n">
        <f aca="false">MAPA_OBRA_707!C20</f>
        <v>0</v>
      </c>
      <c r="D17" s="183"/>
      <c r="E17" s="183"/>
      <c r="F17" s="183"/>
      <c r="G17" s="183"/>
      <c r="H17" s="183"/>
      <c r="I17" s="183"/>
      <c r="J17" s="183"/>
      <c r="K17" s="183"/>
    </row>
    <row r="18" customFormat="false" ht="19.5" hidden="false" customHeight="true" outlineLevel="0" collapsed="false">
      <c r="A18" s="184" t="n">
        <f aca="false">MAPA_OBRA_707!A23</f>
        <v>0</v>
      </c>
      <c r="B18" s="185" t="str">
        <f aca="false">MAPA_OBRA_707!B23</f>
        <v>Aço - Moldagem, Corte e Aplicação</v>
      </c>
      <c r="C18" s="184" t="str">
        <f aca="false">MAPA_OBRA_707!C23</f>
        <v>kg</v>
      </c>
      <c r="D18" s="186" t="n">
        <f aca="false">MAPA_OBRA_707!D23</f>
        <v>53583.49</v>
      </c>
      <c r="E18" s="186" t="n">
        <v>0</v>
      </c>
      <c r="F18" s="187" t="n">
        <v>0</v>
      </c>
      <c r="G18" s="186" t="n">
        <f aca="false">E18+F18</f>
        <v>0</v>
      </c>
      <c r="H18" s="188" t="n">
        <f aca="false">IF(D18&gt;0, G18/D18, 0)</f>
        <v>0</v>
      </c>
      <c r="I18" s="186" t="n">
        <f aca="false">D18-G18</f>
        <v>53583.49</v>
      </c>
      <c r="J18" s="189" t="n">
        <v>0</v>
      </c>
      <c r="K18" s="189" t="n">
        <f aca="false">F18*J18</f>
        <v>0</v>
      </c>
    </row>
    <row r="19" customFormat="false" ht="19.5" hidden="false" customHeight="true" outlineLevel="0" collapsed="false">
      <c r="A19" s="181" t="str">
        <f aca="false">MAPA_OBRA_707!A24</f>
        <v>4.3.1.2</v>
      </c>
      <c r="B19" s="182" t="str">
        <f aca="false">MAPA_OBRA_707!B24</f>
        <v>Pilares / Columns (290 kg/m3)</v>
      </c>
      <c r="C19" s="181" t="n">
        <f aca="false">MAPA_OBRA_707!C24</f>
        <v>0</v>
      </c>
      <c r="D19" s="183"/>
      <c r="E19" s="183"/>
      <c r="F19" s="183"/>
      <c r="G19" s="183"/>
      <c r="H19" s="183"/>
      <c r="I19" s="183"/>
      <c r="J19" s="183"/>
      <c r="K19" s="183"/>
    </row>
    <row r="20" customFormat="false" ht="19.5" hidden="false" customHeight="true" outlineLevel="0" collapsed="false">
      <c r="A20" s="184" t="n">
        <f aca="false">MAPA_OBRA_707!A27</f>
        <v>0</v>
      </c>
      <c r="B20" s="185" t="str">
        <f aca="false">MAPA_OBRA_707!B27</f>
        <v>Aço - Moldagem, Corte e Aplicação</v>
      </c>
      <c r="C20" s="184" t="str">
        <f aca="false">MAPA_OBRA_707!C27</f>
        <v>kg</v>
      </c>
      <c r="D20" s="186" t="n">
        <f aca="false">MAPA_OBRA_707!D27</f>
        <v>58612.63</v>
      </c>
      <c r="E20" s="186" t="n">
        <v>0</v>
      </c>
      <c r="F20" s="187" t="n">
        <v>0</v>
      </c>
      <c r="G20" s="186" t="n">
        <f aca="false">E20+F20</f>
        <v>0</v>
      </c>
      <c r="H20" s="188" t="n">
        <f aca="false">IF(D20&gt;0, G20/D20, 0)</f>
        <v>0</v>
      </c>
      <c r="I20" s="186" t="n">
        <f aca="false">D20-G20</f>
        <v>58612.63</v>
      </c>
      <c r="J20" s="189" t="n">
        <v>0</v>
      </c>
      <c r="K20" s="189" t="n">
        <f aca="false">F20*J20</f>
        <v>0</v>
      </c>
    </row>
    <row r="21" customFormat="false" ht="19.5" hidden="false" customHeight="true" outlineLevel="0" collapsed="false">
      <c r="A21" s="181" t="str">
        <f aca="false">MAPA_OBRA_707!A28</f>
        <v>4.3.1.3</v>
      </c>
      <c r="B21" s="182" t="str">
        <f aca="false">MAPA_OBRA_707!B28</f>
        <v>Paredes / Walls (200 kg/m3)</v>
      </c>
      <c r="C21" s="181" t="n">
        <f aca="false">MAPA_OBRA_707!C28</f>
        <v>0</v>
      </c>
      <c r="D21" s="183"/>
      <c r="E21" s="183"/>
      <c r="F21" s="183"/>
      <c r="G21" s="183"/>
      <c r="H21" s="183"/>
      <c r="I21" s="183"/>
      <c r="J21" s="183"/>
      <c r="K21" s="183"/>
    </row>
    <row r="22" customFormat="false" ht="19.5" hidden="false" customHeight="true" outlineLevel="0" collapsed="false">
      <c r="A22" s="184" t="n">
        <f aca="false">MAPA_OBRA_707!A31</f>
        <v>0</v>
      </c>
      <c r="B22" s="185" t="str">
        <f aca="false">MAPA_OBRA_707!B31</f>
        <v>Aço - Moldagem, Corte e Aplicação</v>
      </c>
      <c r="C22" s="184" t="str">
        <f aca="false">MAPA_OBRA_707!C31</f>
        <v>kg</v>
      </c>
      <c r="D22" s="186" t="n">
        <f aca="false">MAPA_OBRA_707!D31</f>
        <v>12744.3</v>
      </c>
      <c r="E22" s="186" t="n">
        <v>0</v>
      </c>
      <c r="F22" s="187" t="n">
        <v>0</v>
      </c>
      <c r="G22" s="186" t="n">
        <f aca="false">E22+F22</f>
        <v>0</v>
      </c>
      <c r="H22" s="188" t="n">
        <f aca="false">IF(D22&gt;0, G22/D22, 0)</f>
        <v>0</v>
      </c>
      <c r="I22" s="186" t="n">
        <f aca="false">D22-G22</f>
        <v>12744.3</v>
      </c>
      <c r="J22" s="189" t="n">
        <v>0</v>
      </c>
      <c r="K22" s="189" t="n">
        <f aca="false">F22*J22</f>
        <v>0</v>
      </c>
    </row>
    <row r="23" customFormat="false" ht="19.5" hidden="false" customHeight="true" outlineLevel="0" collapsed="false">
      <c r="A23" s="181" t="str">
        <f aca="false">MAPA_OBRA_707!A32</f>
        <v>4.3.1.3 A</v>
      </c>
      <c r="B23" s="182" t="str">
        <f aca="false">MAPA_OBRA_707!B32</f>
        <v>Núcleos do Elevador / Elevator Shaft (200 kg/m3)</v>
      </c>
      <c r="C23" s="181" t="n">
        <f aca="false">MAPA_OBRA_707!C32</f>
        <v>0</v>
      </c>
      <c r="D23" s="183"/>
      <c r="E23" s="183"/>
      <c r="F23" s="183"/>
      <c r="G23" s="183"/>
      <c r="H23" s="183"/>
      <c r="I23" s="183"/>
      <c r="J23" s="183"/>
      <c r="K23" s="183"/>
    </row>
    <row r="24" customFormat="false" ht="19.5" hidden="false" customHeight="true" outlineLevel="0" collapsed="false">
      <c r="A24" s="184" t="n">
        <f aca="false">MAPA_OBRA_707!A35</f>
        <v>0</v>
      </c>
      <c r="B24" s="185" t="str">
        <f aca="false">MAPA_OBRA_707!B35</f>
        <v>Aço - Moldagem, Corte e Aplicação</v>
      </c>
      <c r="C24" s="184" t="str">
        <f aca="false">MAPA_OBRA_707!C35</f>
        <v>kg</v>
      </c>
      <c r="D24" s="186" t="n">
        <f aca="false">MAPA_OBRA_707!D35</f>
        <v>38760.52</v>
      </c>
      <c r="E24" s="186" t="n">
        <v>0</v>
      </c>
      <c r="F24" s="187" t="n">
        <v>0</v>
      </c>
      <c r="G24" s="186" t="n">
        <f aca="false">E24+F24</f>
        <v>0</v>
      </c>
      <c r="H24" s="188" t="n">
        <f aca="false">IF(D24&gt;0, G24/D24, 0)</f>
        <v>0</v>
      </c>
      <c r="I24" s="186" t="n">
        <f aca="false">D24-G24</f>
        <v>38760.52</v>
      </c>
      <c r="J24" s="189" t="n">
        <v>0</v>
      </c>
      <c r="K24" s="189" t="n">
        <f aca="false">F24*J24</f>
        <v>0</v>
      </c>
    </row>
    <row r="25" customFormat="false" ht="19.5" hidden="false" customHeight="true" outlineLevel="0" collapsed="false">
      <c r="A25" s="181" t="str">
        <f aca="false">MAPA_OBRA_707!A36</f>
        <v>4.3.1.4</v>
      </c>
      <c r="B25" s="182" t="str">
        <f aca="false">MAPA_OBRA_707!B36</f>
        <v>Vigas / Beams (150 kg/m3)</v>
      </c>
      <c r="C25" s="181" t="n">
        <f aca="false">MAPA_OBRA_707!C36</f>
        <v>0</v>
      </c>
      <c r="D25" s="183"/>
      <c r="E25" s="183"/>
      <c r="F25" s="183"/>
      <c r="G25" s="183"/>
      <c r="H25" s="183"/>
      <c r="I25" s="183"/>
      <c r="J25" s="183"/>
      <c r="K25" s="183"/>
    </row>
    <row r="26" customFormat="false" ht="19.5" hidden="false" customHeight="true" outlineLevel="0" collapsed="false">
      <c r="A26" s="184" t="n">
        <f aca="false">MAPA_OBRA_707!A39</f>
        <v>0</v>
      </c>
      <c r="B26" s="185" t="str">
        <f aca="false">MAPA_OBRA_707!B39</f>
        <v>Aço - Moldagem, Corte e Aplicação</v>
      </c>
      <c r="C26" s="184" t="str">
        <f aca="false">MAPA_OBRA_707!C39</f>
        <v>kg</v>
      </c>
      <c r="D26" s="186" t="n">
        <f aca="false">MAPA_OBRA_707!D39</f>
        <v>66360.75</v>
      </c>
      <c r="E26" s="186" t="n">
        <v>0</v>
      </c>
      <c r="F26" s="187" t="n">
        <v>0</v>
      </c>
      <c r="G26" s="186" t="n">
        <f aca="false">E26+F26</f>
        <v>0</v>
      </c>
      <c r="H26" s="188" t="n">
        <f aca="false">IF(D26&gt;0, G26/D26, 0)</f>
        <v>0</v>
      </c>
      <c r="I26" s="186" t="n">
        <f aca="false">D26-G26</f>
        <v>66360.75</v>
      </c>
      <c r="J26" s="189" t="n">
        <v>0</v>
      </c>
      <c r="K26" s="189" t="n">
        <f aca="false">F26*J26</f>
        <v>0</v>
      </c>
    </row>
    <row r="27" customFormat="false" ht="19.5" hidden="false" customHeight="true" outlineLevel="0" collapsed="false">
      <c r="A27" s="181" t="str">
        <f aca="false">MAPA_OBRA_707!A40</f>
        <v>4.3.1.5</v>
      </c>
      <c r="B27" s="182" t="str">
        <f aca="false">MAPA_OBRA_707!B40</f>
        <v>Lajes Maciças / Massive Slabs (120 kg/m3)</v>
      </c>
      <c r="C27" s="181" t="n">
        <f aca="false">MAPA_OBRA_707!C40</f>
        <v>0</v>
      </c>
      <c r="D27" s="183"/>
      <c r="E27" s="183"/>
      <c r="F27" s="183"/>
      <c r="G27" s="183"/>
      <c r="H27" s="183"/>
      <c r="I27" s="183"/>
      <c r="J27" s="183"/>
      <c r="K27" s="183"/>
    </row>
    <row r="28" customFormat="false" ht="19.5" hidden="false" customHeight="true" outlineLevel="0" collapsed="false">
      <c r="A28" s="184" t="n">
        <f aca="false">MAPA_OBRA_707!A43</f>
        <v>0</v>
      </c>
      <c r="B28" s="185" t="str">
        <f aca="false">MAPA_OBRA_707!B43</f>
        <v>Aço - Moldagem, Corte e Aplicação</v>
      </c>
      <c r="C28" s="184" t="str">
        <f aca="false">MAPA_OBRA_707!C43</f>
        <v>kg</v>
      </c>
      <c r="D28" s="186" t="n">
        <f aca="false">MAPA_OBRA_707!D43</f>
        <v>20058.3</v>
      </c>
      <c r="E28" s="186" t="n">
        <v>0</v>
      </c>
      <c r="F28" s="187" t="n">
        <v>0</v>
      </c>
      <c r="G28" s="186" t="n">
        <f aca="false">E28+F28</f>
        <v>0</v>
      </c>
      <c r="H28" s="188" t="n">
        <f aca="false">IF(D28&gt;0, G28/D28, 0)</f>
        <v>0</v>
      </c>
      <c r="I28" s="186" t="n">
        <f aca="false">D28-G28</f>
        <v>20058.3</v>
      </c>
      <c r="J28" s="189" t="n">
        <v>0</v>
      </c>
      <c r="K28" s="189" t="n">
        <f aca="false">F28*J28</f>
        <v>0</v>
      </c>
    </row>
    <row r="29" customFormat="false" ht="19.5" hidden="false" customHeight="true" outlineLevel="0" collapsed="false">
      <c r="A29" s="181" t="str">
        <f aca="false">MAPA_OBRA_707!A44</f>
        <v>4.3.1.6</v>
      </c>
      <c r="B29" s="182" t="str">
        <f aca="false">MAPA_OBRA_707!B44</f>
        <v>Escadas / Stairs (80 kg/m3)</v>
      </c>
      <c r="C29" s="181" t="n">
        <f aca="false">MAPA_OBRA_707!C44</f>
        <v>0</v>
      </c>
      <c r="D29" s="183"/>
      <c r="E29" s="183"/>
      <c r="F29" s="183"/>
      <c r="G29" s="183"/>
      <c r="H29" s="183"/>
      <c r="I29" s="183"/>
      <c r="J29" s="183"/>
      <c r="K29" s="183"/>
    </row>
    <row r="30" customFormat="false" ht="19.5" hidden="false" customHeight="true" outlineLevel="0" collapsed="false">
      <c r="A30" s="184" t="n">
        <f aca="false">MAPA_OBRA_707!A47</f>
        <v>0</v>
      </c>
      <c r="B30" s="185" t="str">
        <f aca="false">MAPA_OBRA_707!B47</f>
        <v>Aço - Moldagem, Corte e Aplicação</v>
      </c>
      <c r="C30" s="184" t="str">
        <f aca="false">MAPA_OBRA_707!C47</f>
        <v>kg</v>
      </c>
      <c r="D30" s="186" t="n">
        <f aca="false">MAPA_OBRA_707!D47</f>
        <v>5520</v>
      </c>
      <c r="E30" s="186" t="n">
        <v>0</v>
      </c>
      <c r="F30" s="187" t="n">
        <v>0</v>
      </c>
      <c r="G30" s="186" t="n">
        <f aca="false">E30+F30</f>
        <v>0</v>
      </c>
      <c r="H30" s="188" t="n">
        <f aca="false">IF(D30&gt;0, G30/D30, 0)</f>
        <v>0</v>
      </c>
      <c r="I30" s="186" t="n">
        <f aca="false">D30-G30</f>
        <v>5520</v>
      </c>
      <c r="J30" s="189" t="n">
        <v>0</v>
      </c>
      <c r="K30" s="189" t="n">
        <f aca="false">F30*J30</f>
        <v>0</v>
      </c>
    </row>
    <row r="31" customFormat="false" ht="49.5" hidden="false" customHeight="true" outlineLevel="0" collapsed="false">
      <c r="A31" s="181" t="str">
        <f aca="false">MAPA_OBRA_707!A48</f>
        <v>4.3.1.7</v>
      </c>
      <c r="B31" s="182"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31" s="181" t="n">
        <f aca="false">MAPA_OBRA_707!C48</f>
        <v>0</v>
      </c>
      <c r="D31" s="183"/>
      <c r="E31" s="183"/>
      <c r="F31" s="183"/>
      <c r="G31" s="183"/>
      <c r="H31" s="183"/>
      <c r="I31" s="183"/>
      <c r="J31" s="183"/>
      <c r="K31" s="183"/>
    </row>
    <row r="32" customFormat="false" ht="19.5" hidden="false" customHeight="true" outlineLevel="0" collapsed="false">
      <c r="A32" s="184" t="n">
        <f aca="false">MAPA_OBRA_707!A51</f>
        <v>0</v>
      </c>
      <c r="B32" s="185" t="str">
        <f aca="false">MAPA_OBRA_707!B51</f>
        <v>Aço - Moldagem, Corte e Aplicação</v>
      </c>
      <c r="C32" s="184" t="str">
        <f aca="false">MAPA_OBRA_707!C51</f>
        <v>kg</v>
      </c>
      <c r="D32" s="186" t="n">
        <f aca="false">MAPA_OBRA_707!D51</f>
        <v>162796.88</v>
      </c>
      <c r="E32" s="186" t="n">
        <v>0</v>
      </c>
      <c r="F32" s="187" t="n">
        <v>0</v>
      </c>
      <c r="G32" s="186" t="n">
        <f aca="false">E32+F32</f>
        <v>0</v>
      </c>
      <c r="H32" s="188" t="n">
        <f aca="false">IF(D32&gt;0, G32/D32, 0)</f>
        <v>0</v>
      </c>
      <c r="I32" s="186" t="n">
        <f aca="false">D32-G32</f>
        <v>162796.88</v>
      </c>
      <c r="J32" s="189" t="n">
        <v>0</v>
      </c>
      <c r="K32" s="189" t="n">
        <f aca="false">F32*J32</f>
        <v>0</v>
      </c>
    </row>
    <row r="33" customFormat="false" ht="49.5" hidden="false" customHeight="true" outlineLevel="0" collapsed="false">
      <c r="A33" s="181" t="str">
        <f aca="false">MAPA_OBRA_707!A53</f>
        <v>4.3.2</v>
      </c>
      <c r="B33" s="182"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33" s="181" t="n">
        <f aca="false">MAPA_OBRA_707!C53</f>
        <v>0</v>
      </c>
      <c r="D33" s="183"/>
      <c r="E33" s="183"/>
      <c r="F33" s="183"/>
      <c r="G33" s="183"/>
      <c r="H33" s="183"/>
      <c r="I33" s="183"/>
      <c r="J33" s="183"/>
      <c r="K33" s="183"/>
    </row>
    <row r="34" customFormat="false" ht="36" hidden="false" customHeight="true" outlineLevel="0" collapsed="false">
      <c r="A34" s="181" t="str">
        <f aca="false">MAPA_OBRA_707!A54</f>
        <v>4.3.1</v>
      </c>
      <c r="B34" s="182" t="str">
        <f aca="false">MAPA_OBRA_707!B54</f>
        <v>Laje de Fundo de Piscina do Piso 0 / Pool Bottom Slab of Leve 0</v>
      </c>
      <c r="C34" s="181" t="n">
        <f aca="false">MAPA_OBRA_707!C54</f>
        <v>0</v>
      </c>
      <c r="D34" s="183"/>
      <c r="E34" s="183"/>
      <c r="F34" s="183"/>
      <c r="G34" s="183"/>
      <c r="H34" s="183"/>
      <c r="I34" s="183"/>
      <c r="J34" s="183"/>
      <c r="K34" s="183"/>
    </row>
    <row r="35" customFormat="false" ht="19.5" hidden="false" customHeight="true" outlineLevel="0" collapsed="false">
      <c r="A35" s="184" t="n">
        <f aca="false">MAPA_OBRA_707!A57</f>
        <v>0</v>
      </c>
      <c r="B35" s="185" t="str">
        <f aca="false">MAPA_OBRA_707!B57</f>
        <v>Aço - Moldagem, Corte e Aplicação</v>
      </c>
      <c r="C35" s="184" t="str">
        <f aca="false">MAPA_OBRA_707!C57</f>
        <v>kg</v>
      </c>
      <c r="D35" s="186" t="n">
        <f aca="false">MAPA_OBRA_707!D57</f>
        <v>23762.77</v>
      </c>
      <c r="E35" s="186" t="n">
        <v>0</v>
      </c>
      <c r="F35" s="187" t="n">
        <v>0</v>
      </c>
      <c r="G35" s="186" t="n">
        <f aca="false">E35+F35</f>
        <v>0</v>
      </c>
      <c r="H35" s="188" t="n">
        <f aca="false">IF(D35&gt;0, G35/D35, 0)</f>
        <v>0</v>
      </c>
      <c r="I35" s="186" t="n">
        <f aca="false">D35-G35</f>
        <v>23762.77</v>
      </c>
      <c r="J35" s="189" t="n">
        <v>0</v>
      </c>
      <c r="K35" s="189" t="n">
        <f aca="false">F35*J35</f>
        <v>0</v>
      </c>
    </row>
    <row r="36" customFormat="false" ht="19.5" hidden="false" customHeight="true" outlineLevel="0" collapsed="false">
      <c r="A36" s="181" t="str">
        <f aca="false">MAPA_OBRA_707!A58</f>
        <v>4.3.2</v>
      </c>
      <c r="B36" s="182" t="str">
        <f aca="false">MAPA_OBRA_707!B58</f>
        <v>Parede de Piscina do Piso 0 / Pool Walls at Level 0</v>
      </c>
      <c r="C36" s="181" t="n">
        <f aca="false">MAPA_OBRA_707!C58</f>
        <v>0</v>
      </c>
      <c r="D36" s="183"/>
      <c r="E36" s="183"/>
      <c r="F36" s="183"/>
      <c r="G36" s="183"/>
      <c r="H36" s="183"/>
      <c r="I36" s="183"/>
      <c r="J36" s="183"/>
      <c r="K36" s="183"/>
    </row>
    <row r="37" customFormat="false" ht="19.5" hidden="false" customHeight="true" outlineLevel="0" collapsed="false">
      <c r="A37" s="184" t="n">
        <f aca="false">MAPA_OBRA_707!A61</f>
        <v>0</v>
      </c>
      <c r="B37" s="185" t="str">
        <f aca="false">MAPA_OBRA_707!B61</f>
        <v>Aço - Moldagem, Corte e Aplicação</v>
      </c>
      <c r="C37" s="184" t="str">
        <f aca="false">MAPA_OBRA_707!C61</f>
        <v>kg</v>
      </c>
      <c r="D37" s="186" t="n">
        <f aca="false">MAPA_OBRA_707!D61</f>
        <v>35956.43</v>
      </c>
      <c r="E37" s="186" t="n">
        <v>0</v>
      </c>
      <c r="F37" s="187" t="n">
        <v>0</v>
      </c>
      <c r="G37" s="186" t="n">
        <f aca="false">E37+F37</f>
        <v>0</v>
      </c>
      <c r="H37" s="188" t="n">
        <f aca="false">IF(D37&gt;0, G37/D37, 0)</f>
        <v>0</v>
      </c>
      <c r="I37" s="186" t="n">
        <f aca="false">D37-G37</f>
        <v>35956.43</v>
      </c>
      <c r="J37" s="189" t="n">
        <v>0</v>
      </c>
      <c r="K37" s="189" t="n">
        <f aca="false">F37*J37</f>
        <v>0</v>
      </c>
    </row>
    <row r="38" customFormat="false" ht="19.5" hidden="false" customHeight="true" outlineLevel="0" collapsed="false">
      <c r="A38" s="181" t="str">
        <f aca="false">MAPA_OBRA_707!A62</f>
        <v>4.3.3</v>
      </c>
      <c r="B38" s="182" t="str">
        <f aca="false">MAPA_OBRA_707!B62</f>
        <v>Paredes da Piscina da Cobertura</v>
      </c>
      <c r="C38" s="181" t="n">
        <f aca="false">MAPA_OBRA_707!C62</f>
        <v>0</v>
      </c>
      <c r="D38" s="183"/>
      <c r="E38" s="183"/>
      <c r="F38" s="183"/>
      <c r="G38" s="183"/>
      <c r="H38" s="183"/>
      <c r="I38" s="183"/>
      <c r="J38" s="183"/>
      <c r="K38" s="183"/>
    </row>
    <row r="39" customFormat="false" ht="19.5" hidden="false" customHeight="true" outlineLevel="0" collapsed="false">
      <c r="A39" s="184" t="n">
        <f aca="false">MAPA_OBRA_707!A65</f>
        <v>0</v>
      </c>
      <c r="B39" s="185" t="str">
        <f aca="false">MAPA_OBRA_707!B65</f>
        <v>Aço - Moldagem, Corte e Aplicação</v>
      </c>
      <c r="C39" s="184" t="str">
        <f aca="false">MAPA_OBRA_707!C65</f>
        <v>kg</v>
      </c>
      <c r="D39" s="186" t="n">
        <f aca="false">MAPA_OBRA_707!D65</f>
        <v>4791.36</v>
      </c>
      <c r="E39" s="186" t="n">
        <v>0</v>
      </c>
      <c r="F39" s="187" t="n">
        <v>0</v>
      </c>
      <c r="G39" s="186" t="n">
        <f aca="false">E39+F39</f>
        <v>0</v>
      </c>
      <c r="H39" s="188" t="n">
        <f aca="false">IF(D39&gt;0, G39/D39, 0)</f>
        <v>0</v>
      </c>
      <c r="I39" s="186" t="n">
        <f aca="false">D39-G39</f>
        <v>4791.36</v>
      </c>
      <c r="J39" s="189" t="n">
        <v>0</v>
      </c>
      <c r="K39" s="189" t="n">
        <f aca="false">F39*J39</f>
        <v>0</v>
      </c>
    </row>
    <row r="40" customFormat="false" ht="19.5" hidden="false" customHeight="true" outlineLevel="0" collapsed="false">
      <c r="A40" s="181" t="str">
        <f aca="false">MAPA_OBRA_707!A66</f>
        <v>4.4</v>
      </c>
      <c r="B40" s="182" t="str">
        <f aca="false">MAPA_OBRA_707!B66</f>
        <v>Pavimento Térreos / Ground Floors</v>
      </c>
      <c r="C40" s="181" t="n">
        <f aca="false">MAPA_OBRA_707!C66</f>
        <v>0</v>
      </c>
      <c r="D40" s="183"/>
      <c r="E40" s="183"/>
      <c r="F40" s="183"/>
      <c r="G40" s="183"/>
      <c r="H40" s="183"/>
      <c r="I40" s="183"/>
      <c r="J40" s="183"/>
      <c r="K40" s="183"/>
    </row>
    <row r="41" customFormat="false" ht="19.5" hidden="false" customHeight="true" outlineLevel="0" collapsed="false">
      <c r="A41" s="181" t="str">
        <f aca="false">MAPA_OBRA_707!A67</f>
        <v>4.4.1</v>
      </c>
      <c r="B41" s="182" t="str">
        <f aca="false">MAPA_OBRA_707!B67</f>
        <v>Piso da Cave / Basement Level</v>
      </c>
      <c r="C41" s="181" t="n">
        <f aca="false">MAPA_OBRA_707!C67</f>
        <v>0</v>
      </c>
      <c r="D41" s="183"/>
      <c r="E41" s="183"/>
      <c r="F41" s="183"/>
      <c r="G41" s="183"/>
      <c r="H41" s="183"/>
      <c r="I41" s="183"/>
      <c r="J41" s="183"/>
      <c r="K41" s="183"/>
    </row>
    <row r="42" customFormat="false" ht="49.5" hidden="false" customHeight="true" outlineLevel="0" collapsed="false">
      <c r="A42" s="181" t="str">
        <f aca="false">MAPA_OBRA_707!A68</f>
        <v>4.4.1.1</v>
      </c>
      <c r="B42" s="182"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42" s="181" t="n">
        <f aca="false">MAPA_OBRA_707!C68</f>
        <v>0</v>
      </c>
      <c r="D42" s="183"/>
      <c r="E42" s="183"/>
      <c r="F42" s="183"/>
      <c r="G42" s="183"/>
      <c r="H42" s="183"/>
      <c r="I42" s="183"/>
      <c r="J42" s="183"/>
      <c r="K42" s="183"/>
    </row>
    <row r="43" customFormat="false" ht="19.5" hidden="false" customHeight="true" outlineLevel="0" collapsed="false">
      <c r="A43" s="184" t="str">
        <f aca="false">MAPA_OBRA_707!A72</f>
        <v>4.1.1.4</v>
      </c>
      <c r="B43" s="185" t="str">
        <f aca="false">MAPA_OBRA_707!B72</f>
        <v>Malhasol A500 AQ50</v>
      </c>
      <c r="C43" s="184" t="str">
        <f aca="false">MAPA_OBRA_707!C72</f>
        <v>m2</v>
      </c>
      <c r="D43" s="186" t="n">
        <f aca="false">MAPA_OBRA_707!D72</f>
        <v>2175</v>
      </c>
      <c r="E43" s="186" t="n">
        <v>0</v>
      </c>
      <c r="F43" s="187" t="n">
        <v>0</v>
      </c>
      <c r="G43" s="186" t="n">
        <f aca="false">E43+F43</f>
        <v>0</v>
      </c>
      <c r="H43" s="188" t="n">
        <f aca="false">IF(D43&gt;0, G43/D43, 0)</f>
        <v>0</v>
      </c>
      <c r="I43" s="186" t="n">
        <f aca="false">D43-G43</f>
        <v>2175</v>
      </c>
      <c r="J43" s="189" t="n">
        <v>0</v>
      </c>
      <c r="K43" s="189" t="n">
        <f aca="false">F43*J43</f>
        <v>0</v>
      </c>
    </row>
    <row r="44" customFormat="false" ht="15" hidden="false" customHeight="false" outlineLevel="0" collapsed="false">
      <c r="A44" s="190" t="s">
        <v>221</v>
      </c>
      <c r="B44" s="190"/>
      <c r="C44" s="190"/>
      <c r="D44" s="191"/>
      <c r="E44" s="191"/>
      <c r="F44" s="191"/>
      <c r="G44" s="191"/>
      <c r="H44" s="191"/>
      <c r="I44" s="191"/>
      <c r="J44" s="191"/>
      <c r="K44" s="192" t="n">
        <f aca="false">SUM(K6:K43)</f>
        <v>0</v>
      </c>
    </row>
  </sheetData>
  <mergeCells count="2">
    <mergeCell ref="A1:K1"/>
    <mergeCell ref="A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77" t="s">
        <v>466</v>
      </c>
      <c r="B1" s="177"/>
      <c r="C1" s="177"/>
      <c r="D1" s="177"/>
      <c r="E1" s="177"/>
      <c r="F1" s="177"/>
      <c r="G1" s="177"/>
      <c r="H1" s="177"/>
      <c r="I1" s="177"/>
      <c r="J1" s="177"/>
      <c r="K1" s="177"/>
    </row>
    <row r="2" customFormat="false" ht="15" hidden="false" customHeight="false" outlineLevel="0" collapsed="false">
      <c r="A2" s="178" t="s">
        <v>440</v>
      </c>
      <c r="B2" s="0" t="s">
        <v>441</v>
      </c>
      <c r="D2" s="178" t="s">
        <v>442</v>
      </c>
      <c r="E2" s="0" t="s">
        <v>467</v>
      </c>
      <c r="H2" s="178" t="s">
        <v>444</v>
      </c>
      <c r="I2" s="0" t="s">
        <v>445</v>
      </c>
    </row>
    <row r="3" customFormat="false" ht="15" hidden="false" customHeight="false" outlineLevel="0" collapsed="false">
      <c r="A3" s="178" t="s">
        <v>446</v>
      </c>
      <c r="B3" s="0" t="s">
        <v>447</v>
      </c>
      <c r="D3" s="178" t="s">
        <v>448</v>
      </c>
      <c r="E3" s="0" t="s">
        <v>468</v>
      </c>
      <c r="H3" s="178" t="s">
        <v>450</v>
      </c>
      <c r="I3" s="0" t="s">
        <v>451</v>
      </c>
    </row>
    <row r="5" customFormat="false" ht="24.75" hidden="false" customHeight="true" outlineLevel="0" collapsed="false">
      <c r="A5" s="179" t="s">
        <v>0</v>
      </c>
      <c r="B5" s="179" t="s">
        <v>1</v>
      </c>
      <c r="C5" s="179" t="s">
        <v>2</v>
      </c>
      <c r="D5" s="179" t="s">
        <v>452</v>
      </c>
      <c r="E5" s="180" t="s">
        <v>453</v>
      </c>
      <c r="F5" s="180" t="s">
        <v>454</v>
      </c>
      <c r="G5" s="180" t="s">
        <v>455</v>
      </c>
      <c r="H5" s="180" t="s">
        <v>456</v>
      </c>
      <c r="I5" s="180" t="s">
        <v>457</v>
      </c>
      <c r="J5" s="180" t="s">
        <v>458</v>
      </c>
      <c r="K5" s="180" t="s">
        <v>459</v>
      </c>
    </row>
    <row r="6" customFormat="false" ht="19.5" hidden="false" customHeight="true" outlineLevel="0" collapsed="false">
      <c r="A6" s="181" t="str">
        <f aca="false">MAPA_OBRA_707!A2</f>
        <v>4.1</v>
      </c>
      <c r="B6" s="182" t="str">
        <f aca="false">MAPA_OBRA_707!B2</f>
        <v>Betão de Limpeza / Cleaning concrete</v>
      </c>
      <c r="C6" s="181" t="n">
        <f aca="false">MAPA_OBRA_707!C2</f>
        <v>0</v>
      </c>
      <c r="D6" s="183"/>
      <c r="E6" s="183"/>
      <c r="F6" s="183"/>
      <c r="G6" s="183"/>
      <c r="H6" s="183"/>
      <c r="I6" s="183"/>
      <c r="J6" s="183"/>
      <c r="K6" s="183"/>
    </row>
    <row r="7" customFormat="false" ht="19.5" hidden="false" customHeight="true" outlineLevel="0" collapsed="false">
      <c r="A7" s="181" t="str">
        <f aca="false">MAPA_OBRA_707!A4</f>
        <v>4.2</v>
      </c>
      <c r="B7" s="182" t="str">
        <f aca="false">MAPA_OBRA_707!B4</f>
        <v>Fundações / Foundations</v>
      </c>
      <c r="C7" s="181" t="n">
        <f aca="false">MAPA_OBRA_707!C4</f>
        <v>0</v>
      </c>
      <c r="D7" s="183"/>
      <c r="E7" s="183"/>
      <c r="F7" s="183"/>
      <c r="G7" s="183"/>
      <c r="H7" s="183"/>
      <c r="I7" s="183"/>
      <c r="J7" s="183"/>
      <c r="K7" s="183"/>
    </row>
    <row r="8" customFormat="false" ht="49.5" hidden="false" customHeight="true" outlineLevel="0" collapsed="false">
      <c r="A8" s="181" t="str">
        <f aca="false">MAPA_OBRA_707!A5</f>
        <v>4.2.1</v>
      </c>
      <c r="B8" s="182"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8" s="181" t="n">
        <f aca="false">MAPA_OBRA_707!C5</f>
        <v>0</v>
      </c>
      <c r="D8" s="183"/>
      <c r="E8" s="183"/>
      <c r="F8" s="183"/>
      <c r="G8" s="183"/>
      <c r="H8" s="183"/>
      <c r="I8" s="183"/>
      <c r="J8" s="183"/>
      <c r="K8" s="183"/>
    </row>
    <row r="9" customFormat="false" ht="19.5" hidden="false" customHeight="true" outlineLevel="0" collapsed="false">
      <c r="A9" s="181" t="str">
        <f aca="false">MAPA_OBRA_707!A6</f>
        <v>4.2.1.1</v>
      </c>
      <c r="B9" s="182" t="str">
        <f aca="false">MAPA_OBRA_707!B6</f>
        <v>Sapatas Isoladas / Isolated Foundations (90 kg/m3)</v>
      </c>
      <c r="C9" s="181" t="n">
        <f aca="false">MAPA_OBRA_707!C6</f>
        <v>0</v>
      </c>
      <c r="D9" s="183"/>
      <c r="E9" s="183"/>
      <c r="F9" s="183"/>
      <c r="G9" s="183"/>
      <c r="H9" s="183"/>
      <c r="I9" s="183"/>
      <c r="J9" s="183"/>
      <c r="K9" s="183"/>
    </row>
    <row r="10" customFormat="false" ht="19.5" hidden="false" customHeight="true" outlineLevel="0" collapsed="false">
      <c r="A10" s="184" t="n">
        <f aca="false">MAPA_OBRA_707!A7</f>
        <v>0</v>
      </c>
      <c r="B10" s="185" t="str">
        <f aca="false">MAPA_OBRA_707!B7</f>
        <v>Betão - Aplicação e Vibração</v>
      </c>
      <c r="C10" s="184" t="str">
        <f aca="false">MAPA_OBRA_707!C7</f>
        <v>m3</v>
      </c>
      <c r="D10" s="186" t="n">
        <f aca="false">MAPA_OBRA_707!D7</f>
        <v>163.87</v>
      </c>
      <c r="E10" s="186" t="n">
        <v>0</v>
      </c>
      <c r="F10" s="187" t="n">
        <v>0</v>
      </c>
      <c r="G10" s="186" t="n">
        <f aca="false">E10+F10</f>
        <v>0</v>
      </c>
      <c r="H10" s="188" t="n">
        <f aca="false">IF(D10&gt;0, G10/D10, 0)</f>
        <v>0</v>
      </c>
      <c r="I10" s="186" t="n">
        <f aca="false">D10-G10</f>
        <v>163.87</v>
      </c>
      <c r="J10" s="189" t="n">
        <v>0</v>
      </c>
      <c r="K10" s="189" t="n">
        <f aca="false">F10*J10</f>
        <v>0</v>
      </c>
    </row>
    <row r="11" customFormat="false" ht="19.5" hidden="false" customHeight="true" outlineLevel="0" collapsed="false">
      <c r="A11" s="181" t="str">
        <f aca="false">MAPA_OBRA_707!A10</f>
        <v>4.2.1.2</v>
      </c>
      <c r="B11" s="182" t="str">
        <f aca="false">MAPA_OBRA_707!B10</f>
        <v>Sapatas Contínuas / Continuous Foundations (110 kg/m3)</v>
      </c>
      <c r="C11" s="181" t="n">
        <f aca="false">MAPA_OBRA_707!C10</f>
        <v>0</v>
      </c>
      <c r="D11" s="183"/>
      <c r="E11" s="183"/>
      <c r="F11" s="183"/>
      <c r="G11" s="183"/>
      <c r="H11" s="183"/>
      <c r="I11" s="183"/>
      <c r="J11" s="183"/>
      <c r="K11" s="183"/>
    </row>
    <row r="12" customFormat="false" ht="19.5" hidden="false" customHeight="true" outlineLevel="0" collapsed="false">
      <c r="A12" s="184" t="n">
        <f aca="false">MAPA_OBRA_707!A11</f>
        <v>0</v>
      </c>
      <c r="B12" s="185" t="str">
        <f aca="false">MAPA_OBRA_707!B11</f>
        <v>Betão - Aplicação e Vibração</v>
      </c>
      <c r="C12" s="184" t="str">
        <f aca="false">MAPA_OBRA_707!C11</f>
        <v>m3</v>
      </c>
      <c r="D12" s="186" t="n">
        <f aca="false">MAPA_OBRA_707!D11</f>
        <v>155.53</v>
      </c>
      <c r="E12" s="186" t="n">
        <v>0</v>
      </c>
      <c r="F12" s="187" t="n">
        <v>0</v>
      </c>
      <c r="G12" s="186" t="n">
        <f aca="false">E12+F12</f>
        <v>0</v>
      </c>
      <c r="H12" s="188" t="n">
        <f aca="false">IF(D12&gt;0, G12/D12, 0)</f>
        <v>0</v>
      </c>
      <c r="I12" s="186" t="n">
        <f aca="false">D12-G12</f>
        <v>155.53</v>
      </c>
      <c r="J12" s="189" t="n">
        <v>0</v>
      </c>
      <c r="K12" s="189" t="n">
        <f aca="false">F12*J12</f>
        <v>0</v>
      </c>
    </row>
    <row r="13" customFormat="false" ht="19.5" hidden="false" customHeight="true" outlineLevel="0" collapsed="false">
      <c r="A13" s="181" t="str">
        <f aca="false">MAPA_OBRA_707!A14</f>
        <v>4.2.1.3</v>
      </c>
      <c r="B13" s="182" t="str">
        <f aca="false">MAPA_OBRA_707!B14</f>
        <v>Vigas de Fundação / Beams of Foundations (115 kg/m3)</v>
      </c>
      <c r="C13" s="181" t="n">
        <f aca="false">MAPA_OBRA_707!C14</f>
        <v>0</v>
      </c>
      <c r="D13" s="183"/>
      <c r="E13" s="183"/>
      <c r="F13" s="183"/>
      <c r="G13" s="183"/>
      <c r="H13" s="183"/>
      <c r="I13" s="183"/>
      <c r="J13" s="183"/>
      <c r="K13" s="183"/>
    </row>
    <row r="14" customFormat="false" ht="19.5" hidden="false" customHeight="true" outlineLevel="0" collapsed="false">
      <c r="A14" s="184" t="n">
        <f aca="false">MAPA_OBRA_707!A15</f>
        <v>0</v>
      </c>
      <c r="B14" s="185" t="str">
        <f aca="false">MAPA_OBRA_707!B15</f>
        <v>Betão - Aplicação e Vibração</v>
      </c>
      <c r="C14" s="184" t="str">
        <f aca="false">MAPA_OBRA_707!C15</f>
        <v>m3</v>
      </c>
      <c r="D14" s="186" t="n">
        <f aca="false">MAPA_OBRA_707!D15</f>
        <v>61.44</v>
      </c>
      <c r="E14" s="186" t="n">
        <v>0</v>
      </c>
      <c r="F14" s="187" t="n">
        <v>0</v>
      </c>
      <c r="G14" s="186" t="n">
        <f aca="false">E14+F14</f>
        <v>0</v>
      </c>
      <c r="H14" s="188" t="n">
        <f aca="false">IF(D14&gt;0, G14/D14, 0)</f>
        <v>0</v>
      </c>
      <c r="I14" s="186" t="n">
        <f aca="false">D14-G14</f>
        <v>61.44</v>
      </c>
      <c r="J14" s="189" t="n">
        <v>0</v>
      </c>
      <c r="K14" s="189" t="n">
        <f aca="false">F14*J14</f>
        <v>0</v>
      </c>
    </row>
    <row r="15" customFormat="false" ht="19.5" hidden="false" customHeight="true" outlineLevel="0" collapsed="false">
      <c r="A15" s="181" t="str">
        <f aca="false">MAPA_OBRA_707!A18</f>
        <v>4.3</v>
      </c>
      <c r="B15" s="182" t="str">
        <f aca="false">MAPA_OBRA_707!B18</f>
        <v>Superestrutura / Superstructure</v>
      </c>
      <c r="C15" s="181" t="n">
        <f aca="false">MAPA_OBRA_707!C18</f>
        <v>0</v>
      </c>
      <c r="D15" s="183"/>
      <c r="E15" s="183"/>
      <c r="F15" s="183"/>
      <c r="G15" s="183"/>
      <c r="H15" s="183"/>
      <c r="I15" s="183"/>
      <c r="J15" s="183"/>
      <c r="K15" s="183"/>
    </row>
    <row r="16" customFormat="false" ht="49.5" hidden="false" customHeight="true" outlineLevel="0" collapsed="false">
      <c r="A16" s="181" t="str">
        <f aca="false">MAPA_OBRA_707!A19</f>
        <v>4.3.1</v>
      </c>
      <c r="B16" s="182"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16" s="181" t="n">
        <f aca="false">MAPA_OBRA_707!C19</f>
        <v>0</v>
      </c>
      <c r="D16" s="183"/>
      <c r="E16" s="183"/>
      <c r="F16" s="183"/>
      <c r="G16" s="183"/>
      <c r="H16" s="183"/>
      <c r="I16" s="183"/>
      <c r="J16" s="183"/>
      <c r="K16" s="183"/>
    </row>
    <row r="17" customFormat="false" ht="19.5" hidden="false" customHeight="true" outlineLevel="0" collapsed="false">
      <c r="A17" s="181" t="str">
        <f aca="false">MAPA_OBRA_707!A20</f>
        <v>4.3.1.1</v>
      </c>
      <c r="B17" s="182" t="str">
        <f aca="false">MAPA_OBRA_707!B20</f>
        <v>Muros Enterrados / Buried Walls (115 kg/m3)</v>
      </c>
      <c r="C17" s="181" t="n">
        <f aca="false">MAPA_OBRA_707!C20</f>
        <v>0</v>
      </c>
      <c r="D17" s="183"/>
      <c r="E17" s="183"/>
      <c r="F17" s="183"/>
      <c r="G17" s="183"/>
      <c r="H17" s="183"/>
      <c r="I17" s="183"/>
      <c r="J17" s="183"/>
      <c r="K17" s="183"/>
    </row>
    <row r="18" customFormat="false" ht="19.5" hidden="false" customHeight="true" outlineLevel="0" collapsed="false">
      <c r="A18" s="184" t="n">
        <f aca="false">MAPA_OBRA_707!A21</f>
        <v>0</v>
      </c>
      <c r="B18" s="185" t="str">
        <f aca="false">MAPA_OBRA_707!B21</f>
        <v>Betão - Aplicação e Vibração</v>
      </c>
      <c r="C18" s="184" t="str">
        <f aca="false">MAPA_OBRA_707!C21</f>
        <v>m3</v>
      </c>
      <c r="D18" s="186" t="n">
        <f aca="false">MAPA_OBRA_707!D21</f>
        <v>357.21</v>
      </c>
      <c r="E18" s="186" t="n">
        <v>0</v>
      </c>
      <c r="F18" s="187" t="n">
        <v>0</v>
      </c>
      <c r="G18" s="186" t="n">
        <f aca="false">E18+F18</f>
        <v>0</v>
      </c>
      <c r="H18" s="188" t="n">
        <f aca="false">IF(D18&gt;0, G18/D18, 0)</f>
        <v>0</v>
      </c>
      <c r="I18" s="186" t="n">
        <f aca="false">D18-G18</f>
        <v>357.21</v>
      </c>
      <c r="J18" s="189" t="n">
        <v>0</v>
      </c>
      <c r="K18" s="189" t="n">
        <f aca="false">F18*J18</f>
        <v>0</v>
      </c>
    </row>
    <row r="19" customFormat="false" ht="19.5" hidden="false" customHeight="true" outlineLevel="0" collapsed="false">
      <c r="A19" s="181" t="str">
        <f aca="false">MAPA_OBRA_707!A24</f>
        <v>4.3.1.2</v>
      </c>
      <c r="B19" s="182" t="str">
        <f aca="false">MAPA_OBRA_707!B24</f>
        <v>Pilares / Columns (290 kg/m3)</v>
      </c>
      <c r="C19" s="181" t="n">
        <f aca="false">MAPA_OBRA_707!C24</f>
        <v>0</v>
      </c>
      <c r="D19" s="183"/>
      <c r="E19" s="183"/>
      <c r="F19" s="183"/>
      <c r="G19" s="183"/>
      <c r="H19" s="183"/>
      <c r="I19" s="183"/>
      <c r="J19" s="183"/>
      <c r="K19" s="183"/>
    </row>
    <row r="20" customFormat="false" ht="19.5" hidden="false" customHeight="true" outlineLevel="0" collapsed="false">
      <c r="A20" s="184" t="n">
        <f aca="false">MAPA_OBRA_707!A25</f>
        <v>0</v>
      </c>
      <c r="B20" s="185" t="str">
        <f aca="false">MAPA_OBRA_707!B25</f>
        <v>Betão - Aplicação e Vibração</v>
      </c>
      <c r="C20" s="184" t="str">
        <f aca="false">MAPA_OBRA_707!C25</f>
        <v>m3</v>
      </c>
      <c r="D20" s="186" t="n">
        <f aca="false">MAPA_OBRA_707!D25</f>
        <v>175.75</v>
      </c>
      <c r="E20" s="186" t="n">
        <v>0</v>
      </c>
      <c r="F20" s="187" t="n">
        <v>0</v>
      </c>
      <c r="G20" s="186" t="n">
        <f aca="false">E20+F20</f>
        <v>0</v>
      </c>
      <c r="H20" s="188" t="n">
        <f aca="false">IF(D20&gt;0, G20/D20, 0)</f>
        <v>0</v>
      </c>
      <c r="I20" s="186" t="n">
        <f aca="false">D20-G20</f>
        <v>175.75</v>
      </c>
      <c r="J20" s="189" t="n">
        <v>0</v>
      </c>
      <c r="K20" s="189" t="n">
        <f aca="false">F20*J20</f>
        <v>0</v>
      </c>
    </row>
    <row r="21" customFormat="false" ht="19.5" hidden="false" customHeight="true" outlineLevel="0" collapsed="false">
      <c r="A21" s="181" t="str">
        <f aca="false">MAPA_OBRA_707!A28</f>
        <v>4.3.1.3</v>
      </c>
      <c r="B21" s="182" t="str">
        <f aca="false">MAPA_OBRA_707!B28</f>
        <v>Paredes / Walls (200 kg/m3)</v>
      </c>
      <c r="C21" s="181" t="n">
        <f aca="false">MAPA_OBRA_707!C28</f>
        <v>0</v>
      </c>
      <c r="D21" s="183"/>
      <c r="E21" s="183"/>
      <c r="F21" s="183"/>
      <c r="G21" s="183"/>
      <c r="H21" s="183"/>
      <c r="I21" s="183"/>
      <c r="J21" s="183"/>
      <c r="K21" s="183"/>
    </row>
    <row r="22" customFormat="false" ht="19.5" hidden="false" customHeight="true" outlineLevel="0" collapsed="false">
      <c r="A22" s="184" t="n">
        <f aca="false">MAPA_OBRA_707!A29</f>
        <v>0</v>
      </c>
      <c r="B22" s="185" t="str">
        <f aca="false">MAPA_OBRA_707!B29</f>
        <v>Betão - Aplicação e Vibração</v>
      </c>
      <c r="C22" s="184" t="str">
        <f aca="false">MAPA_OBRA_707!C29</f>
        <v>m3</v>
      </c>
      <c r="D22" s="186" t="n">
        <f aca="false">MAPA_OBRA_707!D29</f>
        <v>55.41</v>
      </c>
      <c r="E22" s="186" t="n">
        <v>0</v>
      </c>
      <c r="F22" s="187" t="n">
        <v>0</v>
      </c>
      <c r="G22" s="186" t="n">
        <f aca="false">E22+F22</f>
        <v>0</v>
      </c>
      <c r="H22" s="188" t="n">
        <f aca="false">IF(D22&gt;0, G22/D22, 0)</f>
        <v>0</v>
      </c>
      <c r="I22" s="186" t="n">
        <f aca="false">D22-G22</f>
        <v>55.41</v>
      </c>
      <c r="J22" s="189" t="n">
        <v>0</v>
      </c>
      <c r="K22" s="189" t="n">
        <f aca="false">F22*J22</f>
        <v>0</v>
      </c>
    </row>
    <row r="23" customFormat="false" ht="19.5" hidden="false" customHeight="true" outlineLevel="0" collapsed="false">
      <c r="A23" s="181" t="str">
        <f aca="false">MAPA_OBRA_707!A32</f>
        <v>4.3.1.3 A</v>
      </c>
      <c r="B23" s="182" t="str">
        <f aca="false">MAPA_OBRA_707!B32</f>
        <v>Núcleos do Elevador / Elevator Shaft (200 kg/m3)</v>
      </c>
      <c r="C23" s="181" t="n">
        <f aca="false">MAPA_OBRA_707!C32</f>
        <v>0</v>
      </c>
      <c r="D23" s="183"/>
      <c r="E23" s="183"/>
      <c r="F23" s="183"/>
      <c r="G23" s="183"/>
      <c r="H23" s="183"/>
      <c r="I23" s="183"/>
      <c r="J23" s="183"/>
      <c r="K23" s="183"/>
    </row>
    <row r="24" customFormat="false" ht="19.5" hidden="false" customHeight="true" outlineLevel="0" collapsed="false">
      <c r="A24" s="184" t="n">
        <f aca="false">MAPA_OBRA_707!A33</f>
        <v>0</v>
      </c>
      <c r="B24" s="185" t="str">
        <f aca="false">MAPA_OBRA_707!B33</f>
        <v>Betão - Aplicação e Vibração</v>
      </c>
      <c r="C24" s="184" t="str">
        <f aca="false">MAPA_OBRA_707!C33</f>
        <v>m3</v>
      </c>
      <c r="D24" s="186" t="n">
        <f aca="false">MAPA_OBRA_707!D33</f>
        <v>168.52</v>
      </c>
      <c r="E24" s="186" t="n">
        <v>0</v>
      </c>
      <c r="F24" s="187" t="n">
        <v>0</v>
      </c>
      <c r="G24" s="186" t="n">
        <f aca="false">E24+F24</f>
        <v>0</v>
      </c>
      <c r="H24" s="188" t="n">
        <f aca="false">IF(D24&gt;0, G24/D24, 0)</f>
        <v>0</v>
      </c>
      <c r="I24" s="186" t="n">
        <f aca="false">D24-G24</f>
        <v>168.52</v>
      </c>
      <c r="J24" s="189" t="n">
        <v>0</v>
      </c>
      <c r="K24" s="189" t="n">
        <f aca="false">F24*J24</f>
        <v>0</v>
      </c>
    </row>
    <row r="25" customFormat="false" ht="19.5" hidden="false" customHeight="true" outlineLevel="0" collapsed="false">
      <c r="A25" s="181" t="str">
        <f aca="false">MAPA_OBRA_707!A36</f>
        <v>4.3.1.4</v>
      </c>
      <c r="B25" s="182" t="str">
        <f aca="false">MAPA_OBRA_707!B36</f>
        <v>Vigas / Beams (150 kg/m3)</v>
      </c>
      <c r="C25" s="181" t="n">
        <f aca="false">MAPA_OBRA_707!C36</f>
        <v>0</v>
      </c>
      <c r="D25" s="183"/>
      <c r="E25" s="183"/>
      <c r="F25" s="183"/>
      <c r="G25" s="183"/>
      <c r="H25" s="183"/>
      <c r="I25" s="183"/>
      <c r="J25" s="183"/>
      <c r="K25" s="183"/>
    </row>
    <row r="26" customFormat="false" ht="19.5" hidden="false" customHeight="true" outlineLevel="0" collapsed="false">
      <c r="A26" s="184" t="n">
        <f aca="false">MAPA_OBRA_707!A37</f>
        <v>0</v>
      </c>
      <c r="B26" s="185" t="str">
        <f aca="false">MAPA_OBRA_707!B37</f>
        <v>Betão - Aplicação e Vibração</v>
      </c>
      <c r="C26" s="184" t="str">
        <f aca="false">MAPA_OBRA_707!C37</f>
        <v>m3</v>
      </c>
      <c r="D26" s="186" t="n">
        <f aca="false">MAPA_OBRA_707!D37</f>
        <v>384.7</v>
      </c>
      <c r="E26" s="186" t="n">
        <v>0</v>
      </c>
      <c r="F26" s="187" t="n">
        <v>0</v>
      </c>
      <c r="G26" s="186" t="n">
        <f aca="false">E26+F26</f>
        <v>0</v>
      </c>
      <c r="H26" s="188" t="n">
        <f aca="false">IF(D26&gt;0, G26/D26, 0)</f>
        <v>0</v>
      </c>
      <c r="I26" s="186" t="n">
        <f aca="false">D26-G26</f>
        <v>384.7</v>
      </c>
      <c r="J26" s="189" t="n">
        <v>0</v>
      </c>
      <c r="K26" s="189" t="n">
        <f aca="false">F26*J26</f>
        <v>0</v>
      </c>
    </row>
    <row r="27" customFormat="false" ht="19.5" hidden="false" customHeight="true" outlineLevel="0" collapsed="false">
      <c r="A27" s="181" t="str">
        <f aca="false">MAPA_OBRA_707!A40</f>
        <v>4.3.1.5</v>
      </c>
      <c r="B27" s="182" t="str">
        <f aca="false">MAPA_OBRA_707!B40</f>
        <v>Lajes Maciças / Massive Slabs (120 kg/m3)</v>
      </c>
      <c r="C27" s="181" t="n">
        <f aca="false">MAPA_OBRA_707!C40</f>
        <v>0</v>
      </c>
      <c r="D27" s="183"/>
      <c r="E27" s="183"/>
      <c r="F27" s="183"/>
      <c r="G27" s="183"/>
      <c r="H27" s="183"/>
      <c r="I27" s="183"/>
      <c r="J27" s="183"/>
      <c r="K27" s="183"/>
    </row>
    <row r="28" customFormat="false" ht="19.5" hidden="false" customHeight="true" outlineLevel="0" collapsed="false">
      <c r="A28" s="184" t="n">
        <f aca="false">MAPA_OBRA_707!A41</f>
        <v>0</v>
      </c>
      <c r="B28" s="185" t="str">
        <f aca="false">MAPA_OBRA_707!B41</f>
        <v>Betão - Aplicação e Vibração</v>
      </c>
      <c r="C28" s="184" t="str">
        <f aca="false">MAPA_OBRA_707!C41</f>
        <v>m3</v>
      </c>
      <c r="D28" s="186" t="n">
        <f aca="false">MAPA_OBRA_707!D41</f>
        <v>145.35</v>
      </c>
      <c r="E28" s="186" t="n">
        <v>0</v>
      </c>
      <c r="F28" s="187" t="n">
        <v>0</v>
      </c>
      <c r="G28" s="186" t="n">
        <f aca="false">E28+F28</f>
        <v>0</v>
      </c>
      <c r="H28" s="188" t="n">
        <f aca="false">IF(D28&gt;0, G28/D28, 0)</f>
        <v>0</v>
      </c>
      <c r="I28" s="186" t="n">
        <f aca="false">D28-G28</f>
        <v>145.35</v>
      </c>
      <c r="J28" s="189" t="n">
        <v>0</v>
      </c>
      <c r="K28" s="189" t="n">
        <f aca="false">F28*J28</f>
        <v>0</v>
      </c>
    </row>
    <row r="29" customFormat="false" ht="19.5" hidden="false" customHeight="true" outlineLevel="0" collapsed="false">
      <c r="A29" s="181" t="str">
        <f aca="false">MAPA_OBRA_707!A44</f>
        <v>4.3.1.6</v>
      </c>
      <c r="B29" s="182" t="str">
        <f aca="false">MAPA_OBRA_707!B44</f>
        <v>Escadas / Stairs (80 kg/m3)</v>
      </c>
      <c r="C29" s="181" t="n">
        <f aca="false">MAPA_OBRA_707!C44</f>
        <v>0</v>
      </c>
      <c r="D29" s="183"/>
      <c r="E29" s="183"/>
      <c r="F29" s="183"/>
      <c r="G29" s="183"/>
      <c r="H29" s="183"/>
      <c r="I29" s="183"/>
      <c r="J29" s="183"/>
      <c r="K29" s="183"/>
    </row>
    <row r="30" customFormat="false" ht="19.5" hidden="false" customHeight="true" outlineLevel="0" collapsed="false">
      <c r="A30" s="184" t="n">
        <f aca="false">MAPA_OBRA_707!A45</f>
        <v>0</v>
      </c>
      <c r="B30" s="185" t="str">
        <f aca="false">MAPA_OBRA_707!B45</f>
        <v>Betão - Aplicação e Vibração</v>
      </c>
      <c r="C30" s="184" t="str">
        <f aca="false">MAPA_OBRA_707!C45</f>
        <v>m3</v>
      </c>
      <c r="D30" s="186" t="n">
        <f aca="false">MAPA_OBRA_707!D45</f>
        <v>60</v>
      </c>
      <c r="E30" s="186" t="n">
        <v>0</v>
      </c>
      <c r="F30" s="187" t="n">
        <v>0</v>
      </c>
      <c r="G30" s="186" t="n">
        <f aca="false">E30+F30</f>
        <v>0</v>
      </c>
      <c r="H30" s="188" t="n">
        <f aca="false">IF(D30&gt;0, G30/D30, 0)</f>
        <v>0</v>
      </c>
      <c r="I30" s="186" t="n">
        <f aca="false">D30-G30</f>
        <v>60</v>
      </c>
      <c r="J30" s="189" t="n">
        <v>0</v>
      </c>
      <c r="K30" s="189" t="n">
        <f aca="false">F30*J30</f>
        <v>0</v>
      </c>
    </row>
    <row r="31" customFormat="false" ht="49.5" hidden="false" customHeight="true" outlineLevel="0" collapsed="false">
      <c r="A31" s="181" t="str">
        <f aca="false">MAPA_OBRA_707!A48</f>
        <v>4.3.1.7</v>
      </c>
      <c r="B31" s="182"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31" s="181" t="n">
        <f aca="false">MAPA_OBRA_707!C48</f>
        <v>0</v>
      </c>
      <c r="D31" s="183"/>
      <c r="E31" s="183"/>
      <c r="F31" s="183"/>
      <c r="G31" s="183"/>
      <c r="H31" s="183"/>
      <c r="I31" s="183"/>
      <c r="J31" s="183"/>
      <c r="K31" s="183"/>
    </row>
    <row r="32" customFormat="false" ht="19.5" hidden="false" customHeight="true" outlineLevel="0" collapsed="false">
      <c r="A32" s="184" t="n">
        <f aca="false">MAPA_OBRA_707!A49</f>
        <v>0</v>
      </c>
      <c r="B32" s="185" t="str">
        <f aca="false">MAPA_OBRA_707!B49</f>
        <v>Betão - Aplicação e Vibração</v>
      </c>
      <c r="C32" s="184" t="str">
        <f aca="false">MAPA_OBRA_707!C49</f>
        <v>m3</v>
      </c>
      <c r="D32" s="186" t="n">
        <f aca="false">MAPA_OBRA_707!D49</f>
        <v>685.93</v>
      </c>
      <c r="E32" s="186" t="n">
        <v>0</v>
      </c>
      <c r="F32" s="187" t="n">
        <v>0</v>
      </c>
      <c r="G32" s="186" t="n">
        <f aca="false">E32+F32</f>
        <v>0</v>
      </c>
      <c r="H32" s="188" t="n">
        <f aca="false">IF(D32&gt;0, G32/D32, 0)</f>
        <v>0</v>
      </c>
      <c r="I32" s="186" t="n">
        <f aca="false">D32-G32</f>
        <v>685.93</v>
      </c>
      <c r="J32" s="189" t="n">
        <v>0</v>
      </c>
      <c r="K32" s="189" t="n">
        <f aca="false">F32*J32</f>
        <v>0</v>
      </c>
    </row>
    <row r="33" customFormat="false" ht="49.5" hidden="false" customHeight="true" outlineLevel="0" collapsed="false">
      <c r="A33" s="181" t="str">
        <f aca="false">MAPA_OBRA_707!A53</f>
        <v>4.3.2</v>
      </c>
      <c r="B33" s="182"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33" s="181" t="n">
        <f aca="false">MAPA_OBRA_707!C53</f>
        <v>0</v>
      </c>
      <c r="D33" s="183"/>
      <c r="E33" s="183"/>
      <c r="F33" s="183"/>
      <c r="G33" s="183"/>
      <c r="H33" s="183"/>
      <c r="I33" s="183"/>
      <c r="J33" s="183"/>
      <c r="K33" s="183"/>
    </row>
    <row r="34" customFormat="false" ht="36" hidden="false" customHeight="true" outlineLevel="0" collapsed="false">
      <c r="A34" s="181" t="str">
        <f aca="false">MAPA_OBRA_707!A54</f>
        <v>4.3.1</v>
      </c>
      <c r="B34" s="182" t="str">
        <f aca="false">MAPA_OBRA_707!B54</f>
        <v>Laje de Fundo de Piscina do Piso 0 / Pool Bottom Slab of Leve 0</v>
      </c>
      <c r="C34" s="181" t="n">
        <f aca="false">MAPA_OBRA_707!C54</f>
        <v>0</v>
      </c>
      <c r="D34" s="183"/>
      <c r="E34" s="183"/>
      <c r="F34" s="183"/>
      <c r="G34" s="183"/>
      <c r="H34" s="183"/>
      <c r="I34" s="183"/>
      <c r="J34" s="183"/>
      <c r="K34" s="183"/>
    </row>
    <row r="35" customFormat="false" ht="19.5" hidden="false" customHeight="true" outlineLevel="0" collapsed="false">
      <c r="A35" s="184" t="n">
        <f aca="false">MAPA_OBRA_707!A55</f>
        <v>0</v>
      </c>
      <c r="B35" s="185" t="str">
        <f aca="false">MAPA_OBRA_707!B55</f>
        <v>Betão - Aplicação e Vibração</v>
      </c>
      <c r="C35" s="184" t="str">
        <f aca="false">MAPA_OBRA_707!C55</f>
        <v>m3</v>
      </c>
      <c r="D35" s="186" t="n">
        <f aca="false">MAPA_OBRA_707!D55</f>
        <v>187.85</v>
      </c>
      <c r="E35" s="186" t="n">
        <v>0</v>
      </c>
      <c r="F35" s="187" t="n">
        <v>0</v>
      </c>
      <c r="G35" s="186" t="n">
        <f aca="false">E35+F35</f>
        <v>0</v>
      </c>
      <c r="H35" s="188" t="n">
        <f aca="false">IF(D35&gt;0, G35/D35, 0)</f>
        <v>0</v>
      </c>
      <c r="I35" s="186" t="n">
        <f aca="false">D35-G35</f>
        <v>187.85</v>
      </c>
      <c r="J35" s="189" t="n">
        <v>0</v>
      </c>
      <c r="K35" s="189" t="n">
        <f aca="false">F35*J35</f>
        <v>0</v>
      </c>
    </row>
    <row r="36" customFormat="false" ht="19.5" hidden="false" customHeight="true" outlineLevel="0" collapsed="false">
      <c r="A36" s="181" t="str">
        <f aca="false">MAPA_OBRA_707!A58</f>
        <v>4.3.2</v>
      </c>
      <c r="B36" s="182" t="str">
        <f aca="false">MAPA_OBRA_707!B58</f>
        <v>Parede de Piscina do Piso 0 / Pool Walls at Level 0</v>
      </c>
      <c r="C36" s="181" t="n">
        <f aca="false">MAPA_OBRA_707!C58</f>
        <v>0</v>
      </c>
      <c r="D36" s="183"/>
      <c r="E36" s="183"/>
      <c r="F36" s="183"/>
      <c r="G36" s="183"/>
      <c r="H36" s="183"/>
      <c r="I36" s="183"/>
      <c r="J36" s="183"/>
      <c r="K36" s="183"/>
    </row>
    <row r="37" customFormat="false" ht="19.5" hidden="false" customHeight="true" outlineLevel="0" collapsed="false">
      <c r="A37" s="184" t="n">
        <f aca="false">MAPA_OBRA_707!A59</f>
        <v>0</v>
      </c>
      <c r="B37" s="185" t="str">
        <f aca="false">MAPA_OBRA_707!B59</f>
        <v>Betão - Aplicação e Vibração</v>
      </c>
      <c r="C37" s="184" t="str">
        <f aca="false">MAPA_OBRA_707!C59</f>
        <v>m3</v>
      </c>
      <c r="D37" s="186" t="n">
        <f aca="false">MAPA_OBRA_707!D59</f>
        <v>215.23</v>
      </c>
      <c r="E37" s="186" t="n">
        <v>0</v>
      </c>
      <c r="F37" s="187" t="n">
        <v>0</v>
      </c>
      <c r="G37" s="186" t="n">
        <f aca="false">E37+F37</f>
        <v>0</v>
      </c>
      <c r="H37" s="188" t="n">
        <f aca="false">IF(D37&gt;0, G37/D37, 0)</f>
        <v>0</v>
      </c>
      <c r="I37" s="186" t="n">
        <f aca="false">D37-G37</f>
        <v>215.23</v>
      </c>
      <c r="J37" s="189" t="n">
        <v>0</v>
      </c>
      <c r="K37" s="189" t="n">
        <f aca="false">F37*J37</f>
        <v>0</v>
      </c>
    </row>
    <row r="38" customFormat="false" ht="19.5" hidden="false" customHeight="true" outlineLevel="0" collapsed="false">
      <c r="A38" s="181" t="str">
        <f aca="false">MAPA_OBRA_707!A62</f>
        <v>4.3.3</v>
      </c>
      <c r="B38" s="182" t="str">
        <f aca="false">MAPA_OBRA_707!B62</f>
        <v>Paredes da Piscina da Cobertura</v>
      </c>
      <c r="C38" s="181" t="n">
        <f aca="false">MAPA_OBRA_707!C62</f>
        <v>0</v>
      </c>
      <c r="D38" s="183"/>
      <c r="E38" s="183"/>
      <c r="F38" s="183"/>
      <c r="G38" s="183"/>
      <c r="H38" s="183"/>
      <c r="I38" s="183"/>
      <c r="J38" s="183"/>
      <c r="K38" s="183"/>
    </row>
    <row r="39" customFormat="false" ht="19.5" hidden="false" customHeight="true" outlineLevel="0" collapsed="false">
      <c r="A39" s="184" t="n">
        <f aca="false">MAPA_OBRA_707!A63</f>
        <v>0</v>
      </c>
      <c r="B39" s="185" t="str">
        <f aca="false">MAPA_OBRA_707!B63</f>
        <v>Betão - Aplicação e Vibração</v>
      </c>
      <c r="C39" s="184" t="str">
        <f aca="false">MAPA_OBRA_707!C63</f>
        <v>m3</v>
      </c>
      <c r="D39" s="186" t="n">
        <f aca="false">MAPA_OBRA_707!D63</f>
        <v>29.76</v>
      </c>
      <c r="E39" s="186" t="n">
        <v>0</v>
      </c>
      <c r="F39" s="187" t="n">
        <v>0</v>
      </c>
      <c r="G39" s="186" t="n">
        <f aca="false">E39+F39</f>
        <v>0</v>
      </c>
      <c r="H39" s="188" t="n">
        <f aca="false">IF(D39&gt;0, G39/D39, 0)</f>
        <v>0</v>
      </c>
      <c r="I39" s="186" t="n">
        <f aca="false">D39-G39</f>
        <v>29.76</v>
      </c>
      <c r="J39" s="189" t="n">
        <v>0</v>
      </c>
      <c r="K39" s="189" t="n">
        <f aca="false">F39*J39</f>
        <v>0</v>
      </c>
    </row>
    <row r="40" customFormat="false" ht="19.5" hidden="false" customHeight="true" outlineLevel="0" collapsed="false">
      <c r="A40" s="181" t="str">
        <f aca="false">MAPA_OBRA_707!A66</f>
        <v>4.4</v>
      </c>
      <c r="B40" s="182" t="str">
        <f aca="false">MAPA_OBRA_707!B66</f>
        <v>Pavimento Térreos / Ground Floors</v>
      </c>
      <c r="C40" s="181" t="n">
        <f aca="false">MAPA_OBRA_707!C66</f>
        <v>0</v>
      </c>
      <c r="D40" s="183"/>
      <c r="E40" s="183"/>
      <c r="F40" s="183"/>
      <c r="G40" s="183"/>
      <c r="H40" s="183"/>
      <c r="I40" s="183"/>
      <c r="J40" s="183"/>
      <c r="K40" s="183"/>
    </row>
    <row r="41" customFormat="false" ht="19.5" hidden="false" customHeight="true" outlineLevel="0" collapsed="false">
      <c r="A41" s="181" t="str">
        <f aca="false">MAPA_OBRA_707!A67</f>
        <v>4.4.1</v>
      </c>
      <c r="B41" s="182" t="str">
        <f aca="false">MAPA_OBRA_707!B67</f>
        <v>Piso da Cave / Basement Level</v>
      </c>
      <c r="C41" s="181" t="n">
        <f aca="false">MAPA_OBRA_707!C67</f>
        <v>0</v>
      </c>
      <c r="D41" s="183"/>
      <c r="E41" s="183"/>
      <c r="F41" s="183"/>
      <c r="G41" s="183"/>
      <c r="H41" s="183"/>
      <c r="I41" s="183"/>
      <c r="J41" s="183"/>
      <c r="K41" s="183"/>
    </row>
    <row r="42" customFormat="false" ht="49.5" hidden="false" customHeight="true" outlineLevel="0" collapsed="false">
      <c r="A42" s="181" t="str">
        <f aca="false">MAPA_OBRA_707!A68</f>
        <v>4.4.1.1</v>
      </c>
      <c r="B42" s="182"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42" s="181" t="n">
        <f aca="false">MAPA_OBRA_707!C68</f>
        <v>0</v>
      </c>
      <c r="D42" s="183"/>
      <c r="E42" s="183"/>
      <c r="F42" s="183"/>
      <c r="G42" s="183"/>
      <c r="H42" s="183"/>
      <c r="I42" s="183"/>
      <c r="J42" s="183"/>
      <c r="K42" s="183"/>
    </row>
    <row r="43" customFormat="false" ht="19.5" hidden="false" customHeight="true" outlineLevel="0" collapsed="false">
      <c r="A43" s="184" t="str">
        <f aca="false">MAPA_OBRA_707!A69</f>
        <v>4.1.1.1</v>
      </c>
      <c r="B43" s="185" t="str">
        <f aca="false">MAPA_OBRA_707!B69</f>
        <v>Betão de Limpeza / Cleaning concrete</v>
      </c>
      <c r="C43" s="184" t="str">
        <f aca="false">MAPA_OBRA_707!C69</f>
        <v>m3</v>
      </c>
      <c r="D43" s="186" t="n">
        <f aca="false">MAPA_OBRA_707!D69</f>
        <v>108.75</v>
      </c>
      <c r="E43" s="186" t="n">
        <v>0</v>
      </c>
      <c r="F43" s="187" t="n">
        <v>0</v>
      </c>
      <c r="G43" s="186" t="n">
        <f aca="false">E43+F43</f>
        <v>0</v>
      </c>
      <c r="H43" s="188" t="n">
        <f aca="false">IF(D43&gt;0, G43/D43, 0)</f>
        <v>0</v>
      </c>
      <c r="I43" s="186" t="n">
        <f aca="false">D43-G43</f>
        <v>108.75</v>
      </c>
      <c r="J43" s="189" t="n">
        <v>0</v>
      </c>
      <c r="K43" s="189" t="n">
        <f aca="false">F43*J43</f>
        <v>0</v>
      </c>
    </row>
    <row r="44" customFormat="false" ht="19.5" hidden="false" customHeight="true" outlineLevel="0" collapsed="false">
      <c r="A44" s="184" t="str">
        <f aca="false">MAPA_OBRA_707!A71</f>
        <v>4.1.1.3</v>
      </c>
      <c r="B44" s="185" t="str">
        <f aca="false">MAPA_OBRA_707!B71</f>
        <v>Lâmina de compressão em betão C20/25 XC2 C0,40 D22 S3</v>
      </c>
      <c r="C44" s="184" t="str">
        <f aca="false">MAPA_OBRA_707!C71</f>
        <v>m3</v>
      </c>
      <c r="D44" s="186" t="n">
        <f aca="false">MAPA_OBRA_707!D71</f>
        <v>108.75</v>
      </c>
      <c r="E44" s="186" t="n">
        <v>0</v>
      </c>
      <c r="F44" s="187" t="n">
        <v>0</v>
      </c>
      <c r="G44" s="186" t="n">
        <f aca="false">E44+F44</f>
        <v>0</v>
      </c>
      <c r="H44" s="188" t="n">
        <f aca="false">IF(D44&gt;0, G44/D44, 0)</f>
        <v>0</v>
      </c>
      <c r="I44" s="186" t="n">
        <f aca="false">D44-G44</f>
        <v>108.75</v>
      </c>
      <c r="J44" s="189" t="n">
        <v>0</v>
      </c>
      <c r="K44" s="189" t="n">
        <f aca="false">F44*J44</f>
        <v>0</v>
      </c>
    </row>
    <row r="45" customFormat="false" ht="15" hidden="false" customHeight="false" outlineLevel="0" collapsed="false">
      <c r="A45" s="190" t="s">
        <v>221</v>
      </c>
      <c r="B45" s="190"/>
      <c r="C45" s="190"/>
      <c r="D45" s="191"/>
      <c r="E45" s="191"/>
      <c r="F45" s="191"/>
      <c r="G45" s="191"/>
      <c r="H45" s="191"/>
      <c r="I45" s="191"/>
      <c r="J45" s="191"/>
      <c r="K45" s="192" t="n">
        <f aca="false">SUM(K6:K44)</f>
        <v>0</v>
      </c>
    </row>
  </sheetData>
  <mergeCells count="2">
    <mergeCell ref="A1:K1"/>
    <mergeCell ref="A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77" t="s">
        <v>469</v>
      </c>
      <c r="B1" s="177"/>
      <c r="C1" s="177"/>
      <c r="D1" s="177"/>
      <c r="E1" s="177"/>
      <c r="F1" s="177"/>
      <c r="G1" s="177"/>
      <c r="H1" s="177"/>
      <c r="I1" s="177"/>
      <c r="J1" s="177"/>
      <c r="K1" s="177"/>
    </row>
    <row r="2" customFormat="false" ht="15" hidden="false" customHeight="false" outlineLevel="0" collapsed="false">
      <c r="A2" s="178" t="s">
        <v>440</v>
      </c>
      <c r="B2" s="0" t="s">
        <v>441</v>
      </c>
      <c r="D2" s="178" t="s">
        <v>442</v>
      </c>
      <c r="E2" s="0" t="s">
        <v>470</v>
      </c>
      <c r="H2" s="178" t="s">
        <v>444</v>
      </c>
      <c r="I2" s="0" t="s">
        <v>445</v>
      </c>
    </row>
    <row r="3" customFormat="false" ht="15" hidden="false" customHeight="false" outlineLevel="0" collapsed="false">
      <c r="A3" s="178" t="s">
        <v>446</v>
      </c>
      <c r="B3" s="0" t="s">
        <v>447</v>
      </c>
      <c r="D3" s="178" t="s">
        <v>448</v>
      </c>
      <c r="E3" s="0" t="s">
        <v>471</v>
      </c>
      <c r="H3" s="178" t="s">
        <v>450</v>
      </c>
      <c r="I3" s="0" t="s">
        <v>451</v>
      </c>
    </row>
    <row r="5" customFormat="false" ht="24.75" hidden="false" customHeight="true" outlineLevel="0" collapsed="false">
      <c r="A5" s="179" t="s">
        <v>0</v>
      </c>
      <c r="B5" s="179" t="s">
        <v>1</v>
      </c>
      <c r="C5" s="179" t="s">
        <v>2</v>
      </c>
      <c r="D5" s="179" t="s">
        <v>452</v>
      </c>
      <c r="E5" s="180" t="s">
        <v>453</v>
      </c>
      <c r="F5" s="180" t="s">
        <v>454</v>
      </c>
      <c r="G5" s="180" t="s">
        <v>455</v>
      </c>
      <c r="H5" s="180" t="s">
        <v>456</v>
      </c>
      <c r="I5" s="180" t="s">
        <v>457</v>
      </c>
      <c r="J5" s="180" t="s">
        <v>458</v>
      </c>
      <c r="K5" s="180" t="s">
        <v>459</v>
      </c>
    </row>
    <row r="6" customFormat="false" ht="19.5" hidden="false" customHeight="true" outlineLevel="0" collapsed="false">
      <c r="A6" s="181" t="str">
        <f aca="false">MAPA_OBRA_707!A2</f>
        <v>4.1</v>
      </c>
      <c r="B6" s="182" t="str">
        <f aca="false">MAPA_OBRA_707!B2</f>
        <v>Betão de Limpeza / Cleaning concrete</v>
      </c>
      <c r="C6" s="181" t="n">
        <f aca="false">MAPA_OBRA_707!C2</f>
        <v>0</v>
      </c>
      <c r="D6" s="183"/>
      <c r="E6" s="183"/>
      <c r="F6" s="183"/>
      <c r="G6" s="183"/>
      <c r="H6" s="183"/>
      <c r="I6" s="183"/>
      <c r="J6" s="183"/>
      <c r="K6" s="183"/>
    </row>
    <row r="7" customFormat="false" ht="19.5" hidden="false" customHeight="true" outlineLevel="0" collapsed="false">
      <c r="A7" s="181" t="str">
        <f aca="false">MAPA_OBRA_707!A4</f>
        <v>4.2</v>
      </c>
      <c r="B7" s="182" t="str">
        <f aca="false">MAPA_OBRA_707!B4</f>
        <v>Fundações / Foundations</v>
      </c>
      <c r="C7" s="181" t="n">
        <f aca="false">MAPA_OBRA_707!C4</f>
        <v>0</v>
      </c>
      <c r="D7" s="183"/>
      <c r="E7" s="183"/>
      <c r="F7" s="183"/>
      <c r="G7" s="183"/>
      <c r="H7" s="183"/>
      <c r="I7" s="183"/>
      <c r="J7" s="183"/>
      <c r="K7" s="183"/>
    </row>
    <row r="8" customFormat="false" ht="49.5" hidden="false" customHeight="true" outlineLevel="0" collapsed="false">
      <c r="A8" s="181" t="str">
        <f aca="false">MAPA_OBRA_707!A5</f>
        <v>4.2.1</v>
      </c>
      <c r="B8" s="182"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8" s="181" t="n">
        <f aca="false">MAPA_OBRA_707!C5</f>
        <v>0</v>
      </c>
      <c r="D8" s="183"/>
      <c r="E8" s="183"/>
      <c r="F8" s="183"/>
      <c r="G8" s="183"/>
      <c r="H8" s="183"/>
      <c r="I8" s="183"/>
      <c r="J8" s="183"/>
      <c r="K8" s="183"/>
    </row>
    <row r="9" customFormat="false" ht="19.5" hidden="false" customHeight="true" outlineLevel="0" collapsed="false">
      <c r="A9" s="181" t="str">
        <f aca="false">MAPA_OBRA_707!A6</f>
        <v>4.2.1.1</v>
      </c>
      <c r="B9" s="182" t="str">
        <f aca="false">MAPA_OBRA_707!B6</f>
        <v>Sapatas Isoladas / Isolated Foundations (90 kg/m3)</v>
      </c>
      <c r="C9" s="181" t="n">
        <f aca="false">MAPA_OBRA_707!C6</f>
        <v>0</v>
      </c>
      <c r="D9" s="183"/>
      <c r="E9" s="183"/>
      <c r="F9" s="183"/>
      <c r="G9" s="183"/>
      <c r="H9" s="183"/>
      <c r="I9" s="183"/>
      <c r="J9" s="183"/>
      <c r="K9" s="183"/>
    </row>
    <row r="10" customFormat="false" ht="19.5" hidden="false" customHeight="true" outlineLevel="0" collapsed="false">
      <c r="A10" s="181" t="str">
        <f aca="false">MAPA_OBRA_707!A10</f>
        <v>4.2.1.2</v>
      </c>
      <c r="B10" s="182" t="str">
        <f aca="false">MAPA_OBRA_707!B10</f>
        <v>Sapatas Contínuas / Continuous Foundations (110 kg/m3)</v>
      </c>
      <c r="C10" s="181" t="n">
        <f aca="false">MAPA_OBRA_707!C10</f>
        <v>0</v>
      </c>
      <c r="D10" s="183"/>
      <c r="E10" s="183"/>
      <c r="F10" s="183"/>
      <c r="G10" s="183"/>
      <c r="H10" s="183"/>
      <c r="I10" s="183"/>
      <c r="J10" s="183"/>
      <c r="K10" s="183"/>
    </row>
    <row r="11" customFormat="false" ht="19.5" hidden="false" customHeight="true" outlineLevel="0" collapsed="false">
      <c r="A11" s="181" t="str">
        <f aca="false">MAPA_OBRA_707!A14</f>
        <v>4.2.1.3</v>
      </c>
      <c r="B11" s="182" t="str">
        <f aca="false">MAPA_OBRA_707!B14</f>
        <v>Vigas de Fundação / Beams of Foundations (115 kg/m3)</v>
      </c>
      <c r="C11" s="181" t="n">
        <f aca="false">MAPA_OBRA_707!C14</f>
        <v>0</v>
      </c>
      <c r="D11" s="183"/>
      <c r="E11" s="183"/>
      <c r="F11" s="183"/>
      <c r="G11" s="183"/>
      <c r="H11" s="183"/>
      <c r="I11" s="183"/>
      <c r="J11" s="183"/>
      <c r="K11" s="183"/>
    </row>
    <row r="12" customFormat="false" ht="19.5" hidden="false" customHeight="true" outlineLevel="0" collapsed="false">
      <c r="A12" s="181" t="str">
        <f aca="false">MAPA_OBRA_707!A18</f>
        <v>4.3</v>
      </c>
      <c r="B12" s="182" t="str">
        <f aca="false">MAPA_OBRA_707!B18</f>
        <v>Superestrutura / Superstructure</v>
      </c>
      <c r="C12" s="181" t="n">
        <f aca="false">MAPA_OBRA_707!C18</f>
        <v>0</v>
      </c>
      <c r="D12" s="183"/>
      <c r="E12" s="183"/>
      <c r="F12" s="183"/>
      <c r="G12" s="183"/>
      <c r="H12" s="183"/>
      <c r="I12" s="183"/>
      <c r="J12" s="183"/>
      <c r="K12" s="183"/>
    </row>
    <row r="13" customFormat="false" ht="49.5" hidden="false" customHeight="true" outlineLevel="0" collapsed="false">
      <c r="A13" s="181" t="str">
        <f aca="false">MAPA_OBRA_707!A19</f>
        <v>4.3.1</v>
      </c>
      <c r="B13" s="182"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13" s="181" t="n">
        <f aca="false">MAPA_OBRA_707!C19</f>
        <v>0</v>
      </c>
      <c r="D13" s="183"/>
      <c r="E13" s="183"/>
      <c r="F13" s="183"/>
      <c r="G13" s="183"/>
      <c r="H13" s="183"/>
      <c r="I13" s="183"/>
      <c r="J13" s="183"/>
      <c r="K13" s="183"/>
    </row>
    <row r="14" customFormat="false" ht="19.5" hidden="false" customHeight="true" outlineLevel="0" collapsed="false">
      <c r="A14" s="181" t="str">
        <f aca="false">MAPA_OBRA_707!A20</f>
        <v>4.3.1.1</v>
      </c>
      <c r="B14" s="182" t="str">
        <f aca="false">MAPA_OBRA_707!B20</f>
        <v>Muros Enterrados / Buried Walls (115 kg/m3)</v>
      </c>
      <c r="C14" s="181" t="n">
        <f aca="false">MAPA_OBRA_707!C20</f>
        <v>0</v>
      </c>
      <c r="D14" s="183"/>
      <c r="E14" s="183"/>
      <c r="F14" s="183"/>
      <c r="G14" s="183"/>
      <c r="H14" s="183"/>
      <c r="I14" s="183"/>
      <c r="J14" s="183"/>
      <c r="K14" s="183"/>
    </row>
    <row r="15" customFormat="false" ht="19.5" hidden="false" customHeight="true" outlineLevel="0" collapsed="false">
      <c r="A15" s="181" t="str">
        <f aca="false">MAPA_OBRA_707!A24</f>
        <v>4.3.1.2</v>
      </c>
      <c r="B15" s="182" t="str">
        <f aca="false">MAPA_OBRA_707!B24</f>
        <v>Pilares / Columns (290 kg/m3)</v>
      </c>
      <c r="C15" s="181" t="n">
        <f aca="false">MAPA_OBRA_707!C24</f>
        <v>0</v>
      </c>
      <c r="D15" s="183"/>
      <c r="E15" s="183"/>
      <c r="F15" s="183"/>
      <c r="G15" s="183"/>
      <c r="H15" s="183"/>
      <c r="I15" s="183"/>
      <c r="J15" s="183"/>
      <c r="K15" s="183"/>
    </row>
    <row r="16" customFormat="false" ht="19.5" hidden="false" customHeight="true" outlineLevel="0" collapsed="false">
      <c r="A16" s="181" t="str">
        <f aca="false">MAPA_OBRA_707!A28</f>
        <v>4.3.1.3</v>
      </c>
      <c r="B16" s="182" t="str">
        <f aca="false">MAPA_OBRA_707!B28</f>
        <v>Paredes / Walls (200 kg/m3)</v>
      </c>
      <c r="C16" s="181" t="n">
        <f aca="false">MAPA_OBRA_707!C28</f>
        <v>0</v>
      </c>
      <c r="D16" s="183"/>
      <c r="E16" s="183"/>
      <c r="F16" s="183"/>
      <c r="G16" s="183"/>
      <c r="H16" s="183"/>
      <c r="I16" s="183"/>
      <c r="J16" s="183"/>
      <c r="K16" s="183"/>
    </row>
    <row r="17" customFormat="false" ht="19.5" hidden="false" customHeight="true" outlineLevel="0" collapsed="false">
      <c r="A17" s="181" t="str">
        <f aca="false">MAPA_OBRA_707!A32</f>
        <v>4.3.1.3 A</v>
      </c>
      <c r="B17" s="182" t="str">
        <f aca="false">MAPA_OBRA_707!B32</f>
        <v>Núcleos do Elevador / Elevator Shaft (200 kg/m3)</v>
      </c>
      <c r="C17" s="181" t="n">
        <f aca="false">MAPA_OBRA_707!C32</f>
        <v>0</v>
      </c>
      <c r="D17" s="183"/>
      <c r="E17" s="183"/>
      <c r="F17" s="183"/>
      <c r="G17" s="183"/>
      <c r="H17" s="183"/>
      <c r="I17" s="183"/>
      <c r="J17" s="183"/>
      <c r="K17" s="183"/>
    </row>
    <row r="18" customFormat="false" ht="19.5" hidden="false" customHeight="true" outlineLevel="0" collapsed="false">
      <c r="A18" s="181" t="str">
        <f aca="false">MAPA_OBRA_707!A36</f>
        <v>4.3.1.4</v>
      </c>
      <c r="B18" s="182" t="str">
        <f aca="false">MAPA_OBRA_707!B36</f>
        <v>Vigas / Beams (150 kg/m3)</v>
      </c>
      <c r="C18" s="181" t="n">
        <f aca="false">MAPA_OBRA_707!C36</f>
        <v>0</v>
      </c>
      <c r="D18" s="183"/>
      <c r="E18" s="183"/>
      <c r="F18" s="183"/>
      <c r="G18" s="183"/>
      <c r="H18" s="183"/>
      <c r="I18" s="183"/>
      <c r="J18" s="183"/>
      <c r="K18" s="183"/>
    </row>
    <row r="19" customFormat="false" ht="19.5" hidden="false" customHeight="true" outlineLevel="0" collapsed="false">
      <c r="A19" s="181" t="str">
        <f aca="false">MAPA_OBRA_707!A40</f>
        <v>4.3.1.5</v>
      </c>
      <c r="B19" s="182" t="str">
        <f aca="false">MAPA_OBRA_707!B40</f>
        <v>Lajes Maciças / Massive Slabs (120 kg/m3)</v>
      </c>
      <c r="C19" s="181" t="n">
        <f aca="false">MAPA_OBRA_707!C40</f>
        <v>0</v>
      </c>
      <c r="D19" s="183"/>
      <c r="E19" s="183"/>
      <c r="F19" s="183"/>
      <c r="G19" s="183"/>
      <c r="H19" s="183"/>
      <c r="I19" s="183"/>
      <c r="J19" s="183"/>
      <c r="K19" s="183"/>
    </row>
    <row r="20" customFormat="false" ht="19.5" hidden="false" customHeight="true" outlineLevel="0" collapsed="false">
      <c r="A20" s="181" t="str">
        <f aca="false">MAPA_OBRA_707!A44</f>
        <v>4.3.1.6</v>
      </c>
      <c r="B20" s="182" t="str">
        <f aca="false">MAPA_OBRA_707!B44</f>
        <v>Escadas / Stairs (80 kg/m3)</v>
      </c>
      <c r="C20" s="181" t="n">
        <f aca="false">MAPA_OBRA_707!C44</f>
        <v>0</v>
      </c>
      <c r="D20" s="183"/>
      <c r="E20" s="183"/>
      <c r="F20" s="183"/>
      <c r="G20" s="183"/>
      <c r="H20" s="183"/>
      <c r="I20" s="183"/>
      <c r="J20" s="183"/>
      <c r="K20" s="183"/>
    </row>
    <row r="21" customFormat="false" ht="49.5" hidden="false" customHeight="true" outlineLevel="0" collapsed="false">
      <c r="A21" s="181" t="str">
        <f aca="false">MAPA_OBRA_707!A48</f>
        <v>4.3.1.7</v>
      </c>
      <c r="B21" s="182"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21" s="181" t="n">
        <f aca="false">MAPA_OBRA_707!C48</f>
        <v>0</v>
      </c>
      <c r="D21" s="183"/>
      <c r="E21" s="183"/>
      <c r="F21" s="183"/>
      <c r="G21" s="183"/>
      <c r="H21" s="183"/>
      <c r="I21" s="183"/>
      <c r="J21" s="183"/>
      <c r="K21" s="183"/>
    </row>
    <row r="22" customFormat="false" ht="19.5" hidden="false" customHeight="true" outlineLevel="0" collapsed="false">
      <c r="A22" s="184" t="n">
        <f aca="false">MAPA_OBRA_707!A52</f>
        <v>0</v>
      </c>
      <c r="B22" s="185" t="str">
        <f aca="false">MAPA_OBRA_707!B52</f>
        <v>Aplicação Moldes CBX</v>
      </c>
      <c r="C22" s="184" t="str">
        <f aca="false">MAPA_OBRA_707!C52</f>
        <v>m2</v>
      </c>
      <c r="D22" s="186" t="n">
        <f aca="false">MAPA_OBRA_707!D52</f>
        <v>2723.06</v>
      </c>
      <c r="E22" s="186" t="n">
        <v>0</v>
      </c>
      <c r="F22" s="187" t="n">
        <v>0</v>
      </c>
      <c r="G22" s="186" t="n">
        <f aca="false">E22+F22</f>
        <v>0</v>
      </c>
      <c r="H22" s="188" t="n">
        <f aca="false">IF(D22&gt;0, G22/D22, 0)</f>
        <v>0</v>
      </c>
      <c r="I22" s="186" t="n">
        <f aca="false">D22-G22</f>
        <v>2723.06</v>
      </c>
      <c r="J22" s="189" t="n">
        <v>0</v>
      </c>
      <c r="K22" s="189" t="n">
        <f aca="false">F22*J22</f>
        <v>0</v>
      </c>
    </row>
    <row r="23" customFormat="false" ht="49.5" hidden="false" customHeight="true" outlineLevel="0" collapsed="false">
      <c r="A23" s="181" t="str">
        <f aca="false">MAPA_OBRA_707!A53</f>
        <v>4.3.2</v>
      </c>
      <c r="B23" s="182"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23" s="181" t="n">
        <f aca="false">MAPA_OBRA_707!C53</f>
        <v>0</v>
      </c>
      <c r="D23" s="183"/>
      <c r="E23" s="183"/>
      <c r="F23" s="183"/>
      <c r="G23" s="183"/>
      <c r="H23" s="183"/>
      <c r="I23" s="183"/>
      <c r="J23" s="183"/>
      <c r="K23" s="183"/>
    </row>
    <row r="24" customFormat="false" ht="36" hidden="false" customHeight="true" outlineLevel="0" collapsed="false">
      <c r="A24" s="181" t="str">
        <f aca="false">MAPA_OBRA_707!A54</f>
        <v>4.3.1</v>
      </c>
      <c r="B24" s="182" t="str">
        <f aca="false">MAPA_OBRA_707!B54</f>
        <v>Laje de Fundo de Piscina do Piso 0 / Pool Bottom Slab of Leve 0</v>
      </c>
      <c r="C24" s="181" t="n">
        <f aca="false">MAPA_OBRA_707!C54</f>
        <v>0</v>
      </c>
      <c r="D24" s="183"/>
      <c r="E24" s="183"/>
      <c r="F24" s="183"/>
      <c r="G24" s="183"/>
      <c r="H24" s="183"/>
      <c r="I24" s="183"/>
      <c r="J24" s="183"/>
      <c r="K24" s="183"/>
    </row>
    <row r="25" customFormat="false" ht="19.5" hidden="false" customHeight="true" outlineLevel="0" collapsed="false">
      <c r="A25" s="181" t="str">
        <f aca="false">MAPA_OBRA_707!A58</f>
        <v>4.3.2</v>
      </c>
      <c r="B25" s="182" t="str">
        <f aca="false">MAPA_OBRA_707!B58</f>
        <v>Parede de Piscina do Piso 0 / Pool Walls at Level 0</v>
      </c>
      <c r="C25" s="181" t="n">
        <f aca="false">MAPA_OBRA_707!C58</f>
        <v>0</v>
      </c>
      <c r="D25" s="183"/>
      <c r="E25" s="183"/>
      <c r="F25" s="183"/>
      <c r="G25" s="183"/>
      <c r="H25" s="183"/>
      <c r="I25" s="183"/>
      <c r="J25" s="183"/>
      <c r="K25" s="183"/>
    </row>
    <row r="26" customFormat="false" ht="19.5" hidden="false" customHeight="true" outlineLevel="0" collapsed="false">
      <c r="A26" s="181" t="str">
        <f aca="false">MAPA_OBRA_707!A62</f>
        <v>4.3.3</v>
      </c>
      <c r="B26" s="182" t="str">
        <f aca="false">MAPA_OBRA_707!B62</f>
        <v>Paredes da Piscina da Cobertura</v>
      </c>
      <c r="C26" s="181" t="n">
        <f aca="false">MAPA_OBRA_707!C62</f>
        <v>0</v>
      </c>
      <c r="D26" s="183"/>
      <c r="E26" s="183"/>
      <c r="F26" s="183"/>
      <c r="G26" s="183"/>
      <c r="H26" s="183"/>
      <c r="I26" s="183"/>
      <c r="J26" s="183"/>
      <c r="K26" s="183"/>
    </row>
    <row r="27" customFormat="false" ht="19.5" hidden="false" customHeight="true" outlineLevel="0" collapsed="false">
      <c r="A27" s="181" t="str">
        <f aca="false">MAPA_OBRA_707!A66</f>
        <v>4.4</v>
      </c>
      <c r="B27" s="182" t="str">
        <f aca="false">MAPA_OBRA_707!B66</f>
        <v>Pavimento Térreos / Ground Floors</v>
      </c>
      <c r="C27" s="181" t="n">
        <f aca="false">MAPA_OBRA_707!C66</f>
        <v>0</v>
      </c>
      <c r="D27" s="183"/>
      <c r="E27" s="183"/>
      <c r="F27" s="183"/>
      <c r="G27" s="183"/>
      <c r="H27" s="183"/>
      <c r="I27" s="183"/>
      <c r="J27" s="183"/>
      <c r="K27" s="183"/>
    </row>
    <row r="28" customFormat="false" ht="19.5" hidden="false" customHeight="true" outlineLevel="0" collapsed="false">
      <c r="A28" s="181" t="str">
        <f aca="false">MAPA_OBRA_707!A67</f>
        <v>4.4.1</v>
      </c>
      <c r="B28" s="182" t="str">
        <f aca="false">MAPA_OBRA_707!B67</f>
        <v>Piso da Cave / Basement Level</v>
      </c>
      <c r="C28" s="181" t="n">
        <f aca="false">MAPA_OBRA_707!C67</f>
        <v>0</v>
      </c>
      <c r="D28" s="183"/>
      <c r="E28" s="183"/>
      <c r="F28" s="183"/>
      <c r="G28" s="183"/>
      <c r="H28" s="183"/>
      <c r="I28" s="183"/>
      <c r="J28" s="183"/>
      <c r="K28" s="183"/>
    </row>
    <row r="29" customFormat="false" ht="49.5" hidden="false" customHeight="true" outlineLevel="0" collapsed="false">
      <c r="A29" s="181" t="str">
        <f aca="false">MAPA_OBRA_707!A68</f>
        <v>4.4.1.1</v>
      </c>
      <c r="B29" s="182"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29" s="181" t="n">
        <f aca="false">MAPA_OBRA_707!C68</f>
        <v>0</v>
      </c>
      <c r="D29" s="183"/>
      <c r="E29" s="183"/>
      <c r="F29" s="183"/>
      <c r="G29" s="183"/>
      <c r="H29" s="183"/>
      <c r="I29" s="183"/>
      <c r="J29" s="183"/>
      <c r="K29" s="183"/>
    </row>
    <row r="30" customFormat="false" ht="19.5" hidden="false" customHeight="true" outlineLevel="0" collapsed="false">
      <c r="A30" s="184" t="str">
        <f aca="false">MAPA_OBRA_707!A70</f>
        <v>4.1.1.2</v>
      </c>
      <c r="B30" s="185" t="str">
        <f aca="false">MAPA_OBRA_707!B70</f>
        <v>Cupolex 20</v>
      </c>
      <c r="C30" s="184" t="str">
        <f aca="false">MAPA_OBRA_707!C70</f>
        <v>m2</v>
      </c>
      <c r="D30" s="186" t="n">
        <f aca="false">MAPA_OBRA_707!D70</f>
        <v>2175</v>
      </c>
      <c r="E30" s="186" t="n">
        <v>0</v>
      </c>
      <c r="F30" s="187" t="n">
        <v>0</v>
      </c>
      <c r="G30" s="186" t="n">
        <f aca="false">E30+F30</f>
        <v>0</v>
      </c>
      <c r="H30" s="188" t="n">
        <f aca="false">IF(D30&gt;0, G30/D30, 0)</f>
        <v>0</v>
      </c>
      <c r="I30" s="186" t="n">
        <f aca="false">D30-G30</f>
        <v>2175</v>
      </c>
      <c r="J30" s="189" t="n">
        <v>0</v>
      </c>
      <c r="K30" s="189" t="n">
        <f aca="false">F30*J30</f>
        <v>0</v>
      </c>
    </row>
    <row r="31" customFormat="false" ht="15" hidden="false" customHeight="false" outlineLevel="0" collapsed="false">
      <c r="A31" s="190" t="s">
        <v>221</v>
      </c>
      <c r="B31" s="190"/>
      <c r="C31" s="190"/>
      <c r="D31" s="191"/>
      <c r="E31" s="191"/>
      <c r="F31" s="191"/>
      <c r="G31" s="191"/>
      <c r="H31" s="191"/>
      <c r="I31" s="191"/>
      <c r="J31" s="191"/>
      <c r="K31" s="192" t="n">
        <f aca="false">SUM(K6:K30)</f>
        <v>0</v>
      </c>
    </row>
  </sheetData>
  <mergeCells count="2">
    <mergeCell ref="A1:K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93" t="s">
        <v>472</v>
      </c>
      <c r="B1" s="193"/>
      <c r="C1" s="193"/>
      <c r="D1" s="193"/>
      <c r="E1" s="193"/>
      <c r="F1" s="193"/>
      <c r="G1" s="193"/>
      <c r="H1" s="193"/>
      <c r="I1" s="193"/>
      <c r="J1" s="193"/>
      <c r="K1" s="193"/>
    </row>
    <row r="2" customFormat="false" ht="15" hidden="false" customHeight="false" outlineLevel="0" collapsed="false">
      <c r="A2" s="194" t="s">
        <v>440</v>
      </c>
      <c r="B2" s="0" t="s">
        <v>441</v>
      </c>
      <c r="D2" s="194" t="s">
        <v>442</v>
      </c>
      <c r="E2" s="0" t="s">
        <v>473</v>
      </c>
      <c r="H2" s="194" t="s">
        <v>444</v>
      </c>
      <c r="I2" s="0" t="s">
        <v>445</v>
      </c>
    </row>
    <row r="3" customFormat="false" ht="15" hidden="false" customHeight="false" outlineLevel="0" collapsed="false">
      <c r="A3" s="194" t="s">
        <v>446</v>
      </c>
      <c r="B3" s="0" t="s">
        <v>447</v>
      </c>
      <c r="D3" s="194" t="s">
        <v>474</v>
      </c>
      <c r="E3" s="0" t="s">
        <v>475</v>
      </c>
      <c r="H3" s="194" t="s">
        <v>450</v>
      </c>
      <c r="I3" s="0" t="s">
        <v>451</v>
      </c>
    </row>
    <row r="5" customFormat="false" ht="24.75" hidden="false" customHeight="true" outlineLevel="0" collapsed="false">
      <c r="A5" s="195" t="s">
        <v>0</v>
      </c>
      <c r="B5" s="195" t="s">
        <v>1</v>
      </c>
      <c r="C5" s="195" t="s">
        <v>2</v>
      </c>
      <c r="D5" s="195" t="s">
        <v>452</v>
      </c>
      <c r="E5" s="196" t="s">
        <v>453</v>
      </c>
      <c r="F5" s="196" t="s">
        <v>454</v>
      </c>
      <c r="G5" s="196" t="s">
        <v>455</v>
      </c>
      <c r="H5" s="196" t="s">
        <v>456</v>
      </c>
      <c r="I5" s="196" t="s">
        <v>457</v>
      </c>
      <c r="J5" s="196" t="s">
        <v>458</v>
      </c>
      <c r="K5" s="196" t="s">
        <v>459</v>
      </c>
    </row>
    <row r="6" customFormat="false" ht="19.5" hidden="false" customHeight="true" outlineLevel="0" collapsed="false">
      <c r="A6" s="197" t="str">
        <f aca="false">MAPA_OBRA_707!A2</f>
        <v>4.1</v>
      </c>
      <c r="B6" s="198" t="str">
        <f aca="false">MAPA_OBRA_707!B2</f>
        <v>Betão de Limpeza / Cleaning concrete</v>
      </c>
      <c r="C6" s="197" t="n">
        <f aca="false">MAPA_OBRA_707!C2</f>
        <v>0</v>
      </c>
      <c r="D6" s="199"/>
      <c r="E6" s="199"/>
      <c r="F6" s="199"/>
      <c r="G6" s="199"/>
      <c r="H6" s="199"/>
      <c r="I6" s="199"/>
      <c r="J6" s="199"/>
      <c r="K6" s="199"/>
    </row>
    <row r="7" customFormat="false" ht="36" hidden="false" customHeight="true" outlineLevel="0" collapsed="false">
      <c r="A7" s="200" t="str">
        <f aca="false">MAPA_OBRA_707!A3</f>
        <v>4.1.1</v>
      </c>
      <c r="B7" s="201" t="str">
        <f aca="false">MAPA_OBRA_707!B3</f>
        <v>Fornecimento e aplicação de betão de limpeza do tipo C16/20 X0 numa espessura de 0,10 m.</v>
      </c>
      <c r="C7" s="200" t="str">
        <f aca="false">MAPA_OBRA_707!C3</f>
        <v>m3</v>
      </c>
      <c r="D7" s="202" t="n">
        <f aca="false">MAPA_OBRA_707!D3</f>
        <v>172.56</v>
      </c>
      <c r="E7" s="202" t="n">
        <v>0</v>
      </c>
      <c r="F7" s="203" t="n">
        <v>0</v>
      </c>
      <c r="G7" s="202" t="n">
        <f aca="false">E7+F7</f>
        <v>0</v>
      </c>
      <c r="H7" s="204" t="n">
        <f aca="false">IF(D7&gt;0, G7/D7, 0)</f>
        <v>0</v>
      </c>
      <c r="I7" s="202" t="n">
        <f aca="false">D7-G7</f>
        <v>172.56</v>
      </c>
      <c r="J7" s="205" t="n">
        <v>0</v>
      </c>
      <c r="K7" s="205" t="n">
        <f aca="false">F7*J7</f>
        <v>0</v>
      </c>
    </row>
    <row r="8" customFormat="false" ht="19.5" hidden="false" customHeight="true" outlineLevel="0" collapsed="false">
      <c r="A8" s="197" t="str">
        <f aca="false">MAPA_OBRA_707!A4</f>
        <v>4.2</v>
      </c>
      <c r="B8" s="198" t="str">
        <f aca="false">MAPA_OBRA_707!B4</f>
        <v>Fundações / Foundations</v>
      </c>
      <c r="C8" s="197" t="n">
        <f aca="false">MAPA_OBRA_707!C4</f>
        <v>0</v>
      </c>
      <c r="D8" s="199"/>
      <c r="E8" s="199"/>
      <c r="F8" s="199"/>
      <c r="G8" s="199"/>
      <c r="H8" s="199"/>
      <c r="I8" s="199"/>
      <c r="J8" s="199"/>
      <c r="K8" s="199"/>
    </row>
    <row r="9" customFormat="false" ht="49.5" hidden="false" customHeight="true" outlineLevel="0" collapsed="false">
      <c r="A9" s="197" t="str">
        <f aca="false">MAPA_OBRA_707!A5</f>
        <v>4.2.1</v>
      </c>
      <c r="B9" s="198"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9" s="197" t="n">
        <f aca="false">MAPA_OBRA_707!C5</f>
        <v>0</v>
      </c>
      <c r="D9" s="199"/>
      <c r="E9" s="199"/>
      <c r="F9" s="199"/>
      <c r="G9" s="199"/>
      <c r="H9" s="199"/>
      <c r="I9" s="199"/>
      <c r="J9" s="199"/>
      <c r="K9" s="199"/>
    </row>
    <row r="10" customFormat="false" ht="19.5" hidden="false" customHeight="true" outlineLevel="0" collapsed="false">
      <c r="A10" s="197" t="str">
        <f aca="false">MAPA_OBRA_707!A6</f>
        <v>4.2.1.1</v>
      </c>
      <c r="B10" s="198" t="str">
        <f aca="false">MAPA_OBRA_707!B6</f>
        <v>Sapatas Isoladas / Isolated Foundations (90 kg/m3)</v>
      </c>
      <c r="C10" s="197" t="n">
        <f aca="false">MAPA_OBRA_707!C6</f>
        <v>0</v>
      </c>
      <c r="D10" s="199"/>
      <c r="E10" s="199"/>
      <c r="F10" s="199"/>
      <c r="G10" s="199"/>
      <c r="H10" s="199"/>
      <c r="I10" s="199"/>
      <c r="J10" s="199"/>
      <c r="K10" s="199"/>
    </row>
    <row r="11" customFormat="false" ht="19.5" hidden="false" customHeight="true" outlineLevel="0" collapsed="false">
      <c r="A11" s="200" t="n">
        <f aca="false">MAPA_OBRA_707!A7</f>
        <v>0</v>
      </c>
      <c r="B11" s="201" t="str">
        <f aca="false">MAPA_OBRA_707!B7</f>
        <v>Betão - Aplicação e Vibração</v>
      </c>
      <c r="C11" s="200" t="str">
        <f aca="false">MAPA_OBRA_707!C7</f>
        <v>m3</v>
      </c>
      <c r="D11" s="202" t="n">
        <f aca="false">MAPA_OBRA_707!D7</f>
        <v>163.87</v>
      </c>
      <c r="E11" s="202" t="n">
        <v>0</v>
      </c>
      <c r="F11" s="203" t="n">
        <v>0</v>
      </c>
      <c r="G11" s="202" t="n">
        <f aca="false">E11+F11</f>
        <v>0</v>
      </c>
      <c r="H11" s="204" t="n">
        <f aca="false">IF(D11&gt;0, G11/D11, 0)</f>
        <v>0</v>
      </c>
      <c r="I11" s="202" t="n">
        <f aca="false">D11-G11</f>
        <v>163.87</v>
      </c>
      <c r="J11" s="205" t="n">
        <v>0</v>
      </c>
      <c r="K11" s="205" t="n">
        <f aca="false">F11*J11</f>
        <v>0</v>
      </c>
    </row>
    <row r="12" customFormat="false" ht="19.5" hidden="false" customHeight="true" outlineLevel="0" collapsed="false">
      <c r="A12" s="200" t="n">
        <f aca="false">MAPA_OBRA_707!A8</f>
        <v>0</v>
      </c>
      <c r="B12" s="201" t="str">
        <f aca="false">MAPA_OBRA_707!B8</f>
        <v>Cofragem - Fornecimento e aplicação</v>
      </c>
      <c r="C12" s="200" t="str">
        <f aca="false">MAPA_OBRA_707!C8</f>
        <v>m2</v>
      </c>
      <c r="D12" s="202" t="n">
        <f aca="false">MAPA_OBRA_707!D8</f>
        <v>409.68</v>
      </c>
      <c r="E12" s="202" t="n">
        <v>0</v>
      </c>
      <c r="F12" s="203" t="n">
        <v>0</v>
      </c>
      <c r="G12" s="202" t="n">
        <f aca="false">E12+F12</f>
        <v>0</v>
      </c>
      <c r="H12" s="204" t="n">
        <f aca="false">IF(D12&gt;0, G12/D12, 0)</f>
        <v>0</v>
      </c>
      <c r="I12" s="202" t="n">
        <f aca="false">D12-G12</f>
        <v>409.68</v>
      </c>
      <c r="J12" s="205" t="n">
        <v>0</v>
      </c>
      <c r="K12" s="205" t="n">
        <f aca="false">F12*J12</f>
        <v>0</v>
      </c>
    </row>
    <row r="13" customFormat="false" ht="19.5" hidden="false" customHeight="true" outlineLevel="0" collapsed="false">
      <c r="A13" s="200" t="n">
        <f aca="false">MAPA_OBRA_707!A9</f>
        <v>0</v>
      </c>
      <c r="B13" s="201" t="str">
        <f aca="false">MAPA_OBRA_707!B9</f>
        <v>Aço - Moldagem, Corte e Aplicação</v>
      </c>
      <c r="C13" s="200" t="str">
        <f aca="false">MAPA_OBRA_707!C9</f>
        <v>kg</v>
      </c>
      <c r="D13" s="202" t="n">
        <f aca="false">MAPA_OBRA_707!D9</f>
        <v>16960.55</v>
      </c>
      <c r="E13" s="202" t="n">
        <v>0</v>
      </c>
      <c r="F13" s="203" t="n">
        <v>0</v>
      </c>
      <c r="G13" s="202" t="n">
        <f aca="false">E13+F13</f>
        <v>0</v>
      </c>
      <c r="H13" s="204" t="n">
        <f aca="false">IF(D13&gt;0, G13/D13, 0)</f>
        <v>0</v>
      </c>
      <c r="I13" s="202" t="n">
        <f aca="false">D13-G13</f>
        <v>16960.55</v>
      </c>
      <c r="J13" s="205" t="n">
        <v>0</v>
      </c>
      <c r="K13" s="205" t="n">
        <f aca="false">F13*J13</f>
        <v>0</v>
      </c>
    </row>
    <row r="14" customFormat="false" ht="19.5" hidden="false" customHeight="true" outlineLevel="0" collapsed="false">
      <c r="A14" s="197" t="str">
        <f aca="false">MAPA_OBRA_707!A10</f>
        <v>4.2.1.2</v>
      </c>
      <c r="B14" s="198" t="str">
        <f aca="false">MAPA_OBRA_707!B10</f>
        <v>Sapatas Contínuas / Continuous Foundations (110 kg/m3)</v>
      </c>
      <c r="C14" s="197" t="n">
        <f aca="false">MAPA_OBRA_707!C10</f>
        <v>0</v>
      </c>
      <c r="D14" s="199"/>
      <c r="E14" s="199"/>
      <c r="F14" s="199"/>
      <c r="G14" s="199"/>
      <c r="H14" s="199"/>
      <c r="I14" s="199"/>
      <c r="J14" s="199"/>
      <c r="K14" s="199"/>
    </row>
    <row r="15" customFormat="false" ht="19.5" hidden="false" customHeight="true" outlineLevel="0" collapsed="false">
      <c r="A15" s="200" t="n">
        <f aca="false">MAPA_OBRA_707!A11</f>
        <v>0</v>
      </c>
      <c r="B15" s="201" t="str">
        <f aca="false">MAPA_OBRA_707!B11</f>
        <v>Betão - Aplicação e Vibração</v>
      </c>
      <c r="C15" s="200" t="str">
        <f aca="false">MAPA_OBRA_707!C11</f>
        <v>m3</v>
      </c>
      <c r="D15" s="202" t="n">
        <f aca="false">MAPA_OBRA_707!D11</f>
        <v>155.53</v>
      </c>
      <c r="E15" s="202" t="n">
        <v>0</v>
      </c>
      <c r="F15" s="203" t="n">
        <v>0</v>
      </c>
      <c r="G15" s="202" t="n">
        <f aca="false">E15+F15</f>
        <v>0</v>
      </c>
      <c r="H15" s="204" t="n">
        <f aca="false">IF(D15&gt;0, G15/D15, 0)</f>
        <v>0</v>
      </c>
      <c r="I15" s="202" t="n">
        <f aca="false">D15-G15</f>
        <v>155.53</v>
      </c>
      <c r="J15" s="205" t="n">
        <v>0</v>
      </c>
      <c r="K15" s="205" t="n">
        <f aca="false">F15*J15</f>
        <v>0</v>
      </c>
    </row>
    <row r="16" customFormat="false" ht="19.5" hidden="false" customHeight="true" outlineLevel="0" collapsed="false">
      <c r="A16" s="200" t="n">
        <f aca="false">MAPA_OBRA_707!A12</f>
        <v>0</v>
      </c>
      <c r="B16" s="201" t="str">
        <f aca="false">MAPA_OBRA_707!B12</f>
        <v>Cofragem - Fornecimento e aplicação</v>
      </c>
      <c r="C16" s="200" t="str">
        <f aca="false">MAPA_OBRA_707!C12</f>
        <v>m2</v>
      </c>
      <c r="D16" s="202" t="n">
        <f aca="false">MAPA_OBRA_707!D12</f>
        <v>388.83</v>
      </c>
      <c r="E16" s="202" t="n">
        <v>0</v>
      </c>
      <c r="F16" s="203" t="n">
        <v>0</v>
      </c>
      <c r="G16" s="202" t="n">
        <f aca="false">E16+F16</f>
        <v>0</v>
      </c>
      <c r="H16" s="204" t="n">
        <f aca="false">IF(D16&gt;0, G16/D16, 0)</f>
        <v>0</v>
      </c>
      <c r="I16" s="202" t="n">
        <f aca="false">D16-G16</f>
        <v>388.83</v>
      </c>
      <c r="J16" s="205" t="n">
        <v>0</v>
      </c>
      <c r="K16" s="205" t="n">
        <f aca="false">F16*J16</f>
        <v>0</v>
      </c>
    </row>
    <row r="17" customFormat="false" ht="19.5" hidden="false" customHeight="true" outlineLevel="0" collapsed="false">
      <c r="A17" s="200" t="n">
        <f aca="false">MAPA_OBRA_707!A13</f>
        <v>0</v>
      </c>
      <c r="B17" s="201" t="str">
        <f aca="false">MAPA_OBRA_707!B13</f>
        <v>Aço - Moldagem, Corte e Aplicação</v>
      </c>
      <c r="C17" s="200" t="str">
        <f aca="false">MAPA_OBRA_707!C13</f>
        <v>kg</v>
      </c>
      <c r="D17" s="202" t="n">
        <f aca="false">MAPA_OBRA_707!D13</f>
        <v>19674.67</v>
      </c>
      <c r="E17" s="202" t="n">
        <v>0</v>
      </c>
      <c r="F17" s="203" t="n">
        <v>0</v>
      </c>
      <c r="G17" s="202" t="n">
        <f aca="false">E17+F17</f>
        <v>0</v>
      </c>
      <c r="H17" s="204" t="n">
        <f aca="false">IF(D17&gt;0, G17/D17, 0)</f>
        <v>0</v>
      </c>
      <c r="I17" s="202" t="n">
        <f aca="false">D17-G17</f>
        <v>19674.67</v>
      </c>
      <c r="J17" s="205" t="n">
        <v>0</v>
      </c>
      <c r="K17" s="205" t="n">
        <f aca="false">F17*J17</f>
        <v>0</v>
      </c>
    </row>
    <row r="18" customFormat="false" ht="19.5" hidden="false" customHeight="true" outlineLevel="0" collapsed="false">
      <c r="A18" s="197" t="str">
        <f aca="false">MAPA_OBRA_707!A14</f>
        <v>4.2.1.3</v>
      </c>
      <c r="B18" s="198" t="str">
        <f aca="false">MAPA_OBRA_707!B14</f>
        <v>Vigas de Fundação / Beams of Foundations (115 kg/m3)</v>
      </c>
      <c r="C18" s="197" t="n">
        <f aca="false">MAPA_OBRA_707!C14</f>
        <v>0</v>
      </c>
      <c r="D18" s="199"/>
      <c r="E18" s="199"/>
      <c r="F18" s="199"/>
      <c r="G18" s="199"/>
      <c r="H18" s="199"/>
      <c r="I18" s="199"/>
      <c r="J18" s="199"/>
      <c r="K18" s="199"/>
    </row>
    <row r="19" customFormat="false" ht="19.5" hidden="false" customHeight="true" outlineLevel="0" collapsed="false">
      <c r="A19" s="200" t="n">
        <f aca="false">MAPA_OBRA_707!A15</f>
        <v>0</v>
      </c>
      <c r="B19" s="201" t="str">
        <f aca="false">MAPA_OBRA_707!B15</f>
        <v>Betão - Aplicação e Vibração</v>
      </c>
      <c r="C19" s="200" t="str">
        <f aca="false">MAPA_OBRA_707!C15</f>
        <v>m3</v>
      </c>
      <c r="D19" s="202" t="n">
        <f aca="false">MAPA_OBRA_707!D15</f>
        <v>61.44</v>
      </c>
      <c r="E19" s="202" t="n">
        <v>0</v>
      </c>
      <c r="F19" s="203" t="n">
        <v>0</v>
      </c>
      <c r="G19" s="202" t="n">
        <f aca="false">E19+F19</f>
        <v>0</v>
      </c>
      <c r="H19" s="204" t="n">
        <f aca="false">IF(D19&gt;0, G19/D19, 0)</f>
        <v>0</v>
      </c>
      <c r="I19" s="202" t="n">
        <f aca="false">D19-G19</f>
        <v>61.44</v>
      </c>
      <c r="J19" s="205" t="n">
        <v>0</v>
      </c>
      <c r="K19" s="205" t="n">
        <f aca="false">F19*J19</f>
        <v>0</v>
      </c>
    </row>
    <row r="20" customFormat="false" ht="19.5" hidden="false" customHeight="true" outlineLevel="0" collapsed="false">
      <c r="A20" s="200" t="n">
        <f aca="false">MAPA_OBRA_707!A16</f>
        <v>0</v>
      </c>
      <c r="B20" s="201" t="str">
        <f aca="false">MAPA_OBRA_707!B16</f>
        <v>Cofragem - Fornecimento e aplicação</v>
      </c>
      <c r="C20" s="200" t="str">
        <f aca="false">MAPA_OBRA_707!C16</f>
        <v>m2</v>
      </c>
      <c r="D20" s="202" t="n">
        <f aca="false">MAPA_OBRA_707!D16</f>
        <v>688.74</v>
      </c>
      <c r="E20" s="202" t="n">
        <v>0</v>
      </c>
      <c r="F20" s="203" t="n">
        <v>0</v>
      </c>
      <c r="G20" s="202" t="n">
        <f aca="false">E20+F20</f>
        <v>0</v>
      </c>
      <c r="H20" s="204" t="n">
        <f aca="false">IF(D20&gt;0, G20/D20, 0)</f>
        <v>0</v>
      </c>
      <c r="I20" s="202" t="n">
        <f aca="false">D20-G20</f>
        <v>688.74</v>
      </c>
      <c r="J20" s="205" t="n">
        <v>0</v>
      </c>
      <c r="K20" s="205" t="n">
        <f aca="false">F20*J20</f>
        <v>0</v>
      </c>
    </row>
    <row r="21" customFormat="false" ht="19.5" hidden="false" customHeight="true" outlineLevel="0" collapsed="false">
      <c r="A21" s="200" t="n">
        <f aca="false">MAPA_OBRA_707!A17</f>
        <v>0</v>
      </c>
      <c r="B21" s="201" t="str">
        <f aca="false">MAPA_OBRA_707!B17</f>
        <v>Aço - Moldagem, Corte e Aplicação</v>
      </c>
      <c r="C21" s="200" t="str">
        <f aca="false">MAPA_OBRA_707!C17</f>
        <v>kg</v>
      </c>
      <c r="D21" s="202" t="n">
        <f aca="false">MAPA_OBRA_707!D17</f>
        <v>8125.44</v>
      </c>
      <c r="E21" s="202" t="n">
        <v>0</v>
      </c>
      <c r="F21" s="203" t="n">
        <v>0</v>
      </c>
      <c r="G21" s="202" t="n">
        <f aca="false">E21+F21</f>
        <v>0</v>
      </c>
      <c r="H21" s="204" t="n">
        <f aca="false">IF(D21&gt;0, G21/D21, 0)</f>
        <v>0</v>
      </c>
      <c r="I21" s="202" t="n">
        <f aca="false">D21-G21</f>
        <v>8125.44</v>
      </c>
      <c r="J21" s="205" t="n">
        <v>0</v>
      </c>
      <c r="K21" s="205" t="n">
        <f aca="false">F21*J21</f>
        <v>0</v>
      </c>
    </row>
    <row r="22" customFormat="false" ht="19.5" hidden="false" customHeight="true" outlineLevel="0" collapsed="false">
      <c r="A22" s="197" t="str">
        <f aca="false">MAPA_OBRA_707!A18</f>
        <v>4.3</v>
      </c>
      <c r="B22" s="198" t="str">
        <f aca="false">MAPA_OBRA_707!B18</f>
        <v>Superestrutura / Superstructure</v>
      </c>
      <c r="C22" s="197" t="n">
        <f aca="false">MAPA_OBRA_707!C18</f>
        <v>0</v>
      </c>
      <c r="D22" s="199"/>
      <c r="E22" s="199"/>
      <c r="F22" s="199"/>
      <c r="G22" s="199"/>
      <c r="H22" s="199"/>
      <c r="I22" s="199"/>
      <c r="J22" s="199"/>
      <c r="K22" s="199"/>
    </row>
    <row r="23" customFormat="false" ht="49.5" hidden="false" customHeight="true" outlineLevel="0" collapsed="false">
      <c r="A23" s="197" t="str">
        <f aca="false">MAPA_OBRA_707!A19</f>
        <v>4.3.1</v>
      </c>
      <c r="B23" s="198"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23" s="197" t="n">
        <f aca="false">MAPA_OBRA_707!C19</f>
        <v>0</v>
      </c>
      <c r="D23" s="199"/>
      <c r="E23" s="199"/>
      <c r="F23" s="199"/>
      <c r="G23" s="199"/>
      <c r="H23" s="199"/>
      <c r="I23" s="199"/>
      <c r="J23" s="199"/>
      <c r="K23" s="199"/>
    </row>
    <row r="24" customFormat="false" ht="19.5" hidden="false" customHeight="true" outlineLevel="0" collapsed="false">
      <c r="A24" s="197" t="str">
        <f aca="false">MAPA_OBRA_707!A20</f>
        <v>4.3.1.1</v>
      </c>
      <c r="B24" s="198" t="str">
        <f aca="false">MAPA_OBRA_707!B20</f>
        <v>Muros Enterrados / Buried Walls (115 kg/m3)</v>
      </c>
      <c r="C24" s="197" t="n">
        <f aca="false">MAPA_OBRA_707!C20</f>
        <v>0</v>
      </c>
      <c r="D24" s="199"/>
      <c r="E24" s="199"/>
      <c r="F24" s="199"/>
      <c r="G24" s="199"/>
      <c r="H24" s="199"/>
      <c r="I24" s="199"/>
      <c r="J24" s="199"/>
      <c r="K24" s="199"/>
    </row>
    <row r="25" customFormat="false" ht="19.5" hidden="false" customHeight="true" outlineLevel="0" collapsed="false">
      <c r="A25" s="200" t="n">
        <f aca="false">MAPA_OBRA_707!A21</f>
        <v>0</v>
      </c>
      <c r="B25" s="201" t="str">
        <f aca="false">MAPA_OBRA_707!B21</f>
        <v>Betão - Aplicação e Vibração</v>
      </c>
      <c r="C25" s="200" t="str">
        <f aca="false">MAPA_OBRA_707!C21</f>
        <v>m3</v>
      </c>
      <c r="D25" s="202" t="n">
        <f aca="false">MAPA_OBRA_707!D21</f>
        <v>357.21</v>
      </c>
      <c r="E25" s="202" t="n">
        <v>0</v>
      </c>
      <c r="F25" s="203" t="n">
        <v>0</v>
      </c>
      <c r="G25" s="202" t="n">
        <f aca="false">E25+F25</f>
        <v>0</v>
      </c>
      <c r="H25" s="204" t="n">
        <f aca="false">IF(D25&gt;0, G25/D25, 0)</f>
        <v>0</v>
      </c>
      <c r="I25" s="202" t="n">
        <f aca="false">D25-G25</f>
        <v>357.21</v>
      </c>
      <c r="J25" s="205" t="n">
        <v>0</v>
      </c>
      <c r="K25" s="205" t="n">
        <f aca="false">F25*J25</f>
        <v>0</v>
      </c>
    </row>
    <row r="26" customFormat="false" ht="19.5" hidden="false" customHeight="true" outlineLevel="0" collapsed="false">
      <c r="A26" s="200" t="n">
        <f aca="false">MAPA_OBRA_707!A22</f>
        <v>0</v>
      </c>
      <c r="B26" s="201" t="str">
        <f aca="false">MAPA_OBRA_707!B22</f>
        <v>Cofragem - Fornecimento e aplicação</v>
      </c>
      <c r="C26" s="200" t="str">
        <f aca="false">MAPA_OBRA_707!C22</f>
        <v>m2</v>
      </c>
      <c r="D26" s="202" t="n">
        <f aca="false">MAPA_OBRA_707!D22</f>
        <v>3597.09</v>
      </c>
      <c r="E26" s="202" t="n">
        <v>0</v>
      </c>
      <c r="F26" s="203" t="n">
        <v>0</v>
      </c>
      <c r="G26" s="202" t="n">
        <f aca="false">E26+F26</f>
        <v>0</v>
      </c>
      <c r="H26" s="204" t="n">
        <f aca="false">IF(D26&gt;0, G26/D26, 0)</f>
        <v>0</v>
      </c>
      <c r="I26" s="202" t="n">
        <f aca="false">D26-G26</f>
        <v>3597.09</v>
      </c>
      <c r="J26" s="205" t="n">
        <v>0</v>
      </c>
      <c r="K26" s="205" t="n">
        <f aca="false">F26*J26</f>
        <v>0</v>
      </c>
    </row>
    <row r="27" customFormat="false" ht="19.5" hidden="false" customHeight="true" outlineLevel="0" collapsed="false">
      <c r="A27" s="200" t="n">
        <f aca="false">MAPA_OBRA_707!A23</f>
        <v>0</v>
      </c>
      <c r="B27" s="201" t="str">
        <f aca="false">MAPA_OBRA_707!B23</f>
        <v>Aço - Moldagem, Corte e Aplicação</v>
      </c>
      <c r="C27" s="200" t="str">
        <f aca="false">MAPA_OBRA_707!C23</f>
        <v>kg</v>
      </c>
      <c r="D27" s="202" t="n">
        <f aca="false">MAPA_OBRA_707!D23</f>
        <v>53583.49</v>
      </c>
      <c r="E27" s="202" t="n">
        <v>0</v>
      </c>
      <c r="F27" s="203" t="n">
        <v>0</v>
      </c>
      <c r="G27" s="202" t="n">
        <f aca="false">E27+F27</f>
        <v>0</v>
      </c>
      <c r="H27" s="204" t="n">
        <f aca="false">IF(D27&gt;0, G27/D27, 0)</f>
        <v>0</v>
      </c>
      <c r="I27" s="202" t="n">
        <f aca="false">D27-G27</f>
        <v>53583.49</v>
      </c>
      <c r="J27" s="205" t="n">
        <v>0</v>
      </c>
      <c r="K27" s="205" t="n">
        <f aca="false">F27*J27</f>
        <v>0</v>
      </c>
    </row>
    <row r="28" customFormat="false" ht="19.5" hidden="false" customHeight="true" outlineLevel="0" collapsed="false">
      <c r="A28" s="197" t="str">
        <f aca="false">MAPA_OBRA_707!A24</f>
        <v>4.3.1.2</v>
      </c>
      <c r="B28" s="198" t="str">
        <f aca="false">MAPA_OBRA_707!B24</f>
        <v>Pilares / Columns (290 kg/m3)</v>
      </c>
      <c r="C28" s="197" t="n">
        <f aca="false">MAPA_OBRA_707!C24</f>
        <v>0</v>
      </c>
      <c r="D28" s="199"/>
      <c r="E28" s="199"/>
      <c r="F28" s="199"/>
      <c r="G28" s="199"/>
      <c r="H28" s="199"/>
      <c r="I28" s="199"/>
      <c r="J28" s="199"/>
      <c r="K28" s="199"/>
    </row>
    <row r="29" customFormat="false" ht="19.5" hidden="false" customHeight="true" outlineLevel="0" collapsed="false">
      <c r="A29" s="200" t="n">
        <f aca="false">MAPA_OBRA_707!A25</f>
        <v>0</v>
      </c>
      <c r="B29" s="201" t="str">
        <f aca="false">MAPA_OBRA_707!B25</f>
        <v>Betão - Aplicação e Vibração</v>
      </c>
      <c r="C29" s="200" t="str">
        <f aca="false">MAPA_OBRA_707!C25</f>
        <v>m3</v>
      </c>
      <c r="D29" s="202" t="n">
        <f aca="false">MAPA_OBRA_707!D25</f>
        <v>175.75</v>
      </c>
      <c r="E29" s="202" t="n">
        <v>0</v>
      </c>
      <c r="F29" s="203" t="n">
        <v>0</v>
      </c>
      <c r="G29" s="202" t="n">
        <f aca="false">E29+F29</f>
        <v>0</v>
      </c>
      <c r="H29" s="204" t="n">
        <f aca="false">IF(D29&gt;0, G29/D29, 0)</f>
        <v>0</v>
      </c>
      <c r="I29" s="202" t="n">
        <f aca="false">D29-G29</f>
        <v>175.75</v>
      </c>
      <c r="J29" s="205" t="n">
        <v>0</v>
      </c>
      <c r="K29" s="205" t="n">
        <f aca="false">F29*J29</f>
        <v>0</v>
      </c>
    </row>
    <row r="30" customFormat="false" ht="19.5" hidden="false" customHeight="true" outlineLevel="0" collapsed="false">
      <c r="A30" s="200" t="n">
        <f aca="false">MAPA_OBRA_707!A26</f>
        <v>0</v>
      </c>
      <c r="B30" s="201" t="str">
        <f aca="false">MAPA_OBRA_707!B26</f>
        <v>Cofragem - Fornecimento e aplicação</v>
      </c>
      <c r="C30" s="200" t="str">
        <f aca="false">MAPA_OBRA_707!C26</f>
        <v>m2</v>
      </c>
      <c r="D30" s="202" t="n">
        <f aca="false">MAPA_OBRA_707!D26</f>
        <v>1933.25</v>
      </c>
      <c r="E30" s="202" t="n">
        <v>0</v>
      </c>
      <c r="F30" s="203" t="n">
        <v>0</v>
      </c>
      <c r="G30" s="202" t="n">
        <f aca="false">E30+F30</f>
        <v>0</v>
      </c>
      <c r="H30" s="204" t="n">
        <f aca="false">IF(D30&gt;0, G30/D30, 0)</f>
        <v>0</v>
      </c>
      <c r="I30" s="202" t="n">
        <f aca="false">D30-G30</f>
        <v>1933.25</v>
      </c>
      <c r="J30" s="205" t="n">
        <v>0</v>
      </c>
      <c r="K30" s="205" t="n">
        <f aca="false">F30*J30</f>
        <v>0</v>
      </c>
    </row>
    <row r="31" customFormat="false" ht="19.5" hidden="false" customHeight="true" outlineLevel="0" collapsed="false">
      <c r="A31" s="200" t="n">
        <f aca="false">MAPA_OBRA_707!A27</f>
        <v>0</v>
      </c>
      <c r="B31" s="201" t="str">
        <f aca="false">MAPA_OBRA_707!B27</f>
        <v>Aço - Moldagem, Corte e Aplicação</v>
      </c>
      <c r="C31" s="200" t="str">
        <f aca="false">MAPA_OBRA_707!C27</f>
        <v>kg</v>
      </c>
      <c r="D31" s="202" t="n">
        <f aca="false">MAPA_OBRA_707!D27</f>
        <v>58612.63</v>
      </c>
      <c r="E31" s="202" t="n">
        <v>0</v>
      </c>
      <c r="F31" s="203" t="n">
        <v>0</v>
      </c>
      <c r="G31" s="202" t="n">
        <f aca="false">E31+F31</f>
        <v>0</v>
      </c>
      <c r="H31" s="204" t="n">
        <f aca="false">IF(D31&gt;0, G31/D31, 0)</f>
        <v>0</v>
      </c>
      <c r="I31" s="202" t="n">
        <f aca="false">D31-G31</f>
        <v>58612.63</v>
      </c>
      <c r="J31" s="205" t="n">
        <v>0</v>
      </c>
      <c r="K31" s="205" t="n">
        <f aca="false">F31*J31</f>
        <v>0</v>
      </c>
    </row>
    <row r="32" customFormat="false" ht="19.5" hidden="false" customHeight="true" outlineLevel="0" collapsed="false">
      <c r="A32" s="197" t="str">
        <f aca="false">MAPA_OBRA_707!A28</f>
        <v>4.3.1.3</v>
      </c>
      <c r="B32" s="198" t="str">
        <f aca="false">MAPA_OBRA_707!B28</f>
        <v>Paredes / Walls (200 kg/m3)</v>
      </c>
      <c r="C32" s="197" t="n">
        <f aca="false">MAPA_OBRA_707!C28</f>
        <v>0</v>
      </c>
      <c r="D32" s="199"/>
      <c r="E32" s="199"/>
      <c r="F32" s="199"/>
      <c r="G32" s="199"/>
      <c r="H32" s="199"/>
      <c r="I32" s="199"/>
      <c r="J32" s="199"/>
      <c r="K32" s="199"/>
    </row>
    <row r="33" customFormat="false" ht="19.5" hidden="false" customHeight="true" outlineLevel="0" collapsed="false">
      <c r="A33" s="200" t="n">
        <f aca="false">MAPA_OBRA_707!A29</f>
        <v>0</v>
      </c>
      <c r="B33" s="201" t="str">
        <f aca="false">MAPA_OBRA_707!B29</f>
        <v>Betão - Aplicação e Vibração</v>
      </c>
      <c r="C33" s="200" t="str">
        <f aca="false">MAPA_OBRA_707!C29</f>
        <v>m3</v>
      </c>
      <c r="D33" s="202" t="n">
        <f aca="false">MAPA_OBRA_707!D29</f>
        <v>55.41</v>
      </c>
      <c r="E33" s="202" t="n">
        <v>0</v>
      </c>
      <c r="F33" s="203" t="n">
        <v>0</v>
      </c>
      <c r="G33" s="202" t="n">
        <f aca="false">E33+F33</f>
        <v>0</v>
      </c>
      <c r="H33" s="204" t="n">
        <f aca="false">IF(D33&gt;0, G33/D33, 0)</f>
        <v>0</v>
      </c>
      <c r="I33" s="202" t="n">
        <f aca="false">D33-G33</f>
        <v>55.41</v>
      </c>
      <c r="J33" s="205" t="n">
        <v>0</v>
      </c>
      <c r="K33" s="205" t="n">
        <f aca="false">F33*J33</f>
        <v>0</v>
      </c>
    </row>
    <row r="34" customFormat="false" ht="19.5" hidden="false" customHeight="true" outlineLevel="0" collapsed="false">
      <c r="A34" s="200" t="n">
        <f aca="false">MAPA_OBRA_707!A30</f>
        <v>0</v>
      </c>
      <c r="B34" s="201" t="str">
        <f aca="false">MAPA_OBRA_707!B30</f>
        <v>Cofragem - Fornecimento e aplicação</v>
      </c>
      <c r="C34" s="200" t="str">
        <f aca="false">MAPA_OBRA_707!C30</f>
        <v>m2</v>
      </c>
      <c r="D34" s="202" t="n">
        <f aca="false">MAPA_OBRA_707!D30</f>
        <v>554.1</v>
      </c>
      <c r="E34" s="202" t="n">
        <v>0</v>
      </c>
      <c r="F34" s="203" t="n">
        <v>0</v>
      </c>
      <c r="G34" s="202" t="n">
        <f aca="false">E34+F34</f>
        <v>0</v>
      </c>
      <c r="H34" s="204" t="n">
        <f aca="false">IF(D34&gt;0, G34/D34, 0)</f>
        <v>0</v>
      </c>
      <c r="I34" s="202" t="n">
        <f aca="false">D34-G34</f>
        <v>554.1</v>
      </c>
      <c r="J34" s="205" t="n">
        <v>0</v>
      </c>
      <c r="K34" s="205" t="n">
        <f aca="false">F34*J34</f>
        <v>0</v>
      </c>
    </row>
    <row r="35" customFormat="false" ht="19.5" hidden="false" customHeight="true" outlineLevel="0" collapsed="false">
      <c r="A35" s="200" t="n">
        <f aca="false">MAPA_OBRA_707!A31</f>
        <v>0</v>
      </c>
      <c r="B35" s="201" t="str">
        <f aca="false">MAPA_OBRA_707!B31</f>
        <v>Aço - Moldagem, Corte e Aplicação</v>
      </c>
      <c r="C35" s="200" t="str">
        <f aca="false">MAPA_OBRA_707!C31</f>
        <v>kg</v>
      </c>
      <c r="D35" s="202" t="n">
        <f aca="false">MAPA_OBRA_707!D31</f>
        <v>12744.3</v>
      </c>
      <c r="E35" s="202" t="n">
        <v>0</v>
      </c>
      <c r="F35" s="203" t="n">
        <v>0</v>
      </c>
      <c r="G35" s="202" t="n">
        <f aca="false">E35+F35</f>
        <v>0</v>
      </c>
      <c r="H35" s="204" t="n">
        <f aca="false">IF(D35&gt;0, G35/D35, 0)</f>
        <v>0</v>
      </c>
      <c r="I35" s="202" t="n">
        <f aca="false">D35-G35</f>
        <v>12744.3</v>
      </c>
      <c r="J35" s="205" t="n">
        <v>0</v>
      </c>
      <c r="K35" s="205" t="n">
        <f aca="false">F35*J35</f>
        <v>0</v>
      </c>
    </row>
    <row r="36" customFormat="false" ht="19.5" hidden="false" customHeight="true" outlineLevel="0" collapsed="false">
      <c r="A36" s="197" t="str">
        <f aca="false">MAPA_OBRA_707!A32</f>
        <v>4.3.1.3 A</v>
      </c>
      <c r="B36" s="198" t="str">
        <f aca="false">MAPA_OBRA_707!B32</f>
        <v>Núcleos do Elevador / Elevator Shaft (200 kg/m3)</v>
      </c>
      <c r="C36" s="197" t="n">
        <f aca="false">MAPA_OBRA_707!C32</f>
        <v>0</v>
      </c>
      <c r="D36" s="199"/>
      <c r="E36" s="199"/>
      <c r="F36" s="199"/>
      <c r="G36" s="199"/>
      <c r="H36" s="199"/>
      <c r="I36" s="199"/>
      <c r="J36" s="199"/>
      <c r="K36" s="199"/>
    </row>
    <row r="37" customFormat="false" ht="19.5" hidden="false" customHeight="true" outlineLevel="0" collapsed="false">
      <c r="A37" s="200" t="n">
        <f aca="false">MAPA_OBRA_707!A33</f>
        <v>0</v>
      </c>
      <c r="B37" s="201" t="str">
        <f aca="false">MAPA_OBRA_707!B33</f>
        <v>Betão - Aplicação e Vibração</v>
      </c>
      <c r="C37" s="200" t="str">
        <f aca="false">MAPA_OBRA_707!C33</f>
        <v>m3</v>
      </c>
      <c r="D37" s="202" t="n">
        <f aca="false">MAPA_OBRA_707!D33</f>
        <v>168.52</v>
      </c>
      <c r="E37" s="202" t="n">
        <v>0</v>
      </c>
      <c r="F37" s="203" t="n">
        <v>0</v>
      </c>
      <c r="G37" s="202" t="n">
        <f aca="false">E37+F37</f>
        <v>0</v>
      </c>
      <c r="H37" s="204" t="n">
        <f aca="false">IF(D37&gt;0, G37/D37, 0)</f>
        <v>0</v>
      </c>
      <c r="I37" s="202" t="n">
        <f aca="false">D37-G37</f>
        <v>168.52</v>
      </c>
      <c r="J37" s="205" t="n">
        <v>0</v>
      </c>
      <c r="K37" s="205" t="n">
        <f aca="false">F37*J37</f>
        <v>0</v>
      </c>
    </row>
    <row r="38" customFormat="false" ht="19.5" hidden="false" customHeight="true" outlineLevel="0" collapsed="false">
      <c r="A38" s="200" t="n">
        <f aca="false">MAPA_OBRA_707!A34</f>
        <v>0</v>
      </c>
      <c r="B38" s="201" t="str">
        <f aca="false">MAPA_OBRA_707!B34</f>
        <v>Cofragem - Fornecimento e aplicação</v>
      </c>
      <c r="C38" s="200" t="str">
        <f aca="false">MAPA_OBRA_707!C34</f>
        <v>m2</v>
      </c>
      <c r="D38" s="202" t="n">
        <f aca="false">MAPA_OBRA_707!D34</f>
        <v>1862.19</v>
      </c>
      <c r="E38" s="202" t="n">
        <v>0</v>
      </c>
      <c r="F38" s="203" t="n">
        <v>0</v>
      </c>
      <c r="G38" s="202" t="n">
        <f aca="false">E38+F38</f>
        <v>0</v>
      </c>
      <c r="H38" s="204" t="n">
        <f aca="false">IF(D38&gt;0, G38/D38, 0)</f>
        <v>0</v>
      </c>
      <c r="I38" s="202" t="n">
        <f aca="false">D38-G38</f>
        <v>1862.19</v>
      </c>
      <c r="J38" s="205" t="n">
        <v>0</v>
      </c>
      <c r="K38" s="205" t="n">
        <f aca="false">F38*J38</f>
        <v>0</v>
      </c>
    </row>
    <row r="39" customFormat="false" ht="19.5" hidden="false" customHeight="true" outlineLevel="0" collapsed="false">
      <c r="A39" s="200" t="n">
        <f aca="false">MAPA_OBRA_707!A35</f>
        <v>0</v>
      </c>
      <c r="B39" s="201" t="str">
        <f aca="false">MAPA_OBRA_707!B35</f>
        <v>Aço - Moldagem, Corte e Aplicação</v>
      </c>
      <c r="C39" s="200" t="str">
        <f aca="false">MAPA_OBRA_707!C35</f>
        <v>kg</v>
      </c>
      <c r="D39" s="202" t="n">
        <f aca="false">MAPA_OBRA_707!D35</f>
        <v>38760.52</v>
      </c>
      <c r="E39" s="202" t="n">
        <v>0</v>
      </c>
      <c r="F39" s="203" t="n">
        <v>0</v>
      </c>
      <c r="G39" s="202" t="n">
        <f aca="false">E39+F39</f>
        <v>0</v>
      </c>
      <c r="H39" s="204" t="n">
        <f aca="false">IF(D39&gt;0, G39/D39, 0)</f>
        <v>0</v>
      </c>
      <c r="I39" s="202" t="n">
        <f aca="false">D39-G39</f>
        <v>38760.52</v>
      </c>
      <c r="J39" s="205" t="n">
        <v>0</v>
      </c>
      <c r="K39" s="205" t="n">
        <f aca="false">F39*J39</f>
        <v>0</v>
      </c>
    </row>
    <row r="40" customFormat="false" ht="19.5" hidden="false" customHeight="true" outlineLevel="0" collapsed="false">
      <c r="A40" s="197" t="str">
        <f aca="false">MAPA_OBRA_707!A36</f>
        <v>4.3.1.4</v>
      </c>
      <c r="B40" s="198" t="str">
        <f aca="false">MAPA_OBRA_707!B36</f>
        <v>Vigas / Beams (150 kg/m3)</v>
      </c>
      <c r="C40" s="197" t="n">
        <f aca="false">MAPA_OBRA_707!C36</f>
        <v>0</v>
      </c>
      <c r="D40" s="199"/>
      <c r="E40" s="199"/>
      <c r="F40" s="199"/>
      <c r="G40" s="199"/>
      <c r="H40" s="199"/>
      <c r="I40" s="199"/>
      <c r="J40" s="199"/>
      <c r="K40" s="199"/>
    </row>
    <row r="41" customFormat="false" ht="19.5" hidden="false" customHeight="true" outlineLevel="0" collapsed="false">
      <c r="A41" s="200" t="n">
        <f aca="false">MAPA_OBRA_707!A37</f>
        <v>0</v>
      </c>
      <c r="B41" s="201" t="str">
        <f aca="false">MAPA_OBRA_707!B37</f>
        <v>Betão - Aplicação e Vibração</v>
      </c>
      <c r="C41" s="200" t="str">
        <f aca="false">MAPA_OBRA_707!C37</f>
        <v>m3</v>
      </c>
      <c r="D41" s="202" t="n">
        <f aca="false">MAPA_OBRA_707!D37</f>
        <v>384.7</v>
      </c>
      <c r="E41" s="202" t="n">
        <v>0</v>
      </c>
      <c r="F41" s="203" t="n">
        <v>0</v>
      </c>
      <c r="G41" s="202" t="n">
        <f aca="false">E41+F41</f>
        <v>0</v>
      </c>
      <c r="H41" s="204" t="n">
        <f aca="false">IF(D41&gt;0, G41/D41, 0)</f>
        <v>0</v>
      </c>
      <c r="I41" s="202" t="n">
        <f aca="false">D41-G41</f>
        <v>384.7</v>
      </c>
      <c r="J41" s="205" t="n">
        <v>0</v>
      </c>
      <c r="K41" s="205" t="n">
        <f aca="false">F41*J41</f>
        <v>0</v>
      </c>
    </row>
    <row r="42" customFormat="false" ht="19.5" hidden="false" customHeight="true" outlineLevel="0" collapsed="false">
      <c r="A42" s="200" t="n">
        <f aca="false">MAPA_OBRA_707!A38</f>
        <v>0</v>
      </c>
      <c r="B42" s="201" t="str">
        <f aca="false">MAPA_OBRA_707!B38</f>
        <v>Cofragem - Fornecimento e aplicação</v>
      </c>
      <c r="C42" s="200" t="str">
        <f aca="false">MAPA_OBRA_707!C38</f>
        <v>m2</v>
      </c>
      <c r="D42" s="202" t="n">
        <f aca="false">MAPA_OBRA_707!D38</f>
        <v>3847</v>
      </c>
      <c r="E42" s="202" t="n">
        <v>0</v>
      </c>
      <c r="F42" s="203" t="n">
        <v>0</v>
      </c>
      <c r="G42" s="202" t="n">
        <f aca="false">E42+F42</f>
        <v>0</v>
      </c>
      <c r="H42" s="204" t="n">
        <f aca="false">IF(D42&gt;0, G42/D42, 0)</f>
        <v>0</v>
      </c>
      <c r="I42" s="202" t="n">
        <f aca="false">D42-G42</f>
        <v>3847</v>
      </c>
      <c r="J42" s="205" t="n">
        <v>0</v>
      </c>
      <c r="K42" s="205" t="n">
        <f aca="false">F42*J42</f>
        <v>0</v>
      </c>
    </row>
    <row r="43" customFormat="false" ht="19.5" hidden="false" customHeight="true" outlineLevel="0" collapsed="false">
      <c r="A43" s="200" t="n">
        <f aca="false">MAPA_OBRA_707!A39</f>
        <v>0</v>
      </c>
      <c r="B43" s="201" t="str">
        <f aca="false">MAPA_OBRA_707!B39</f>
        <v>Aço - Moldagem, Corte e Aplicação</v>
      </c>
      <c r="C43" s="200" t="str">
        <f aca="false">MAPA_OBRA_707!C39</f>
        <v>kg</v>
      </c>
      <c r="D43" s="202" t="n">
        <f aca="false">MAPA_OBRA_707!D39</f>
        <v>66360.75</v>
      </c>
      <c r="E43" s="202" t="n">
        <v>0</v>
      </c>
      <c r="F43" s="203" t="n">
        <v>0</v>
      </c>
      <c r="G43" s="202" t="n">
        <f aca="false">E43+F43</f>
        <v>0</v>
      </c>
      <c r="H43" s="204" t="n">
        <f aca="false">IF(D43&gt;0, G43/D43, 0)</f>
        <v>0</v>
      </c>
      <c r="I43" s="202" t="n">
        <f aca="false">D43-G43</f>
        <v>66360.75</v>
      </c>
      <c r="J43" s="205" t="n">
        <v>0</v>
      </c>
      <c r="K43" s="205" t="n">
        <f aca="false">F43*J43</f>
        <v>0</v>
      </c>
    </row>
    <row r="44" customFormat="false" ht="19.5" hidden="false" customHeight="true" outlineLevel="0" collapsed="false">
      <c r="A44" s="197" t="str">
        <f aca="false">MAPA_OBRA_707!A40</f>
        <v>4.3.1.5</v>
      </c>
      <c r="B44" s="198" t="str">
        <f aca="false">MAPA_OBRA_707!B40</f>
        <v>Lajes Maciças / Massive Slabs (120 kg/m3)</v>
      </c>
      <c r="C44" s="197" t="n">
        <f aca="false">MAPA_OBRA_707!C40</f>
        <v>0</v>
      </c>
      <c r="D44" s="199"/>
      <c r="E44" s="199"/>
      <c r="F44" s="199"/>
      <c r="G44" s="199"/>
      <c r="H44" s="199"/>
      <c r="I44" s="199"/>
      <c r="J44" s="199"/>
      <c r="K44" s="199"/>
    </row>
    <row r="45" customFormat="false" ht="19.5" hidden="false" customHeight="true" outlineLevel="0" collapsed="false">
      <c r="A45" s="200" t="n">
        <f aca="false">MAPA_OBRA_707!A41</f>
        <v>0</v>
      </c>
      <c r="B45" s="201" t="str">
        <f aca="false">MAPA_OBRA_707!B41</f>
        <v>Betão - Aplicação e Vibração</v>
      </c>
      <c r="C45" s="200" t="str">
        <f aca="false">MAPA_OBRA_707!C41</f>
        <v>m3</v>
      </c>
      <c r="D45" s="202" t="n">
        <f aca="false">MAPA_OBRA_707!D41</f>
        <v>145.35</v>
      </c>
      <c r="E45" s="202" t="n">
        <v>0</v>
      </c>
      <c r="F45" s="203" t="n">
        <v>0</v>
      </c>
      <c r="G45" s="202" t="n">
        <f aca="false">E45+F45</f>
        <v>0</v>
      </c>
      <c r="H45" s="204" t="n">
        <f aca="false">IF(D45&gt;0, G45/D45, 0)</f>
        <v>0</v>
      </c>
      <c r="I45" s="202" t="n">
        <f aca="false">D45-G45</f>
        <v>145.35</v>
      </c>
      <c r="J45" s="205" t="n">
        <v>0</v>
      </c>
      <c r="K45" s="205" t="n">
        <f aca="false">F45*J45</f>
        <v>0</v>
      </c>
    </row>
    <row r="46" customFormat="false" ht="19.5" hidden="false" customHeight="true" outlineLevel="0" collapsed="false">
      <c r="A46" s="200" t="n">
        <f aca="false">MAPA_OBRA_707!A42</f>
        <v>0</v>
      </c>
      <c r="B46" s="201" t="str">
        <f aca="false">MAPA_OBRA_707!B42</f>
        <v>Cofragem - Fornecimento e aplicação</v>
      </c>
      <c r="C46" s="200" t="str">
        <f aca="false">MAPA_OBRA_707!C42</f>
        <v>m2</v>
      </c>
      <c r="D46" s="202" t="n">
        <f aca="false">MAPA_OBRA_707!D42</f>
        <v>726.75</v>
      </c>
      <c r="E46" s="202" t="n">
        <v>0</v>
      </c>
      <c r="F46" s="203" t="n">
        <v>0</v>
      </c>
      <c r="G46" s="202" t="n">
        <f aca="false">E46+F46</f>
        <v>0</v>
      </c>
      <c r="H46" s="204" t="n">
        <f aca="false">IF(D46&gt;0, G46/D46, 0)</f>
        <v>0</v>
      </c>
      <c r="I46" s="202" t="n">
        <f aca="false">D46-G46</f>
        <v>726.75</v>
      </c>
      <c r="J46" s="205" t="n">
        <v>0</v>
      </c>
      <c r="K46" s="205" t="n">
        <f aca="false">F46*J46</f>
        <v>0</v>
      </c>
    </row>
    <row r="47" customFormat="false" ht="19.5" hidden="false" customHeight="true" outlineLevel="0" collapsed="false">
      <c r="A47" s="200" t="n">
        <f aca="false">MAPA_OBRA_707!A43</f>
        <v>0</v>
      </c>
      <c r="B47" s="201" t="str">
        <f aca="false">MAPA_OBRA_707!B43</f>
        <v>Aço - Moldagem, Corte e Aplicação</v>
      </c>
      <c r="C47" s="200" t="str">
        <f aca="false">MAPA_OBRA_707!C43</f>
        <v>kg</v>
      </c>
      <c r="D47" s="202" t="n">
        <f aca="false">MAPA_OBRA_707!D43</f>
        <v>20058.3</v>
      </c>
      <c r="E47" s="202" t="n">
        <v>0</v>
      </c>
      <c r="F47" s="203" t="n">
        <v>0</v>
      </c>
      <c r="G47" s="202" t="n">
        <f aca="false">E47+F47</f>
        <v>0</v>
      </c>
      <c r="H47" s="204" t="n">
        <f aca="false">IF(D47&gt;0, G47/D47, 0)</f>
        <v>0</v>
      </c>
      <c r="I47" s="202" t="n">
        <f aca="false">D47-G47</f>
        <v>20058.3</v>
      </c>
      <c r="J47" s="205" t="n">
        <v>0</v>
      </c>
      <c r="K47" s="205" t="n">
        <f aca="false">F47*J47</f>
        <v>0</v>
      </c>
    </row>
    <row r="48" customFormat="false" ht="19.5" hidden="false" customHeight="true" outlineLevel="0" collapsed="false">
      <c r="A48" s="197" t="str">
        <f aca="false">MAPA_OBRA_707!A44</f>
        <v>4.3.1.6</v>
      </c>
      <c r="B48" s="198" t="str">
        <f aca="false">MAPA_OBRA_707!B44</f>
        <v>Escadas / Stairs (80 kg/m3)</v>
      </c>
      <c r="C48" s="197" t="n">
        <f aca="false">MAPA_OBRA_707!C44</f>
        <v>0</v>
      </c>
      <c r="D48" s="199"/>
      <c r="E48" s="199"/>
      <c r="F48" s="199"/>
      <c r="G48" s="199"/>
      <c r="H48" s="199"/>
      <c r="I48" s="199"/>
      <c r="J48" s="199"/>
      <c r="K48" s="199"/>
    </row>
    <row r="49" customFormat="false" ht="19.5" hidden="false" customHeight="true" outlineLevel="0" collapsed="false">
      <c r="A49" s="200" t="n">
        <f aca="false">MAPA_OBRA_707!A45</f>
        <v>0</v>
      </c>
      <c r="B49" s="201" t="str">
        <f aca="false">MAPA_OBRA_707!B45</f>
        <v>Betão - Aplicação e Vibração</v>
      </c>
      <c r="C49" s="200" t="str">
        <f aca="false">MAPA_OBRA_707!C45</f>
        <v>m3</v>
      </c>
      <c r="D49" s="202" t="n">
        <f aca="false">MAPA_OBRA_707!D45</f>
        <v>60</v>
      </c>
      <c r="E49" s="202" t="n">
        <v>0</v>
      </c>
      <c r="F49" s="203" t="n">
        <v>0</v>
      </c>
      <c r="G49" s="202" t="n">
        <f aca="false">E49+F49</f>
        <v>0</v>
      </c>
      <c r="H49" s="204" t="n">
        <f aca="false">IF(D49&gt;0, G49/D49, 0)</f>
        <v>0</v>
      </c>
      <c r="I49" s="202" t="n">
        <f aca="false">D49-G49</f>
        <v>60</v>
      </c>
      <c r="J49" s="205" t="n">
        <v>0</v>
      </c>
      <c r="K49" s="205" t="n">
        <f aca="false">F49*J49</f>
        <v>0</v>
      </c>
    </row>
    <row r="50" customFormat="false" ht="19.5" hidden="false" customHeight="true" outlineLevel="0" collapsed="false">
      <c r="A50" s="200" t="n">
        <f aca="false">MAPA_OBRA_707!A46</f>
        <v>0</v>
      </c>
      <c r="B50" s="201" t="str">
        <f aca="false">MAPA_OBRA_707!B46</f>
        <v>Cofragem - Fornecimento e aplicação</v>
      </c>
      <c r="C50" s="200" t="str">
        <f aca="false">MAPA_OBRA_707!C46</f>
        <v>m2</v>
      </c>
      <c r="D50" s="202" t="n">
        <f aca="false">MAPA_OBRA_707!D46</f>
        <v>600</v>
      </c>
      <c r="E50" s="202" t="n">
        <v>0</v>
      </c>
      <c r="F50" s="203" t="n">
        <v>0</v>
      </c>
      <c r="G50" s="202" t="n">
        <f aca="false">E50+F50</f>
        <v>0</v>
      </c>
      <c r="H50" s="204" t="n">
        <f aca="false">IF(D50&gt;0, G50/D50, 0)</f>
        <v>0</v>
      </c>
      <c r="I50" s="202" t="n">
        <f aca="false">D50-G50</f>
        <v>600</v>
      </c>
      <c r="J50" s="205" t="n">
        <v>0</v>
      </c>
      <c r="K50" s="205" t="n">
        <f aca="false">F50*J50</f>
        <v>0</v>
      </c>
    </row>
    <row r="51" customFormat="false" ht="19.5" hidden="false" customHeight="true" outlineLevel="0" collapsed="false">
      <c r="A51" s="200" t="n">
        <f aca="false">MAPA_OBRA_707!A47</f>
        <v>0</v>
      </c>
      <c r="B51" s="201" t="str">
        <f aca="false">MAPA_OBRA_707!B47</f>
        <v>Aço - Moldagem, Corte e Aplicação</v>
      </c>
      <c r="C51" s="200" t="str">
        <f aca="false">MAPA_OBRA_707!C47</f>
        <v>kg</v>
      </c>
      <c r="D51" s="202" t="n">
        <f aca="false">MAPA_OBRA_707!D47</f>
        <v>5520</v>
      </c>
      <c r="E51" s="202" t="n">
        <v>0</v>
      </c>
      <c r="F51" s="203" t="n">
        <v>0</v>
      </c>
      <c r="G51" s="202" t="n">
        <f aca="false">E51+F51</f>
        <v>0</v>
      </c>
      <c r="H51" s="204" t="n">
        <f aca="false">IF(D51&gt;0, G51/D51, 0)</f>
        <v>0</v>
      </c>
      <c r="I51" s="202" t="n">
        <f aca="false">D51-G51</f>
        <v>5520</v>
      </c>
      <c r="J51" s="205" t="n">
        <v>0</v>
      </c>
      <c r="K51" s="205" t="n">
        <f aca="false">F51*J51</f>
        <v>0</v>
      </c>
    </row>
    <row r="52" customFormat="false" ht="49.5" hidden="false" customHeight="true" outlineLevel="0" collapsed="false">
      <c r="A52" s="197" t="str">
        <f aca="false">MAPA_OBRA_707!A48</f>
        <v>4.3.1.7</v>
      </c>
      <c r="B52" s="198"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52" s="197" t="n">
        <f aca="false">MAPA_OBRA_707!C48</f>
        <v>0</v>
      </c>
      <c r="D52" s="199"/>
      <c r="E52" s="199"/>
      <c r="F52" s="199"/>
      <c r="G52" s="199"/>
      <c r="H52" s="199"/>
      <c r="I52" s="199"/>
      <c r="J52" s="199"/>
      <c r="K52" s="199"/>
    </row>
    <row r="53" customFormat="false" ht="19.5" hidden="false" customHeight="true" outlineLevel="0" collapsed="false">
      <c r="A53" s="200" t="n">
        <f aca="false">MAPA_OBRA_707!A49</f>
        <v>0</v>
      </c>
      <c r="B53" s="201" t="str">
        <f aca="false">MAPA_OBRA_707!B49</f>
        <v>Betão - Aplicação e Vibração</v>
      </c>
      <c r="C53" s="200" t="str">
        <f aca="false">MAPA_OBRA_707!C49</f>
        <v>m3</v>
      </c>
      <c r="D53" s="202" t="n">
        <f aca="false">MAPA_OBRA_707!D49</f>
        <v>685.93</v>
      </c>
      <c r="E53" s="202" t="n">
        <v>0</v>
      </c>
      <c r="F53" s="203" t="n">
        <v>0</v>
      </c>
      <c r="G53" s="202" t="n">
        <f aca="false">E53+F53</f>
        <v>0</v>
      </c>
      <c r="H53" s="204" t="n">
        <f aca="false">IF(D53&gt;0, G53/D53, 0)</f>
        <v>0</v>
      </c>
      <c r="I53" s="202" t="n">
        <f aca="false">D53-G53</f>
        <v>685.93</v>
      </c>
      <c r="J53" s="205" t="n">
        <v>0</v>
      </c>
      <c r="K53" s="205" t="n">
        <f aca="false">F53*J53</f>
        <v>0</v>
      </c>
    </row>
    <row r="54" customFormat="false" ht="19.5" hidden="false" customHeight="true" outlineLevel="0" collapsed="false">
      <c r="A54" s="200" t="n">
        <f aca="false">MAPA_OBRA_707!A50</f>
        <v>0</v>
      </c>
      <c r="B54" s="201" t="str">
        <f aca="false">MAPA_OBRA_707!B50</f>
        <v>Cofragem - Fornecimento e aplicação</v>
      </c>
      <c r="C54" s="200" t="str">
        <f aca="false">MAPA_OBRA_707!C50</f>
        <v>m2</v>
      </c>
      <c r="D54" s="202" t="n">
        <f aca="false">MAPA_OBRA_707!D50</f>
        <v>5900.33</v>
      </c>
      <c r="E54" s="202" t="n">
        <v>0</v>
      </c>
      <c r="F54" s="203" t="n">
        <v>0</v>
      </c>
      <c r="G54" s="202" t="n">
        <f aca="false">E54+F54</f>
        <v>0</v>
      </c>
      <c r="H54" s="204" t="n">
        <f aca="false">IF(D54&gt;0, G54/D54, 0)</f>
        <v>0</v>
      </c>
      <c r="I54" s="202" t="n">
        <f aca="false">D54-G54</f>
        <v>5900.33</v>
      </c>
      <c r="J54" s="205" t="n">
        <v>0</v>
      </c>
      <c r="K54" s="205" t="n">
        <f aca="false">F54*J54</f>
        <v>0</v>
      </c>
    </row>
    <row r="55" customFormat="false" ht="19.5" hidden="false" customHeight="true" outlineLevel="0" collapsed="false">
      <c r="A55" s="200" t="n">
        <f aca="false">MAPA_OBRA_707!A51</f>
        <v>0</v>
      </c>
      <c r="B55" s="201" t="str">
        <f aca="false">MAPA_OBRA_707!B51</f>
        <v>Aço - Moldagem, Corte e Aplicação</v>
      </c>
      <c r="C55" s="200" t="str">
        <f aca="false">MAPA_OBRA_707!C51</f>
        <v>kg</v>
      </c>
      <c r="D55" s="202" t="n">
        <f aca="false">MAPA_OBRA_707!D51</f>
        <v>162796.88</v>
      </c>
      <c r="E55" s="202" t="n">
        <v>0</v>
      </c>
      <c r="F55" s="203" t="n">
        <v>0</v>
      </c>
      <c r="G55" s="202" t="n">
        <f aca="false">E55+F55</f>
        <v>0</v>
      </c>
      <c r="H55" s="204" t="n">
        <f aca="false">IF(D55&gt;0, G55/D55, 0)</f>
        <v>0</v>
      </c>
      <c r="I55" s="202" t="n">
        <f aca="false">D55-G55</f>
        <v>162796.88</v>
      </c>
      <c r="J55" s="205" t="n">
        <v>0</v>
      </c>
      <c r="K55" s="205" t="n">
        <f aca="false">F55*J55</f>
        <v>0</v>
      </c>
    </row>
    <row r="56" customFormat="false" ht="19.5" hidden="false" customHeight="true" outlineLevel="0" collapsed="false">
      <c r="A56" s="200" t="n">
        <f aca="false">MAPA_OBRA_707!A52</f>
        <v>0</v>
      </c>
      <c r="B56" s="201" t="str">
        <f aca="false">MAPA_OBRA_707!B52</f>
        <v>Aplicação Moldes CBX</v>
      </c>
      <c r="C56" s="200" t="str">
        <f aca="false">MAPA_OBRA_707!C52</f>
        <v>m2</v>
      </c>
      <c r="D56" s="202" t="n">
        <f aca="false">MAPA_OBRA_707!D52</f>
        <v>2723.06</v>
      </c>
      <c r="E56" s="202" t="n">
        <v>0</v>
      </c>
      <c r="F56" s="203" t="n">
        <v>0</v>
      </c>
      <c r="G56" s="202" t="n">
        <f aca="false">E56+F56</f>
        <v>0</v>
      </c>
      <c r="H56" s="204" t="n">
        <f aca="false">IF(D56&gt;0, G56/D56, 0)</f>
        <v>0</v>
      </c>
      <c r="I56" s="202" t="n">
        <f aca="false">D56-G56</f>
        <v>2723.06</v>
      </c>
      <c r="J56" s="205" t="n">
        <v>0</v>
      </c>
      <c r="K56" s="205" t="n">
        <f aca="false">F56*J56</f>
        <v>0</v>
      </c>
    </row>
    <row r="57" customFormat="false" ht="49.5" hidden="false" customHeight="true" outlineLevel="0" collapsed="false">
      <c r="A57" s="197" t="str">
        <f aca="false">MAPA_OBRA_707!A53</f>
        <v>4.3.2</v>
      </c>
      <c r="B57" s="198"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57" s="197" t="n">
        <f aca="false">MAPA_OBRA_707!C53</f>
        <v>0</v>
      </c>
      <c r="D57" s="199"/>
      <c r="E57" s="199"/>
      <c r="F57" s="199"/>
      <c r="G57" s="199"/>
      <c r="H57" s="199"/>
      <c r="I57" s="199"/>
      <c r="J57" s="199"/>
      <c r="K57" s="199"/>
    </row>
    <row r="58" customFormat="false" ht="36" hidden="false" customHeight="true" outlineLevel="0" collapsed="false">
      <c r="A58" s="197" t="str">
        <f aca="false">MAPA_OBRA_707!A54</f>
        <v>4.3.1</v>
      </c>
      <c r="B58" s="198" t="str">
        <f aca="false">MAPA_OBRA_707!B54</f>
        <v>Laje de Fundo de Piscina do Piso 0 / Pool Bottom Slab of Leve 0</v>
      </c>
      <c r="C58" s="197" t="n">
        <f aca="false">MAPA_OBRA_707!C54</f>
        <v>0</v>
      </c>
      <c r="D58" s="199"/>
      <c r="E58" s="199"/>
      <c r="F58" s="199"/>
      <c r="G58" s="199"/>
      <c r="H58" s="199"/>
      <c r="I58" s="199"/>
      <c r="J58" s="199"/>
      <c r="K58" s="199"/>
    </row>
    <row r="59" customFormat="false" ht="19.5" hidden="false" customHeight="true" outlineLevel="0" collapsed="false">
      <c r="A59" s="200" t="n">
        <f aca="false">MAPA_OBRA_707!A55</f>
        <v>0</v>
      </c>
      <c r="B59" s="201" t="str">
        <f aca="false">MAPA_OBRA_707!B55</f>
        <v>Betão - Aplicação e Vibração</v>
      </c>
      <c r="C59" s="200" t="str">
        <f aca="false">MAPA_OBRA_707!C55</f>
        <v>m3</v>
      </c>
      <c r="D59" s="202" t="n">
        <f aca="false">MAPA_OBRA_707!D55</f>
        <v>187.85</v>
      </c>
      <c r="E59" s="202" t="n">
        <v>0</v>
      </c>
      <c r="F59" s="203" t="n">
        <v>0</v>
      </c>
      <c r="G59" s="202" t="n">
        <f aca="false">E59+F59</f>
        <v>0</v>
      </c>
      <c r="H59" s="204" t="n">
        <f aca="false">IF(D59&gt;0, G59/D59, 0)</f>
        <v>0</v>
      </c>
      <c r="I59" s="202" t="n">
        <f aca="false">D59-G59</f>
        <v>187.85</v>
      </c>
      <c r="J59" s="205" t="n">
        <v>0</v>
      </c>
      <c r="K59" s="205" t="n">
        <f aca="false">F59*J59</f>
        <v>0</v>
      </c>
    </row>
    <row r="60" customFormat="false" ht="19.5" hidden="false" customHeight="true" outlineLevel="0" collapsed="false">
      <c r="A60" s="200" t="n">
        <f aca="false">MAPA_OBRA_707!A56</f>
        <v>0</v>
      </c>
      <c r="B60" s="201" t="str">
        <f aca="false">MAPA_OBRA_707!B56</f>
        <v>Cofragem - Fornecimento e aplicação</v>
      </c>
      <c r="C60" s="200" t="str">
        <f aca="false">MAPA_OBRA_707!C56</f>
        <v>m2</v>
      </c>
      <c r="D60" s="202" t="n">
        <f aca="false">MAPA_OBRA_707!D56</f>
        <v>469.62</v>
      </c>
      <c r="E60" s="202" t="n">
        <v>0</v>
      </c>
      <c r="F60" s="203" t="n">
        <v>0</v>
      </c>
      <c r="G60" s="202" t="n">
        <f aca="false">E60+F60</f>
        <v>0</v>
      </c>
      <c r="H60" s="204" t="n">
        <f aca="false">IF(D60&gt;0, G60/D60, 0)</f>
        <v>0</v>
      </c>
      <c r="I60" s="202" t="n">
        <f aca="false">D60-G60</f>
        <v>469.62</v>
      </c>
      <c r="J60" s="205" t="n">
        <v>0</v>
      </c>
      <c r="K60" s="205" t="n">
        <f aca="false">F60*J60</f>
        <v>0</v>
      </c>
    </row>
    <row r="61" customFormat="false" ht="19.5" hidden="false" customHeight="true" outlineLevel="0" collapsed="false">
      <c r="A61" s="200" t="n">
        <f aca="false">MAPA_OBRA_707!A57</f>
        <v>0</v>
      </c>
      <c r="B61" s="201" t="str">
        <f aca="false">MAPA_OBRA_707!B57</f>
        <v>Aço - Moldagem, Corte e Aplicação</v>
      </c>
      <c r="C61" s="200" t="str">
        <f aca="false">MAPA_OBRA_707!C57</f>
        <v>kg</v>
      </c>
      <c r="D61" s="202" t="n">
        <f aca="false">MAPA_OBRA_707!D57</f>
        <v>23762.77</v>
      </c>
      <c r="E61" s="202" t="n">
        <v>0</v>
      </c>
      <c r="F61" s="203" t="n">
        <v>0</v>
      </c>
      <c r="G61" s="202" t="n">
        <f aca="false">E61+F61</f>
        <v>0</v>
      </c>
      <c r="H61" s="204" t="n">
        <f aca="false">IF(D61&gt;0, G61/D61, 0)</f>
        <v>0</v>
      </c>
      <c r="I61" s="202" t="n">
        <f aca="false">D61-G61</f>
        <v>23762.77</v>
      </c>
      <c r="J61" s="205" t="n">
        <v>0</v>
      </c>
      <c r="K61" s="205" t="n">
        <f aca="false">F61*J61</f>
        <v>0</v>
      </c>
    </row>
    <row r="62" customFormat="false" ht="19.5" hidden="false" customHeight="true" outlineLevel="0" collapsed="false">
      <c r="A62" s="197" t="str">
        <f aca="false">MAPA_OBRA_707!A58</f>
        <v>4.3.2</v>
      </c>
      <c r="B62" s="198" t="str">
        <f aca="false">MAPA_OBRA_707!B58</f>
        <v>Parede de Piscina do Piso 0 / Pool Walls at Level 0</v>
      </c>
      <c r="C62" s="197" t="n">
        <f aca="false">MAPA_OBRA_707!C58</f>
        <v>0</v>
      </c>
      <c r="D62" s="199"/>
      <c r="E62" s="199"/>
      <c r="F62" s="199"/>
      <c r="G62" s="199"/>
      <c r="H62" s="199"/>
      <c r="I62" s="199"/>
      <c r="J62" s="199"/>
      <c r="K62" s="199"/>
    </row>
    <row r="63" customFormat="false" ht="19.5" hidden="false" customHeight="true" outlineLevel="0" collapsed="false">
      <c r="A63" s="200" t="n">
        <f aca="false">MAPA_OBRA_707!A59</f>
        <v>0</v>
      </c>
      <c r="B63" s="201" t="str">
        <f aca="false">MAPA_OBRA_707!B59</f>
        <v>Betão - Aplicação e Vibração</v>
      </c>
      <c r="C63" s="200" t="str">
        <f aca="false">MAPA_OBRA_707!C59</f>
        <v>m3</v>
      </c>
      <c r="D63" s="202" t="n">
        <f aca="false">MAPA_OBRA_707!D59</f>
        <v>215.23</v>
      </c>
      <c r="E63" s="202" t="n">
        <v>0</v>
      </c>
      <c r="F63" s="203" t="n">
        <v>0</v>
      </c>
      <c r="G63" s="202" t="n">
        <f aca="false">E63+F63</f>
        <v>0</v>
      </c>
      <c r="H63" s="204" t="n">
        <f aca="false">IF(D63&gt;0, G63/D63, 0)</f>
        <v>0</v>
      </c>
      <c r="I63" s="202" t="n">
        <f aca="false">D63-G63</f>
        <v>215.23</v>
      </c>
      <c r="J63" s="205" t="n">
        <v>0</v>
      </c>
      <c r="K63" s="205" t="n">
        <f aca="false">F63*J63</f>
        <v>0</v>
      </c>
    </row>
    <row r="64" customFormat="false" ht="19.5" hidden="false" customHeight="true" outlineLevel="0" collapsed="false">
      <c r="A64" s="200" t="n">
        <f aca="false">MAPA_OBRA_707!A60</f>
        <v>0</v>
      </c>
      <c r="B64" s="201" t="str">
        <f aca="false">MAPA_OBRA_707!B60</f>
        <v>Cofragem - Fornecimento e aplicação</v>
      </c>
      <c r="C64" s="200" t="str">
        <f aca="false">MAPA_OBRA_707!C60</f>
        <v>m2</v>
      </c>
      <c r="D64" s="202" t="n">
        <f aca="false">MAPA_OBRA_707!D60</f>
        <v>2152.3</v>
      </c>
      <c r="E64" s="202" t="n">
        <v>0</v>
      </c>
      <c r="F64" s="203" t="n">
        <v>0</v>
      </c>
      <c r="G64" s="202" t="n">
        <f aca="false">E64+F64</f>
        <v>0</v>
      </c>
      <c r="H64" s="204" t="n">
        <f aca="false">IF(D64&gt;0, G64/D64, 0)</f>
        <v>0</v>
      </c>
      <c r="I64" s="202" t="n">
        <f aca="false">D64-G64</f>
        <v>2152.3</v>
      </c>
      <c r="J64" s="205" t="n">
        <v>0</v>
      </c>
      <c r="K64" s="205" t="n">
        <f aca="false">F64*J64</f>
        <v>0</v>
      </c>
    </row>
    <row r="65" customFormat="false" ht="19.5" hidden="false" customHeight="true" outlineLevel="0" collapsed="false">
      <c r="A65" s="200" t="n">
        <f aca="false">MAPA_OBRA_707!A61</f>
        <v>0</v>
      </c>
      <c r="B65" s="201" t="str">
        <f aca="false">MAPA_OBRA_707!B61</f>
        <v>Aço - Moldagem, Corte e Aplicação</v>
      </c>
      <c r="C65" s="200" t="str">
        <f aca="false">MAPA_OBRA_707!C61</f>
        <v>kg</v>
      </c>
      <c r="D65" s="202" t="n">
        <f aca="false">MAPA_OBRA_707!D61</f>
        <v>35956.43</v>
      </c>
      <c r="E65" s="202" t="n">
        <v>0</v>
      </c>
      <c r="F65" s="203" t="n">
        <v>0</v>
      </c>
      <c r="G65" s="202" t="n">
        <f aca="false">E65+F65</f>
        <v>0</v>
      </c>
      <c r="H65" s="204" t="n">
        <f aca="false">IF(D65&gt;0, G65/D65, 0)</f>
        <v>0</v>
      </c>
      <c r="I65" s="202" t="n">
        <f aca="false">D65-G65</f>
        <v>35956.43</v>
      </c>
      <c r="J65" s="205" t="n">
        <v>0</v>
      </c>
      <c r="K65" s="205" t="n">
        <f aca="false">F65*J65</f>
        <v>0</v>
      </c>
    </row>
    <row r="66" customFormat="false" ht="19.5" hidden="false" customHeight="true" outlineLevel="0" collapsed="false">
      <c r="A66" s="197" t="str">
        <f aca="false">MAPA_OBRA_707!A62</f>
        <v>4.3.3</v>
      </c>
      <c r="B66" s="198" t="str">
        <f aca="false">MAPA_OBRA_707!B62</f>
        <v>Paredes da Piscina da Cobertura</v>
      </c>
      <c r="C66" s="197" t="n">
        <f aca="false">MAPA_OBRA_707!C62</f>
        <v>0</v>
      </c>
      <c r="D66" s="199"/>
      <c r="E66" s="199"/>
      <c r="F66" s="199"/>
      <c r="G66" s="199"/>
      <c r="H66" s="199"/>
      <c r="I66" s="199"/>
      <c r="J66" s="199"/>
      <c r="K66" s="199"/>
    </row>
    <row r="67" customFormat="false" ht="19.5" hidden="false" customHeight="true" outlineLevel="0" collapsed="false">
      <c r="A67" s="200" t="n">
        <f aca="false">MAPA_OBRA_707!A63</f>
        <v>0</v>
      </c>
      <c r="B67" s="201" t="str">
        <f aca="false">MAPA_OBRA_707!B63</f>
        <v>Betão - Aplicação e Vibração</v>
      </c>
      <c r="C67" s="200" t="str">
        <f aca="false">MAPA_OBRA_707!C63</f>
        <v>m3</v>
      </c>
      <c r="D67" s="202" t="n">
        <f aca="false">MAPA_OBRA_707!D63</f>
        <v>29.76</v>
      </c>
      <c r="E67" s="202" t="n">
        <v>0</v>
      </c>
      <c r="F67" s="203" t="n">
        <v>0</v>
      </c>
      <c r="G67" s="202" t="n">
        <f aca="false">E67+F67</f>
        <v>0</v>
      </c>
      <c r="H67" s="204" t="n">
        <f aca="false">IF(D67&gt;0, G67/D67, 0)</f>
        <v>0</v>
      </c>
      <c r="I67" s="202" t="n">
        <f aca="false">D67-G67</f>
        <v>29.76</v>
      </c>
      <c r="J67" s="205" t="n">
        <v>0</v>
      </c>
      <c r="K67" s="205" t="n">
        <f aca="false">F67*J67</f>
        <v>0</v>
      </c>
    </row>
    <row r="68" customFormat="false" ht="19.5" hidden="false" customHeight="true" outlineLevel="0" collapsed="false">
      <c r="A68" s="200" t="n">
        <f aca="false">MAPA_OBRA_707!A64</f>
        <v>0</v>
      </c>
      <c r="B68" s="201" t="str">
        <f aca="false">MAPA_OBRA_707!B64</f>
        <v>Cofragem - Fornecimento e aplicação</v>
      </c>
      <c r="C68" s="200" t="str">
        <f aca="false">MAPA_OBRA_707!C64</f>
        <v>m2</v>
      </c>
      <c r="D68" s="202" t="n">
        <f aca="false">MAPA_OBRA_707!D64</f>
        <v>267.84</v>
      </c>
      <c r="E68" s="202" t="n">
        <v>0</v>
      </c>
      <c r="F68" s="203" t="n">
        <v>0</v>
      </c>
      <c r="G68" s="202" t="n">
        <f aca="false">E68+F68</f>
        <v>0</v>
      </c>
      <c r="H68" s="204" t="n">
        <f aca="false">IF(D68&gt;0, G68/D68, 0)</f>
        <v>0</v>
      </c>
      <c r="I68" s="202" t="n">
        <f aca="false">D68-G68</f>
        <v>267.84</v>
      </c>
      <c r="J68" s="205" t="n">
        <v>0</v>
      </c>
      <c r="K68" s="205" t="n">
        <f aca="false">F68*J68</f>
        <v>0</v>
      </c>
    </row>
    <row r="69" customFormat="false" ht="19.5" hidden="false" customHeight="true" outlineLevel="0" collapsed="false">
      <c r="A69" s="200" t="n">
        <f aca="false">MAPA_OBRA_707!A65</f>
        <v>0</v>
      </c>
      <c r="B69" s="201" t="str">
        <f aca="false">MAPA_OBRA_707!B65</f>
        <v>Aço - Moldagem, Corte e Aplicação</v>
      </c>
      <c r="C69" s="200" t="str">
        <f aca="false">MAPA_OBRA_707!C65</f>
        <v>kg</v>
      </c>
      <c r="D69" s="202" t="n">
        <f aca="false">MAPA_OBRA_707!D65</f>
        <v>4791.36</v>
      </c>
      <c r="E69" s="202" t="n">
        <v>0</v>
      </c>
      <c r="F69" s="203" t="n">
        <v>0</v>
      </c>
      <c r="G69" s="202" t="n">
        <f aca="false">E69+F69</f>
        <v>0</v>
      </c>
      <c r="H69" s="204" t="n">
        <f aca="false">IF(D69&gt;0, G69/D69, 0)</f>
        <v>0</v>
      </c>
      <c r="I69" s="202" t="n">
        <f aca="false">D69-G69</f>
        <v>4791.36</v>
      </c>
      <c r="J69" s="205" t="n">
        <v>0</v>
      </c>
      <c r="K69" s="205" t="n">
        <f aca="false">F69*J69</f>
        <v>0</v>
      </c>
    </row>
    <row r="70" customFormat="false" ht="19.5" hidden="false" customHeight="true" outlineLevel="0" collapsed="false">
      <c r="A70" s="197" t="str">
        <f aca="false">MAPA_OBRA_707!A66</f>
        <v>4.4</v>
      </c>
      <c r="B70" s="198" t="str">
        <f aca="false">MAPA_OBRA_707!B66</f>
        <v>Pavimento Térreos / Ground Floors</v>
      </c>
      <c r="C70" s="197" t="n">
        <f aca="false">MAPA_OBRA_707!C66</f>
        <v>0</v>
      </c>
      <c r="D70" s="199"/>
      <c r="E70" s="199"/>
      <c r="F70" s="199"/>
      <c r="G70" s="199"/>
      <c r="H70" s="199"/>
      <c r="I70" s="199"/>
      <c r="J70" s="199"/>
      <c r="K70" s="199"/>
    </row>
    <row r="71" customFormat="false" ht="19.5" hidden="false" customHeight="true" outlineLevel="0" collapsed="false">
      <c r="A71" s="197" t="str">
        <f aca="false">MAPA_OBRA_707!A67</f>
        <v>4.4.1</v>
      </c>
      <c r="B71" s="198" t="str">
        <f aca="false">MAPA_OBRA_707!B67</f>
        <v>Piso da Cave / Basement Level</v>
      </c>
      <c r="C71" s="197" t="n">
        <f aca="false">MAPA_OBRA_707!C67</f>
        <v>0</v>
      </c>
      <c r="D71" s="199"/>
      <c r="E71" s="199"/>
      <c r="F71" s="199"/>
      <c r="G71" s="199"/>
      <c r="H71" s="199"/>
      <c r="I71" s="199"/>
      <c r="J71" s="199"/>
      <c r="K71" s="199"/>
    </row>
    <row r="72" customFormat="false" ht="49.5" hidden="false" customHeight="true" outlineLevel="0" collapsed="false">
      <c r="A72" s="197" t="str">
        <f aca="false">MAPA_OBRA_707!A68</f>
        <v>4.4.1.1</v>
      </c>
      <c r="B72" s="198"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72" s="197" t="n">
        <f aca="false">MAPA_OBRA_707!C68</f>
        <v>0</v>
      </c>
      <c r="D72" s="199"/>
      <c r="E72" s="199"/>
      <c r="F72" s="199"/>
      <c r="G72" s="199"/>
      <c r="H72" s="199"/>
      <c r="I72" s="199"/>
      <c r="J72" s="199"/>
      <c r="K72" s="199"/>
    </row>
    <row r="73" customFormat="false" ht="19.5" hidden="false" customHeight="true" outlineLevel="0" collapsed="false">
      <c r="A73" s="200" t="str">
        <f aca="false">MAPA_OBRA_707!A69</f>
        <v>4.1.1.1</v>
      </c>
      <c r="B73" s="201" t="str">
        <f aca="false">MAPA_OBRA_707!B69</f>
        <v>Betão de Limpeza / Cleaning concrete</v>
      </c>
      <c r="C73" s="200" t="str">
        <f aca="false">MAPA_OBRA_707!C69</f>
        <v>m3</v>
      </c>
      <c r="D73" s="202" t="n">
        <f aca="false">MAPA_OBRA_707!D69</f>
        <v>108.75</v>
      </c>
      <c r="E73" s="202" t="n">
        <v>0</v>
      </c>
      <c r="F73" s="203" t="n">
        <v>0</v>
      </c>
      <c r="G73" s="202" t="n">
        <f aca="false">E73+F73</f>
        <v>0</v>
      </c>
      <c r="H73" s="204" t="n">
        <f aca="false">IF(D73&gt;0, G73/D73, 0)</f>
        <v>0</v>
      </c>
      <c r="I73" s="202" t="n">
        <f aca="false">D73-G73</f>
        <v>108.75</v>
      </c>
      <c r="J73" s="205" t="n">
        <v>0</v>
      </c>
      <c r="K73" s="205" t="n">
        <f aca="false">F73*J73</f>
        <v>0</v>
      </c>
    </row>
    <row r="74" customFormat="false" ht="19.5" hidden="false" customHeight="true" outlineLevel="0" collapsed="false">
      <c r="A74" s="200" t="str">
        <f aca="false">MAPA_OBRA_707!A70</f>
        <v>4.1.1.2</v>
      </c>
      <c r="B74" s="201" t="str">
        <f aca="false">MAPA_OBRA_707!B70</f>
        <v>Cupolex 20</v>
      </c>
      <c r="C74" s="200" t="str">
        <f aca="false">MAPA_OBRA_707!C70</f>
        <v>m2</v>
      </c>
      <c r="D74" s="202" t="n">
        <f aca="false">MAPA_OBRA_707!D70</f>
        <v>2175</v>
      </c>
      <c r="E74" s="202" t="n">
        <v>0</v>
      </c>
      <c r="F74" s="203" t="n">
        <v>0</v>
      </c>
      <c r="G74" s="202" t="n">
        <f aca="false">E74+F74</f>
        <v>0</v>
      </c>
      <c r="H74" s="204" t="n">
        <f aca="false">IF(D74&gt;0, G74/D74, 0)</f>
        <v>0</v>
      </c>
      <c r="I74" s="202" t="n">
        <f aca="false">D74-G74</f>
        <v>2175</v>
      </c>
      <c r="J74" s="205" t="n">
        <v>0</v>
      </c>
      <c r="K74" s="205" t="n">
        <f aca="false">F74*J74</f>
        <v>0</v>
      </c>
    </row>
    <row r="75" customFormat="false" ht="19.5" hidden="false" customHeight="true" outlineLevel="0" collapsed="false">
      <c r="A75" s="200" t="str">
        <f aca="false">MAPA_OBRA_707!A71</f>
        <v>4.1.1.3</v>
      </c>
      <c r="B75" s="201" t="str">
        <f aca="false">MAPA_OBRA_707!B71</f>
        <v>Lâmina de compressão em betão C20/25 XC2 C0,40 D22 S3</v>
      </c>
      <c r="C75" s="200" t="str">
        <f aca="false">MAPA_OBRA_707!C71</f>
        <v>m3</v>
      </c>
      <c r="D75" s="202" t="n">
        <f aca="false">MAPA_OBRA_707!D71</f>
        <v>108.75</v>
      </c>
      <c r="E75" s="202" t="n">
        <v>0</v>
      </c>
      <c r="F75" s="203" t="n">
        <v>0</v>
      </c>
      <c r="G75" s="202" t="n">
        <f aca="false">E75+F75</f>
        <v>0</v>
      </c>
      <c r="H75" s="204" t="n">
        <f aca="false">IF(D75&gt;0, G75/D75, 0)</f>
        <v>0</v>
      </c>
      <c r="I75" s="202" t="n">
        <f aca="false">D75-G75</f>
        <v>108.75</v>
      </c>
      <c r="J75" s="205" t="n">
        <v>0</v>
      </c>
      <c r="K75" s="205" t="n">
        <f aca="false">F75*J75</f>
        <v>0</v>
      </c>
    </row>
    <row r="76" customFormat="false" ht="19.5" hidden="false" customHeight="true" outlineLevel="0" collapsed="false">
      <c r="A76" s="200" t="str">
        <f aca="false">MAPA_OBRA_707!A72</f>
        <v>4.1.1.4</v>
      </c>
      <c r="B76" s="201" t="str">
        <f aca="false">MAPA_OBRA_707!B72</f>
        <v>Malhasol A500 AQ50</v>
      </c>
      <c r="C76" s="200" t="str">
        <f aca="false">MAPA_OBRA_707!C72</f>
        <v>m2</v>
      </c>
      <c r="D76" s="202" t="n">
        <f aca="false">MAPA_OBRA_707!D72</f>
        <v>2175</v>
      </c>
      <c r="E76" s="202" t="n">
        <v>0</v>
      </c>
      <c r="F76" s="203" t="n">
        <v>0</v>
      </c>
      <c r="G76" s="202" t="n">
        <f aca="false">E76+F76</f>
        <v>0</v>
      </c>
      <c r="H76" s="204" t="n">
        <f aca="false">IF(D76&gt;0, G76/D76, 0)</f>
        <v>0</v>
      </c>
      <c r="I76" s="202" t="n">
        <f aca="false">D76-G76</f>
        <v>2175</v>
      </c>
      <c r="J76" s="205" t="n">
        <v>0</v>
      </c>
      <c r="K76" s="205" t="n">
        <f aca="false">F76*J76</f>
        <v>0</v>
      </c>
    </row>
    <row r="77" customFormat="false" ht="15" hidden="false" customHeight="false" outlineLevel="0" collapsed="false">
      <c r="A77" s="206" t="s">
        <v>476</v>
      </c>
      <c r="B77" s="206"/>
      <c r="C77" s="206"/>
      <c r="D77" s="191"/>
      <c r="E77" s="191"/>
      <c r="F77" s="191"/>
      <c r="G77" s="191"/>
      <c r="H77" s="191"/>
      <c r="I77" s="191"/>
      <c r="J77" s="191"/>
      <c r="K77" s="207" t="n">
        <f aca="false">SUM(K6:K76)</f>
        <v>0</v>
      </c>
    </row>
  </sheetData>
  <mergeCells count="2">
    <mergeCell ref="A1:K1"/>
    <mergeCell ref="A77:C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8"/>
    <col collapsed="false" customWidth="true" hidden="false" outlineLevel="0" max="3" min="3" style="0" width="8"/>
    <col collapsed="false" customWidth="true" hidden="false" outlineLevel="0" max="4" min="4" style="0" width="16"/>
    <col collapsed="false" customWidth="true" hidden="false" outlineLevel="0" max="6" min="5" style="0" width="14"/>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3"/>
    <col collapsed="false" customWidth="true" hidden="false" outlineLevel="0" max="11" min="11" style="0" width="16"/>
  </cols>
  <sheetData>
    <row r="1" customFormat="false" ht="27.75" hidden="false" customHeight="true" outlineLevel="0" collapsed="false">
      <c r="A1" s="193" t="s">
        <v>477</v>
      </c>
      <c r="B1" s="193"/>
      <c r="C1" s="193"/>
      <c r="D1" s="193"/>
      <c r="E1" s="193"/>
      <c r="F1" s="193"/>
      <c r="G1" s="193"/>
      <c r="H1" s="193"/>
      <c r="I1" s="193"/>
      <c r="J1" s="193"/>
      <c r="K1" s="193"/>
    </row>
    <row r="2" customFormat="false" ht="15" hidden="false" customHeight="false" outlineLevel="0" collapsed="false">
      <c r="A2" s="194" t="s">
        <v>440</v>
      </c>
      <c r="B2" s="0" t="s">
        <v>441</v>
      </c>
      <c r="D2" s="194" t="s">
        <v>442</v>
      </c>
      <c r="E2" s="0" t="s">
        <v>478</v>
      </c>
      <c r="H2" s="194" t="s">
        <v>444</v>
      </c>
      <c r="I2" s="0" t="s">
        <v>445</v>
      </c>
    </row>
    <row r="3" customFormat="false" ht="15" hidden="false" customHeight="false" outlineLevel="0" collapsed="false">
      <c r="A3" s="194" t="s">
        <v>446</v>
      </c>
      <c r="B3" s="0" t="s">
        <v>447</v>
      </c>
      <c r="D3" s="194" t="s">
        <v>474</v>
      </c>
      <c r="E3" s="0" t="s">
        <v>475</v>
      </c>
      <c r="H3" s="194" t="s">
        <v>450</v>
      </c>
      <c r="I3" s="0" t="s">
        <v>451</v>
      </c>
    </row>
    <row r="5" customFormat="false" ht="24.75" hidden="false" customHeight="true" outlineLevel="0" collapsed="false">
      <c r="A5" s="195" t="s">
        <v>0</v>
      </c>
      <c r="B5" s="195" t="s">
        <v>1</v>
      </c>
      <c r="C5" s="195" t="s">
        <v>2</v>
      </c>
      <c r="D5" s="195" t="s">
        <v>452</v>
      </c>
      <c r="E5" s="196" t="s">
        <v>453</v>
      </c>
      <c r="F5" s="196" t="s">
        <v>454</v>
      </c>
      <c r="G5" s="196" t="s">
        <v>455</v>
      </c>
      <c r="H5" s="196" t="s">
        <v>456</v>
      </c>
      <c r="I5" s="196" t="s">
        <v>457</v>
      </c>
      <c r="J5" s="196" t="s">
        <v>458</v>
      </c>
      <c r="K5" s="196" t="s">
        <v>459</v>
      </c>
    </row>
    <row r="6" customFormat="false" ht="19.5" hidden="false" customHeight="true" outlineLevel="0" collapsed="false">
      <c r="A6" s="197" t="str">
        <f aca="false">MAPA_OBRA_707!A2</f>
        <v>4.1</v>
      </c>
      <c r="B6" s="198" t="str">
        <f aca="false">MAPA_OBRA_707!B2</f>
        <v>Betão de Limpeza / Cleaning concrete</v>
      </c>
      <c r="C6" s="197" t="n">
        <f aca="false">MAPA_OBRA_707!C2</f>
        <v>0</v>
      </c>
      <c r="D6" s="199"/>
      <c r="E6" s="199"/>
      <c r="F6" s="199"/>
      <c r="G6" s="199"/>
      <c r="H6" s="199"/>
      <c r="I6" s="199"/>
      <c r="J6" s="199"/>
      <c r="K6" s="199"/>
    </row>
    <row r="7" customFormat="false" ht="36" hidden="false" customHeight="true" outlineLevel="0" collapsed="false">
      <c r="A7" s="200" t="str">
        <f aca="false">MAPA_OBRA_707!A3</f>
        <v>4.1.1</v>
      </c>
      <c r="B7" s="201" t="str">
        <f aca="false">MAPA_OBRA_707!B3</f>
        <v>Fornecimento e aplicação de betão de limpeza do tipo C16/20 X0 numa espessura de 0,10 m.</v>
      </c>
      <c r="C7" s="200" t="str">
        <f aca="false">MAPA_OBRA_707!C3</f>
        <v>m3</v>
      </c>
      <c r="D7" s="202" t="n">
        <f aca="false">MAPA_OBRA_707!D3</f>
        <v>172.56</v>
      </c>
      <c r="E7" s="202" t="n">
        <v>0</v>
      </c>
      <c r="F7" s="203" t="n">
        <v>0</v>
      </c>
      <c r="G7" s="202" t="n">
        <f aca="false">E7+F7</f>
        <v>0</v>
      </c>
      <c r="H7" s="204" t="n">
        <f aca="false">IF(D7&gt;0, G7/D7, 0)</f>
        <v>0</v>
      </c>
      <c r="I7" s="202" t="n">
        <f aca="false">D7-G7</f>
        <v>172.56</v>
      </c>
      <c r="J7" s="205" t="n">
        <v>0</v>
      </c>
      <c r="K7" s="205" t="n">
        <f aca="false">F7*J7</f>
        <v>0</v>
      </c>
    </row>
    <row r="8" customFormat="false" ht="19.5" hidden="false" customHeight="true" outlineLevel="0" collapsed="false">
      <c r="A8" s="197" t="str">
        <f aca="false">MAPA_OBRA_707!A4</f>
        <v>4.2</v>
      </c>
      <c r="B8" s="198" t="str">
        <f aca="false">MAPA_OBRA_707!B4</f>
        <v>Fundações / Foundations</v>
      </c>
      <c r="C8" s="197" t="n">
        <f aca="false">MAPA_OBRA_707!C4</f>
        <v>0</v>
      </c>
      <c r="D8" s="199"/>
      <c r="E8" s="199"/>
      <c r="F8" s="199"/>
      <c r="G8" s="199"/>
      <c r="H8" s="199"/>
      <c r="I8" s="199"/>
      <c r="J8" s="199"/>
      <c r="K8" s="199"/>
    </row>
    <row r="9" customFormat="false" ht="49.5" hidden="false" customHeight="true" outlineLevel="0" collapsed="false">
      <c r="A9" s="197" t="str">
        <f aca="false">MAPA_OBRA_707!A5</f>
        <v>4.2.1</v>
      </c>
      <c r="B9" s="198" t="str">
        <f aca="false">MAPA_OBRA_707!B5</f>
        <v>Fornecimento e colocação de betão armado C30/37 XC2 0,40 Dmáx 22 S3 , em sapatas de muros e paredes, incluindo o fornecimento, aplicação e desmontagem de cofragem e o fornecimento, moldagem e aplicação de aço A500NR. Todos os trabalhos deverão ser executados de acordo com as peças desenhadas:</v>
      </c>
      <c r="C9" s="197" t="n">
        <f aca="false">MAPA_OBRA_707!C5</f>
        <v>0</v>
      </c>
      <c r="D9" s="199"/>
      <c r="E9" s="199"/>
      <c r="F9" s="199"/>
      <c r="G9" s="199"/>
      <c r="H9" s="199"/>
      <c r="I9" s="199"/>
      <c r="J9" s="199"/>
      <c r="K9" s="199"/>
    </row>
    <row r="10" customFormat="false" ht="19.5" hidden="false" customHeight="true" outlineLevel="0" collapsed="false">
      <c r="A10" s="197" t="str">
        <f aca="false">MAPA_OBRA_707!A6</f>
        <v>4.2.1.1</v>
      </c>
      <c r="B10" s="198" t="str">
        <f aca="false">MAPA_OBRA_707!B6</f>
        <v>Sapatas Isoladas / Isolated Foundations (90 kg/m3)</v>
      </c>
      <c r="C10" s="197" t="n">
        <f aca="false">MAPA_OBRA_707!C6</f>
        <v>0</v>
      </c>
      <c r="D10" s="199"/>
      <c r="E10" s="199"/>
      <c r="F10" s="199"/>
      <c r="G10" s="199"/>
      <c r="H10" s="199"/>
      <c r="I10" s="199"/>
      <c r="J10" s="199"/>
      <c r="K10" s="199"/>
    </row>
    <row r="11" customFormat="false" ht="19.5" hidden="false" customHeight="true" outlineLevel="0" collapsed="false">
      <c r="A11" s="200" t="n">
        <f aca="false">MAPA_OBRA_707!A7</f>
        <v>0</v>
      </c>
      <c r="B11" s="201" t="str">
        <f aca="false">MAPA_OBRA_707!B7</f>
        <v>Betão - Aplicação e Vibração</v>
      </c>
      <c r="C11" s="200" t="str">
        <f aca="false">MAPA_OBRA_707!C7</f>
        <v>m3</v>
      </c>
      <c r="D11" s="202" t="n">
        <f aca="false">MAPA_OBRA_707!D7</f>
        <v>163.87</v>
      </c>
      <c r="E11" s="202" t="n">
        <v>0</v>
      </c>
      <c r="F11" s="203" t="n">
        <v>0</v>
      </c>
      <c r="G11" s="202" t="n">
        <f aca="false">E11+F11</f>
        <v>0</v>
      </c>
      <c r="H11" s="204" t="n">
        <f aca="false">IF(D11&gt;0, G11/D11, 0)</f>
        <v>0</v>
      </c>
      <c r="I11" s="202" t="n">
        <f aca="false">D11-G11</f>
        <v>163.87</v>
      </c>
      <c r="J11" s="205" t="n">
        <v>0</v>
      </c>
      <c r="K11" s="205" t="n">
        <f aca="false">F11*J11</f>
        <v>0</v>
      </c>
    </row>
    <row r="12" customFormat="false" ht="19.5" hidden="false" customHeight="true" outlineLevel="0" collapsed="false">
      <c r="A12" s="200" t="n">
        <f aca="false">MAPA_OBRA_707!A8</f>
        <v>0</v>
      </c>
      <c r="B12" s="201" t="str">
        <f aca="false">MAPA_OBRA_707!B8</f>
        <v>Cofragem - Fornecimento e aplicação</v>
      </c>
      <c r="C12" s="200" t="str">
        <f aca="false">MAPA_OBRA_707!C8</f>
        <v>m2</v>
      </c>
      <c r="D12" s="202" t="n">
        <f aca="false">MAPA_OBRA_707!D8</f>
        <v>409.68</v>
      </c>
      <c r="E12" s="202" t="n">
        <v>0</v>
      </c>
      <c r="F12" s="203" t="n">
        <v>0</v>
      </c>
      <c r="G12" s="202" t="n">
        <f aca="false">E12+F12</f>
        <v>0</v>
      </c>
      <c r="H12" s="204" t="n">
        <f aca="false">IF(D12&gt;0, G12/D12, 0)</f>
        <v>0</v>
      </c>
      <c r="I12" s="202" t="n">
        <f aca="false">D12-G12</f>
        <v>409.68</v>
      </c>
      <c r="J12" s="205" t="n">
        <v>0</v>
      </c>
      <c r="K12" s="205" t="n">
        <f aca="false">F12*J12</f>
        <v>0</v>
      </c>
    </row>
    <row r="13" customFormat="false" ht="19.5" hidden="false" customHeight="true" outlineLevel="0" collapsed="false">
      <c r="A13" s="200" t="n">
        <f aca="false">MAPA_OBRA_707!A9</f>
        <v>0</v>
      </c>
      <c r="B13" s="201" t="str">
        <f aca="false">MAPA_OBRA_707!B9</f>
        <v>Aço - Moldagem, Corte e Aplicação</v>
      </c>
      <c r="C13" s="200" t="str">
        <f aca="false">MAPA_OBRA_707!C9</f>
        <v>kg</v>
      </c>
      <c r="D13" s="202" t="n">
        <f aca="false">MAPA_OBRA_707!D9</f>
        <v>16960.55</v>
      </c>
      <c r="E13" s="202" t="n">
        <v>0</v>
      </c>
      <c r="F13" s="203" t="n">
        <v>0</v>
      </c>
      <c r="G13" s="202" t="n">
        <f aca="false">E13+F13</f>
        <v>0</v>
      </c>
      <c r="H13" s="204" t="n">
        <f aca="false">IF(D13&gt;0, G13/D13, 0)</f>
        <v>0</v>
      </c>
      <c r="I13" s="202" t="n">
        <f aca="false">D13-G13</f>
        <v>16960.55</v>
      </c>
      <c r="J13" s="205" t="n">
        <v>0</v>
      </c>
      <c r="K13" s="205" t="n">
        <f aca="false">F13*J13</f>
        <v>0</v>
      </c>
    </row>
    <row r="14" customFormat="false" ht="19.5" hidden="false" customHeight="true" outlineLevel="0" collapsed="false">
      <c r="A14" s="197" t="str">
        <f aca="false">MAPA_OBRA_707!A10</f>
        <v>4.2.1.2</v>
      </c>
      <c r="B14" s="198" t="str">
        <f aca="false">MAPA_OBRA_707!B10</f>
        <v>Sapatas Contínuas / Continuous Foundations (110 kg/m3)</v>
      </c>
      <c r="C14" s="197" t="n">
        <f aca="false">MAPA_OBRA_707!C10</f>
        <v>0</v>
      </c>
      <c r="D14" s="199"/>
      <c r="E14" s="199"/>
      <c r="F14" s="199"/>
      <c r="G14" s="199"/>
      <c r="H14" s="199"/>
      <c r="I14" s="199"/>
      <c r="J14" s="199"/>
      <c r="K14" s="199"/>
    </row>
    <row r="15" customFormat="false" ht="19.5" hidden="false" customHeight="true" outlineLevel="0" collapsed="false">
      <c r="A15" s="200" t="n">
        <f aca="false">MAPA_OBRA_707!A11</f>
        <v>0</v>
      </c>
      <c r="B15" s="201" t="str">
        <f aca="false">MAPA_OBRA_707!B11</f>
        <v>Betão - Aplicação e Vibração</v>
      </c>
      <c r="C15" s="200" t="str">
        <f aca="false">MAPA_OBRA_707!C11</f>
        <v>m3</v>
      </c>
      <c r="D15" s="202" t="n">
        <f aca="false">MAPA_OBRA_707!D11</f>
        <v>155.53</v>
      </c>
      <c r="E15" s="202" t="n">
        <v>0</v>
      </c>
      <c r="F15" s="203" t="n">
        <v>0</v>
      </c>
      <c r="G15" s="202" t="n">
        <f aca="false">E15+F15</f>
        <v>0</v>
      </c>
      <c r="H15" s="204" t="n">
        <f aca="false">IF(D15&gt;0, G15/D15, 0)</f>
        <v>0</v>
      </c>
      <c r="I15" s="202" t="n">
        <f aca="false">D15-G15</f>
        <v>155.53</v>
      </c>
      <c r="J15" s="205" t="n">
        <v>0</v>
      </c>
      <c r="K15" s="205" t="n">
        <f aca="false">F15*J15</f>
        <v>0</v>
      </c>
    </row>
    <row r="16" customFormat="false" ht="19.5" hidden="false" customHeight="true" outlineLevel="0" collapsed="false">
      <c r="A16" s="200" t="n">
        <f aca="false">MAPA_OBRA_707!A12</f>
        <v>0</v>
      </c>
      <c r="B16" s="201" t="str">
        <f aca="false">MAPA_OBRA_707!B12</f>
        <v>Cofragem - Fornecimento e aplicação</v>
      </c>
      <c r="C16" s="200" t="str">
        <f aca="false">MAPA_OBRA_707!C12</f>
        <v>m2</v>
      </c>
      <c r="D16" s="202" t="n">
        <f aca="false">MAPA_OBRA_707!D12</f>
        <v>388.83</v>
      </c>
      <c r="E16" s="202" t="n">
        <v>0</v>
      </c>
      <c r="F16" s="203" t="n">
        <v>0</v>
      </c>
      <c r="G16" s="202" t="n">
        <f aca="false">E16+F16</f>
        <v>0</v>
      </c>
      <c r="H16" s="204" t="n">
        <f aca="false">IF(D16&gt;0, G16/D16, 0)</f>
        <v>0</v>
      </c>
      <c r="I16" s="202" t="n">
        <f aca="false">D16-G16</f>
        <v>388.83</v>
      </c>
      <c r="J16" s="205" t="n">
        <v>0</v>
      </c>
      <c r="K16" s="205" t="n">
        <f aca="false">F16*J16</f>
        <v>0</v>
      </c>
    </row>
    <row r="17" customFormat="false" ht="19.5" hidden="false" customHeight="true" outlineLevel="0" collapsed="false">
      <c r="A17" s="200" t="n">
        <f aca="false">MAPA_OBRA_707!A13</f>
        <v>0</v>
      </c>
      <c r="B17" s="201" t="str">
        <f aca="false">MAPA_OBRA_707!B13</f>
        <v>Aço - Moldagem, Corte e Aplicação</v>
      </c>
      <c r="C17" s="200" t="str">
        <f aca="false">MAPA_OBRA_707!C13</f>
        <v>kg</v>
      </c>
      <c r="D17" s="202" t="n">
        <f aca="false">MAPA_OBRA_707!D13</f>
        <v>19674.67</v>
      </c>
      <c r="E17" s="202" t="n">
        <v>0</v>
      </c>
      <c r="F17" s="203" t="n">
        <v>0</v>
      </c>
      <c r="G17" s="202" t="n">
        <f aca="false">E17+F17</f>
        <v>0</v>
      </c>
      <c r="H17" s="204" t="n">
        <f aca="false">IF(D17&gt;0, G17/D17, 0)</f>
        <v>0</v>
      </c>
      <c r="I17" s="202" t="n">
        <f aca="false">D17-G17</f>
        <v>19674.67</v>
      </c>
      <c r="J17" s="205" t="n">
        <v>0</v>
      </c>
      <c r="K17" s="205" t="n">
        <f aca="false">F17*J17</f>
        <v>0</v>
      </c>
    </row>
    <row r="18" customFormat="false" ht="19.5" hidden="false" customHeight="true" outlineLevel="0" collapsed="false">
      <c r="A18" s="197" t="str">
        <f aca="false">MAPA_OBRA_707!A14</f>
        <v>4.2.1.3</v>
      </c>
      <c r="B18" s="198" t="str">
        <f aca="false">MAPA_OBRA_707!B14</f>
        <v>Vigas de Fundação / Beams of Foundations (115 kg/m3)</v>
      </c>
      <c r="C18" s="197" t="n">
        <f aca="false">MAPA_OBRA_707!C14</f>
        <v>0</v>
      </c>
      <c r="D18" s="199"/>
      <c r="E18" s="199"/>
      <c r="F18" s="199"/>
      <c r="G18" s="199"/>
      <c r="H18" s="199"/>
      <c r="I18" s="199"/>
      <c r="J18" s="199"/>
      <c r="K18" s="199"/>
    </row>
    <row r="19" customFormat="false" ht="19.5" hidden="false" customHeight="true" outlineLevel="0" collapsed="false">
      <c r="A19" s="200" t="n">
        <f aca="false">MAPA_OBRA_707!A15</f>
        <v>0</v>
      </c>
      <c r="B19" s="201" t="str">
        <f aca="false">MAPA_OBRA_707!B15</f>
        <v>Betão - Aplicação e Vibração</v>
      </c>
      <c r="C19" s="200" t="str">
        <f aca="false">MAPA_OBRA_707!C15</f>
        <v>m3</v>
      </c>
      <c r="D19" s="202" t="n">
        <f aca="false">MAPA_OBRA_707!D15</f>
        <v>61.44</v>
      </c>
      <c r="E19" s="202" t="n">
        <v>0</v>
      </c>
      <c r="F19" s="203" t="n">
        <v>0</v>
      </c>
      <c r="G19" s="202" t="n">
        <f aca="false">E19+F19</f>
        <v>0</v>
      </c>
      <c r="H19" s="204" t="n">
        <f aca="false">IF(D19&gt;0, G19/D19, 0)</f>
        <v>0</v>
      </c>
      <c r="I19" s="202" t="n">
        <f aca="false">D19-G19</f>
        <v>61.44</v>
      </c>
      <c r="J19" s="205" t="n">
        <v>0</v>
      </c>
      <c r="K19" s="205" t="n">
        <f aca="false">F19*J19</f>
        <v>0</v>
      </c>
    </row>
    <row r="20" customFormat="false" ht="19.5" hidden="false" customHeight="true" outlineLevel="0" collapsed="false">
      <c r="A20" s="200" t="n">
        <f aca="false">MAPA_OBRA_707!A16</f>
        <v>0</v>
      </c>
      <c r="B20" s="201" t="str">
        <f aca="false">MAPA_OBRA_707!B16</f>
        <v>Cofragem - Fornecimento e aplicação</v>
      </c>
      <c r="C20" s="200" t="str">
        <f aca="false">MAPA_OBRA_707!C16</f>
        <v>m2</v>
      </c>
      <c r="D20" s="202" t="n">
        <f aca="false">MAPA_OBRA_707!D16</f>
        <v>688.74</v>
      </c>
      <c r="E20" s="202" t="n">
        <v>0</v>
      </c>
      <c r="F20" s="203" t="n">
        <v>0</v>
      </c>
      <c r="G20" s="202" t="n">
        <f aca="false">E20+F20</f>
        <v>0</v>
      </c>
      <c r="H20" s="204" t="n">
        <f aca="false">IF(D20&gt;0, G20/D20, 0)</f>
        <v>0</v>
      </c>
      <c r="I20" s="202" t="n">
        <f aca="false">D20-G20</f>
        <v>688.74</v>
      </c>
      <c r="J20" s="205" t="n">
        <v>0</v>
      </c>
      <c r="K20" s="205" t="n">
        <f aca="false">F20*J20</f>
        <v>0</v>
      </c>
    </row>
    <row r="21" customFormat="false" ht="19.5" hidden="false" customHeight="true" outlineLevel="0" collapsed="false">
      <c r="A21" s="200" t="n">
        <f aca="false">MAPA_OBRA_707!A17</f>
        <v>0</v>
      </c>
      <c r="B21" s="201" t="str">
        <f aca="false">MAPA_OBRA_707!B17</f>
        <v>Aço - Moldagem, Corte e Aplicação</v>
      </c>
      <c r="C21" s="200" t="str">
        <f aca="false">MAPA_OBRA_707!C17</f>
        <v>kg</v>
      </c>
      <c r="D21" s="202" t="n">
        <f aca="false">MAPA_OBRA_707!D17</f>
        <v>8125.44</v>
      </c>
      <c r="E21" s="202" t="n">
        <v>0</v>
      </c>
      <c r="F21" s="203" t="n">
        <v>0</v>
      </c>
      <c r="G21" s="202" t="n">
        <f aca="false">E21+F21</f>
        <v>0</v>
      </c>
      <c r="H21" s="204" t="n">
        <f aca="false">IF(D21&gt;0, G21/D21, 0)</f>
        <v>0</v>
      </c>
      <c r="I21" s="202" t="n">
        <f aca="false">D21-G21</f>
        <v>8125.44</v>
      </c>
      <c r="J21" s="205" t="n">
        <v>0</v>
      </c>
      <c r="K21" s="205" t="n">
        <f aca="false">F21*J21</f>
        <v>0</v>
      </c>
    </row>
    <row r="22" customFormat="false" ht="19.5" hidden="false" customHeight="true" outlineLevel="0" collapsed="false">
      <c r="A22" s="197" t="str">
        <f aca="false">MAPA_OBRA_707!A18</f>
        <v>4.3</v>
      </c>
      <c r="B22" s="198" t="str">
        <f aca="false">MAPA_OBRA_707!B18</f>
        <v>Superestrutura / Superstructure</v>
      </c>
      <c r="C22" s="197" t="n">
        <f aca="false">MAPA_OBRA_707!C18</f>
        <v>0</v>
      </c>
      <c r="D22" s="199"/>
      <c r="E22" s="199"/>
      <c r="F22" s="199"/>
      <c r="G22" s="199"/>
      <c r="H22" s="199"/>
      <c r="I22" s="199"/>
      <c r="J22" s="199"/>
      <c r="K22" s="199"/>
    </row>
    <row r="23" customFormat="false" ht="49.5" hidden="false" customHeight="true" outlineLevel="0" collapsed="false">
      <c r="A23" s="197" t="str">
        <f aca="false">MAPA_OBRA_707!A19</f>
        <v>4.3.1</v>
      </c>
      <c r="B23" s="198" t="str">
        <f aca="false">MAPA_OBRA_707!B19</f>
        <v>Fornecimento e colocação de betão armado C30/37 XC1 Cl 0,20 Dmáx 20 S3 , em Muros, pilares, paredes, vigas e lajes, incluindo o fornecimento, aplicação e desmontagem de cofragem e o fornecimento, moldagem e aplicação de aço A500NR com a referida taxa de armaduras. Todos os trabalhos deverão ser executados de acordo com as peças desenhadas:</v>
      </c>
      <c r="C23" s="197" t="n">
        <f aca="false">MAPA_OBRA_707!C19</f>
        <v>0</v>
      </c>
      <c r="D23" s="199"/>
      <c r="E23" s="199"/>
      <c r="F23" s="199"/>
      <c r="G23" s="199"/>
      <c r="H23" s="199"/>
      <c r="I23" s="199"/>
      <c r="J23" s="199"/>
      <c r="K23" s="199"/>
    </row>
    <row r="24" customFormat="false" ht="19.5" hidden="false" customHeight="true" outlineLevel="0" collapsed="false">
      <c r="A24" s="197" t="str">
        <f aca="false">MAPA_OBRA_707!A20</f>
        <v>4.3.1.1</v>
      </c>
      <c r="B24" s="198" t="str">
        <f aca="false">MAPA_OBRA_707!B20</f>
        <v>Muros Enterrados / Buried Walls (115 kg/m3)</v>
      </c>
      <c r="C24" s="197" t="n">
        <f aca="false">MAPA_OBRA_707!C20</f>
        <v>0</v>
      </c>
      <c r="D24" s="199"/>
      <c r="E24" s="199"/>
      <c r="F24" s="199"/>
      <c r="G24" s="199"/>
      <c r="H24" s="199"/>
      <c r="I24" s="199"/>
      <c r="J24" s="199"/>
      <c r="K24" s="199"/>
    </row>
    <row r="25" customFormat="false" ht="19.5" hidden="false" customHeight="true" outlineLevel="0" collapsed="false">
      <c r="A25" s="200" t="n">
        <f aca="false">MAPA_OBRA_707!A21</f>
        <v>0</v>
      </c>
      <c r="B25" s="201" t="str">
        <f aca="false">MAPA_OBRA_707!B21</f>
        <v>Betão - Aplicação e Vibração</v>
      </c>
      <c r="C25" s="200" t="str">
        <f aca="false">MAPA_OBRA_707!C21</f>
        <v>m3</v>
      </c>
      <c r="D25" s="202" t="n">
        <f aca="false">MAPA_OBRA_707!D21</f>
        <v>357.21</v>
      </c>
      <c r="E25" s="202" t="n">
        <v>0</v>
      </c>
      <c r="F25" s="203" t="n">
        <v>0</v>
      </c>
      <c r="G25" s="202" t="n">
        <f aca="false">E25+F25</f>
        <v>0</v>
      </c>
      <c r="H25" s="204" t="n">
        <f aca="false">IF(D25&gt;0, G25/D25, 0)</f>
        <v>0</v>
      </c>
      <c r="I25" s="202" t="n">
        <f aca="false">D25-G25</f>
        <v>357.21</v>
      </c>
      <c r="J25" s="205" t="n">
        <v>0</v>
      </c>
      <c r="K25" s="205" t="n">
        <f aca="false">F25*J25</f>
        <v>0</v>
      </c>
    </row>
    <row r="26" customFormat="false" ht="19.5" hidden="false" customHeight="true" outlineLevel="0" collapsed="false">
      <c r="A26" s="200" t="n">
        <f aca="false">MAPA_OBRA_707!A22</f>
        <v>0</v>
      </c>
      <c r="B26" s="201" t="str">
        <f aca="false">MAPA_OBRA_707!B22</f>
        <v>Cofragem - Fornecimento e aplicação</v>
      </c>
      <c r="C26" s="200" t="str">
        <f aca="false">MAPA_OBRA_707!C22</f>
        <v>m2</v>
      </c>
      <c r="D26" s="202" t="n">
        <f aca="false">MAPA_OBRA_707!D22</f>
        <v>3597.09</v>
      </c>
      <c r="E26" s="202" t="n">
        <v>0</v>
      </c>
      <c r="F26" s="203" t="n">
        <v>0</v>
      </c>
      <c r="G26" s="202" t="n">
        <f aca="false">E26+F26</f>
        <v>0</v>
      </c>
      <c r="H26" s="204" t="n">
        <f aca="false">IF(D26&gt;0, G26/D26, 0)</f>
        <v>0</v>
      </c>
      <c r="I26" s="202" t="n">
        <f aca="false">D26-G26</f>
        <v>3597.09</v>
      </c>
      <c r="J26" s="205" t="n">
        <v>0</v>
      </c>
      <c r="K26" s="205" t="n">
        <f aca="false">F26*J26</f>
        <v>0</v>
      </c>
    </row>
    <row r="27" customFormat="false" ht="19.5" hidden="false" customHeight="true" outlineLevel="0" collapsed="false">
      <c r="A27" s="200" t="n">
        <f aca="false">MAPA_OBRA_707!A23</f>
        <v>0</v>
      </c>
      <c r="B27" s="201" t="str">
        <f aca="false">MAPA_OBRA_707!B23</f>
        <v>Aço - Moldagem, Corte e Aplicação</v>
      </c>
      <c r="C27" s="200" t="str">
        <f aca="false">MAPA_OBRA_707!C23</f>
        <v>kg</v>
      </c>
      <c r="D27" s="202" t="n">
        <f aca="false">MAPA_OBRA_707!D23</f>
        <v>53583.49</v>
      </c>
      <c r="E27" s="202" t="n">
        <v>0</v>
      </c>
      <c r="F27" s="203" t="n">
        <v>0</v>
      </c>
      <c r="G27" s="202" t="n">
        <f aca="false">E27+F27</f>
        <v>0</v>
      </c>
      <c r="H27" s="204" t="n">
        <f aca="false">IF(D27&gt;0, G27/D27, 0)</f>
        <v>0</v>
      </c>
      <c r="I27" s="202" t="n">
        <f aca="false">D27-G27</f>
        <v>53583.49</v>
      </c>
      <c r="J27" s="205" t="n">
        <v>0</v>
      </c>
      <c r="K27" s="205" t="n">
        <f aca="false">F27*J27</f>
        <v>0</v>
      </c>
    </row>
    <row r="28" customFormat="false" ht="19.5" hidden="false" customHeight="true" outlineLevel="0" collapsed="false">
      <c r="A28" s="197" t="str">
        <f aca="false">MAPA_OBRA_707!A24</f>
        <v>4.3.1.2</v>
      </c>
      <c r="B28" s="198" t="str">
        <f aca="false">MAPA_OBRA_707!B24</f>
        <v>Pilares / Columns (290 kg/m3)</v>
      </c>
      <c r="C28" s="197" t="n">
        <f aca="false">MAPA_OBRA_707!C24</f>
        <v>0</v>
      </c>
      <c r="D28" s="199"/>
      <c r="E28" s="199"/>
      <c r="F28" s="199"/>
      <c r="G28" s="199"/>
      <c r="H28" s="199"/>
      <c r="I28" s="199"/>
      <c r="J28" s="199"/>
      <c r="K28" s="199"/>
    </row>
    <row r="29" customFormat="false" ht="19.5" hidden="false" customHeight="true" outlineLevel="0" collapsed="false">
      <c r="A29" s="200" t="n">
        <f aca="false">MAPA_OBRA_707!A25</f>
        <v>0</v>
      </c>
      <c r="B29" s="201" t="str">
        <f aca="false">MAPA_OBRA_707!B25</f>
        <v>Betão - Aplicação e Vibração</v>
      </c>
      <c r="C29" s="200" t="str">
        <f aca="false">MAPA_OBRA_707!C25</f>
        <v>m3</v>
      </c>
      <c r="D29" s="202" t="n">
        <f aca="false">MAPA_OBRA_707!D25</f>
        <v>175.75</v>
      </c>
      <c r="E29" s="202" t="n">
        <v>0</v>
      </c>
      <c r="F29" s="203" t="n">
        <v>0</v>
      </c>
      <c r="G29" s="202" t="n">
        <f aca="false">E29+F29</f>
        <v>0</v>
      </c>
      <c r="H29" s="204" t="n">
        <f aca="false">IF(D29&gt;0, G29/D29, 0)</f>
        <v>0</v>
      </c>
      <c r="I29" s="202" t="n">
        <f aca="false">D29-G29</f>
        <v>175.75</v>
      </c>
      <c r="J29" s="205" t="n">
        <v>0</v>
      </c>
      <c r="K29" s="205" t="n">
        <f aca="false">F29*J29</f>
        <v>0</v>
      </c>
    </row>
    <row r="30" customFormat="false" ht="19.5" hidden="false" customHeight="true" outlineLevel="0" collapsed="false">
      <c r="A30" s="200" t="n">
        <f aca="false">MAPA_OBRA_707!A26</f>
        <v>0</v>
      </c>
      <c r="B30" s="201" t="str">
        <f aca="false">MAPA_OBRA_707!B26</f>
        <v>Cofragem - Fornecimento e aplicação</v>
      </c>
      <c r="C30" s="200" t="str">
        <f aca="false">MAPA_OBRA_707!C26</f>
        <v>m2</v>
      </c>
      <c r="D30" s="202" t="n">
        <f aca="false">MAPA_OBRA_707!D26</f>
        <v>1933.25</v>
      </c>
      <c r="E30" s="202" t="n">
        <v>0</v>
      </c>
      <c r="F30" s="203" t="n">
        <v>0</v>
      </c>
      <c r="G30" s="202" t="n">
        <f aca="false">E30+F30</f>
        <v>0</v>
      </c>
      <c r="H30" s="204" t="n">
        <f aca="false">IF(D30&gt;0, G30/D30, 0)</f>
        <v>0</v>
      </c>
      <c r="I30" s="202" t="n">
        <f aca="false">D30-G30</f>
        <v>1933.25</v>
      </c>
      <c r="J30" s="205" t="n">
        <v>0</v>
      </c>
      <c r="K30" s="205" t="n">
        <f aca="false">F30*J30</f>
        <v>0</v>
      </c>
    </row>
    <row r="31" customFormat="false" ht="19.5" hidden="false" customHeight="true" outlineLevel="0" collapsed="false">
      <c r="A31" s="200" t="n">
        <f aca="false">MAPA_OBRA_707!A27</f>
        <v>0</v>
      </c>
      <c r="B31" s="201" t="str">
        <f aca="false">MAPA_OBRA_707!B27</f>
        <v>Aço - Moldagem, Corte e Aplicação</v>
      </c>
      <c r="C31" s="200" t="str">
        <f aca="false">MAPA_OBRA_707!C27</f>
        <v>kg</v>
      </c>
      <c r="D31" s="202" t="n">
        <f aca="false">MAPA_OBRA_707!D27</f>
        <v>58612.63</v>
      </c>
      <c r="E31" s="202" t="n">
        <v>0</v>
      </c>
      <c r="F31" s="203" t="n">
        <v>0</v>
      </c>
      <c r="G31" s="202" t="n">
        <f aca="false">E31+F31</f>
        <v>0</v>
      </c>
      <c r="H31" s="204" t="n">
        <f aca="false">IF(D31&gt;0, G31/D31, 0)</f>
        <v>0</v>
      </c>
      <c r="I31" s="202" t="n">
        <f aca="false">D31-G31</f>
        <v>58612.63</v>
      </c>
      <c r="J31" s="205" t="n">
        <v>0</v>
      </c>
      <c r="K31" s="205" t="n">
        <f aca="false">F31*J31</f>
        <v>0</v>
      </c>
    </row>
    <row r="32" customFormat="false" ht="19.5" hidden="false" customHeight="true" outlineLevel="0" collapsed="false">
      <c r="A32" s="197" t="str">
        <f aca="false">MAPA_OBRA_707!A28</f>
        <v>4.3.1.3</v>
      </c>
      <c r="B32" s="198" t="str">
        <f aca="false">MAPA_OBRA_707!B28</f>
        <v>Paredes / Walls (200 kg/m3)</v>
      </c>
      <c r="C32" s="197" t="n">
        <f aca="false">MAPA_OBRA_707!C28</f>
        <v>0</v>
      </c>
      <c r="D32" s="199"/>
      <c r="E32" s="199"/>
      <c r="F32" s="199"/>
      <c r="G32" s="199"/>
      <c r="H32" s="199"/>
      <c r="I32" s="199"/>
      <c r="J32" s="199"/>
      <c r="K32" s="199"/>
    </row>
    <row r="33" customFormat="false" ht="19.5" hidden="false" customHeight="true" outlineLevel="0" collapsed="false">
      <c r="A33" s="200" t="n">
        <f aca="false">MAPA_OBRA_707!A29</f>
        <v>0</v>
      </c>
      <c r="B33" s="201" t="str">
        <f aca="false">MAPA_OBRA_707!B29</f>
        <v>Betão - Aplicação e Vibração</v>
      </c>
      <c r="C33" s="200" t="str">
        <f aca="false">MAPA_OBRA_707!C29</f>
        <v>m3</v>
      </c>
      <c r="D33" s="202" t="n">
        <f aca="false">MAPA_OBRA_707!D29</f>
        <v>55.41</v>
      </c>
      <c r="E33" s="202" t="n">
        <v>0</v>
      </c>
      <c r="F33" s="203" t="n">
        <v>0</v>
      </c>
      <c r="G33" s="202" t="n">
        <f aca="false">E33+F33</f>
        <v>0</v>
      </c>
      <c r="H33" s="204" t="n">
        <f aca="false">IF(D33&gt;0, G33/D33, 0)</f>
        <v>0</v>
      </c>
      <c r="I33" s="202" t="n">
        <f aca="false">D33-G33</f>
        <v>55.41</v>
      </c>
      <c r="J33" s="205" t="n">
        <v>0</v>
      </c>
      <c r="K33" s="205" t="n">
        <f aca="false">F33*J33</f>
        <v>0</v>
      </c>
    </row>
    <row r="34" customFormat="false" ht="19.5" hidden="false" customHeight="true" outlineLevel="0" collapsed="false">
      <c r="A34" s="200" t="n">
        <f aca="false">MAPA_OBRA_707!A30</f>
        <v>0</v>
      </c>
      <c r="B34" s="201" t="str">
        <f aca="false">MAPA_OBRA_707!B30</f>
        <v>Cofragem - Fornecimento e aplicação</v>
      </c>
      <c r="C34" s="200" t="str">
        <f aca="false">MAPA_OBRA_707!C30</f>
        <v>m2</v>
      </c>
      <c r="D34" s="202" t="n">
        <f aca="false">MAPA_OBRA_707!D30</f>
        <v>554.1</v>
      </c>
      <c r="E34" s="202" t="n">
        <v>0</v>
      </c>
      <c r="F34" s="203" t="n">
        <v>0</v>
      </c>
      <c r="G34" s="202" t="n">
        <f aca="false">E34+F34</f>
        <v>0</v>
      </c>
      <c r="H34" s="204" t="n">
        <f aca="false">IF(D34&gt;0, G34/D34, 0)</f>
        <v>0</v>
      </c>
      <c r="I34" s="202" t="n">
        <f aca="false">D34-G34</f>
        <v>554.1</v>
      </c>
      <c r="J34" s="205" t="n">
        <v>0</v>
      </c>
      <c r="K34" s="205" t="n">
        <f aca="false">F34*J34</f>
        <v>0</v>
      </c>
    </row>
    <row r="35" customFormat="false" ht="19.5" hidden="false" customHeight="true" outlineLevel="0" collapsed="false">
      <c r="A35" s="200" t="n">
        <f aca="false">MAPA_OBRA_707!A31</f>
        <v>0</v>
      </c>
      <c r="B35" s="201" t="str">
        <f aca="false">MAPA_OBRA_707!B31</f>
        <v>Aço - Moldagem, Corte e Aplicação</v>
      </c>
      <c r="C35" s="200" t="str">
        <f aca="false">MAPA_OBRA_707!C31</f>
        <v>kg</v>
      </c>
      <c r="D35" s="202" t="n">
        <f aca="false">MAPA_OBRA_707!D31</f>
        <v>12744.3</v>
      </c>
      <c r="E35" s="202" t="n">
        <v>0</v>
      </c>
      <c r="F35" s="203" t="n">
        <v>0</v>
      </c>
      <c r="G35" s="202" t="n">
        <f aca="false">E35+F35</f>
        <v>0</v>
      </c>
      <c r="H35" s="204" t="n">
        <f aca="false">IF(D35&gt;0, G35/D35, 0)</f>
        <v>0</v>
      </c>
      <c r="I35" s="202" t="n">
        <f aca="false">D35-G35</f>
        <v>12744.3</v>
      </c>
      <c r="J35" s="205" t="n">
        <v>0</v>
      </c>
      <c r="K35" s="205" t="n">
        <f aca="false">F35*J35</f>
        <v>0</v>
      </c>
    </row>
    <row r="36" customFormat="false" ht="19.5" hidden="false" customHeight="true" outlineLevel="0" collapsed="false">
      <c r="A36" s="197" t="str">
        <f aca="false">MAPA_OBRA_707!A32</f>
        <v>4.3.1.3 A</v>
      </c>
      <c r="B36" s="198" t="str">
        <f aca="false">MAPA_OBRA_707!B32</f>
        <v>Núcleos do Elevador / Elevator Shaft (200 kg/m3)</v>
      </c>
      <c r="C36" s="197" t="n">
        <f aca="false">MAPA_OBRA_707!C32</f>
        <v>0</v>
      </c>
      <c r="D36" s="199"/>
      <c r="E36" s="199"/>
      <c r="F36" s="199"/>
      <c r="G36" s="199"/>
      <c r="H36" s="199"/>
      <c r="I36" s="199"/>
      <c r="J36" s="199"/>
      <c r="K36" s="199"/>
    </row>
    <row r="37" customFormat="false" ht="19.5" hidden="false" customHeight="true" outlineLevel="0" collapsed="false">
      <c r="A37" s="200" t="n">
        <f aca="false">MAPA_OBRA_707!A33</f>
        <v>0</v>
      </c>
      <c r="B37" s="201" t="str">
        <f aca="false">MAPA_OBRA_707!B33</f>
        <v>Betão - Aplicação e Vibração</v>
      </c>
      <c r="C37" s="200" t="str">
        <f aca="false">MAPA_OBRA_707!C33</f>
        <v>m3</v>
      </c>
      <c r="D37" s="202" t="n">
        <f aca="false">MAPA_OBRA_707!D33</f>
        <v>168.52</v>
      </c>
      <c r="E37" s="202" t="n">
        <v>0</v>
      </c>
      <c r="F37" s="203" t="n">
        <v>0</v>
      </c>
      <c r="G37" s="202" t="n">
        <f aca="false">E37+F37</f>
        <v>0</v>
      </c>
      <c r="H37" s="204" t="n">
        <f aca="false">IF(D37&gt;0, G37/D37, 0)</f>
        <v>0</v>
      </c>
      <c r="I37" s="202" t="n">
        <f aca="false">D37-G37</f>
        <v>168.52</v>
      </c>
      <c r="J37" s="205" t="n">
        <v>0</v>
      </c>
      <c r="K37" s="205" t="n">
        <f aca="false">F37*J37</f>
        <v>0</v>
      </c>
    </row>
    <row r="38" customFormat="false" ht="19.5" hidden="false" customHeight="true" outlineLevel="0" collapsed="false">
      <c r="A38" s="200" t="n">
        <f aca="false">MAPA_OBRA_707!A34</f>
        <v>0</v>
      </c>
      <c r="B38" s="201" t="str">
        <f aca="false">MAPA_OBRA_707!B34</f>
        <v>Cofragem - Fornecimento e aplicação</v>
      </c>
      <c r="C38" s="200" t="str">
        <f aca="false">MAPA_OBRA_707!C34</f>
        <v>m2</v>
      </c>
      <c r="D38" s="202" t="n">
        <f aca="false">MAPA_OBRA_707!D34</f>
        <v>1862.19</v>
      </c>
      <c r="E38" s="202" t="n">
        <v>0</v>
      </c>
      <c r="F38" s="203" t="n">
        <v>0</v>
      </c>
      <c r="G38" s="202" t="n">
        <f aca="false">E38+F38</f>
        <v>0</v>
      </c>
      <c r="H38" s="204" t="n">
        <f aca="false">IF(D38&gt;0, G38/D38, 0)</f>
        <v>0</v>
      </c>
      <c r="I38" s="202" t="n">
        <f aca="false">D38-G38</f>
        <v>1862.19</v>
      </c>
      <c r="J38" s="205" t="n">
        <v>0</v>
      </c>
      <c r="K38" s="205" t="n">
        <f aca="false">F38*J38</f>
        <v>0</v>
      </c>
    </row>
    <row r="39" customFormat="false" ht="19.5" hidden="false" customHeight="true" outlineLevel="0" collapsed="false">
      <c r="A39" s="200" t="n">
        <f aca="false">MAPA_OBRA_707!A35</f>
        <v>0</v>
      </c>
      <c r="B39" s="201" t="str">
        <f aca="false">MAPA_OBRA_707!B35</f>
        <v>Aço - Moldagem, Corte e Aplicação</v>
      </c>
      <c r="C39" s="200" t="str">
        <f aca="false">MAPA_OBRA_707!C35</f>
        <v>kg</v>
      </c>
      <c r="D39" s="202" t="n">
        <f aca="false">MAPA_OBRA_707!D35</f>
        <v>38760.52</v>
      </c>
      <c r="E39" s="202" t="n">
        <v>0</v>
      </c>
      <c r="F39" s="203" t="n">
        <v>0</v>
      </c>
      <c r="G39" s="202" t="n">
        <f aca="false">E39+F39</f>
        <v>0</v>
      </c>
      <c r="H39" s="204" t="n">
        <f aca="false">IF(D39&gt;0, G39/D39, 0)</f>
        <v>0</v>
      </c>
      <c r="I39" s="202" t="n">
        <f aca="false">D39-G39</f>
        <v>38760.52</v>
      </c>
      <c r="J39" s="205" t="n">
        <v>0</v>
      </c>
      <c r="K39" s="205" t="n">
        <f aca="false">F39*J39</f>
        <v>0</v>
      </c>
    </row>
    <row r="40" customFormat="false" ht="19.5" hidden="false" customHeight="true" outlineLevel="0" collapsed="false">
      <c r="A40" s="197" t="str">
        <f aca="false">MAPA_OBRA_707!A36</f>
        <v>4.3.1.4</v>
      </c>
      <c r="B40" s="198" t="str">
        <f aca="false">MAPA_OBRA_707!B36</f>
        <v>Vigas / Beams (150 kg/m3)</v>
      </c>
      <c r="C40" s="197" t="n">
        <f aca="false">MAPA_OBRA_707!C36</f>
        <v>0</v>
      </c>
      <c r="D40" s="199"/>
      <c r="E40" s="199"/>
      <c r="F40" s="199"/>
      <c r="G40" s="199"/>
      <c r="H40" s="199"/>
      <c r="I40" s="199"/>
      <c r="J40" s="199"/>
      <c r="K40" s="199"/>
    </row>
    <row r="41" customFormat="false" ht="19.5" hidden="false" customHeight="true" outlineLevel="0" collapsed="false">
      <c r="A41" s="200" t="n">
        <f aca="false">MAPA_OBRA_707!A37</f>
        <v>0</v>
      </c>
      <c r="B41" s="201" t="str">
        <f aca="false">MAPA_OBRA_707!B37</f>
        <v>Betão - Aplicação e Vibração</v>
      </c>
      <c r="C41" s="200" t="str">
        <f aca="false">MAPA_OBRA_707!C37</f>
        <v>m3</v>
      </c>
      <c r="D41" s="202" t="n">
        <f aca="false">MAPA_OBRA_707!D37</f>
        <v>384.7</v>
      </c>
      <c r="E41" s="202" t="n">
        <v>0</v>
      </c>
      <c r="F41" s="203" t="n">
        <v>0</v>
      </c>
      <c r="G41" s="202" t="n">
        <f aca="false">E41+F41</f>
        <v>0</v>
      </c>
      <c r="H41" s="204" t="n">
        <f aca="false">IF(D41&gt;0, G41/D41, 0)</f>
        <v>0</v>
      </c>
      <c r="I41" s="202" t="n">
        <f aca="false">D41-G41</f>
        <v>384.7</v>
      </c>
      <c r="J41" s="205" t="n">
        <v>0</v>
      </c>
      <c r="K41" s="205" t="n">
        <f aca="false">F41*J41</f>
        <v>0</v>
      </c>
    </row>
    <row r="42" customFormat="false" ht="19.5" hidden="false" customHeight="true" outlineLevel="0" collapsed="false">
      <c r="A42" s="200" t="n">
        <f aca="false">MAPA_OBRA_707!A38</f>
        <v>0</v>
      </c>
      <c r="B42" s="201" t="str">
        <f aca="false">MAPA_OBRA_707!B38</f>
        <v>Cofragem - Fornecimento e aplicação</v>
      </c>
      <c r="C42" s="200" t="str">
        <f aca="false">MAPA_OBRA_707!C38</f>
        <v>m2</v>
      </c>
      <c r="D42" s="202" t="n">
        <f aca="false">MAPA_OBRA_707!D38</f>
        <v>3847</v>
      </c>
      <c r="E42" s="202" t="n">
        <v>0</v>
      </c>
      <c r="F42" s="203" t="n">
        <v>0</v>
      </c>
      <c r="G42" s="202" t="n">
        <f aca="false">E42+F42</f>
        <v>0</v>
      </c>
      <c r="H42" s="204" t="n">
        <f aca="false">IF(D42&gt;0, G42/D42, 0)</f>
        <v>0</v>
      </c>
      <c r="I42" s="202" t="n">
        <f aca="false">D42-G42</f>
        <v>3847</v>
      </c>
      <c r="J42" s="205" t="n">
        <v>0</v>
      </c>
      <c r="K42" s="205" t="n">
        <f aca="false">F42*J42</f>
        <v>0</v>
      </c>
    </row>
    <row r="43" customFormat="false" ht="19.5" hidden="false" customHeight="true" outlineLevel="0" collapsed="false">
      <c r="A43" s="200" t="n">
        <f aca="false">MAPA_OBRA_707!A39</f>
        <v>0</v>
      </c>
      <c r="B43" s="201" t="str">
        <f aca="false">MAPA_OBRA_707!B39</f>
        <v>Aço - Moldagem, Corte e Aplicação</v>
      </c>
      <c r="C43" s="200" t="str">
        <f aca="false">MAPA_OBRA_707!C39</f>
        <v>kg</v>
      </c>
      <c r="D43" s="202" t="n">
        <f aca="false">MAPA_OBRA_707!D39</f>
        <v>66360.75</v>
      </c>
      <c r="E43" s="202" t="n">
        <v>0</v>
      </c>
      <c r="F43" s="203" t="n">
        <v>0</v>
      </c>
      <c r="G43" s="202" t="n">
        <f aca="false">E43+F43</f>
        <v>0</v>
      </c>
      <c r="H43" s="204" t="n">
        <f aca="false">IF(D43&gt;0, G43/D43, 0)</f>
        <v>0</v>
      </c>
      <c r="I43" s="202" t="n">
        <f aca="false">D43-G43</f>
        <v>66360.75</v>
      </c>
      <c r="J43" s="205" t="n">
        <v>0</v>
      </c>
      <c r="K43" s="205" t="n">
        <f aca="false">F43*J43</f>
        <v>0</v>
      </c>
    </row>
    <row r="44" customFormat="false" ht="19.5" hidden="false" customHeight="true" outlineLevel="0" collapsed="false">
      <c r="A44" s="197" t="str">
        <f aca="false">MAPA_OBRA_707!A40</f>
        <v>4.3.1.5</v>
      </c>
      <c r="B44" s="198" t="str">
        <f aca="false">MAPA_OBRA_707!B40</f>
        <v>Lajes Maciças / Massive Slabs (120 kg/m3)</v>
      </c>
      <c r="C44" s="197" t="n">
        <f aca="false">MAPA_OBRA_707!C40</f>
        <v>0</v>
      </c>
      <c r="D44" s="199"/>
      <c r="E44" s="199"/>
      <c r="F44" s="199"/>
      <c r="G44" s="199"/>
      <c r="H44" s="199"/>
      <c r="I44" s="199"/>
      <c r="J44" s="199"/>
      <c r="K44" s="199"/>
    </row>
    <row r="45" customFormat="false" ht="19.5" hidden="false" customHeight="true" outlineLevel="0" collapsed="false">
      <c r="A45" s="200" t="n">
        <f aca="false">MAPA_OBRA_707!A41</f>
        <v>0</v>
      </c>
      <c r="B45" s="201" t="str">
        <f aca="false">MAPA_OBRA_707!B41</f>
        <v>Betão - Aplicação e Vibração</v>
      </c>
      <c r="C45" s="200" t="str">
        <f aca="false">MAPA_OBRA_707!C41</f>
        <v>m3</v>
      </c>
      <c r="D45" s="202" t="n">
        <f aca="false">MAPA_OBRA_707!D41</f>
        <v>145.35</v>
      </c>
      <c r="E45" s="202" t="n">
        <v>0</v>
      </c>
      <c r="F45" s="203" t="n">
        <v>0</v>
      </c>
      <c r="G45" s="202" t="n">
        <f aca="false">E45+F45</f>
        <v>0</v>
      </c>
      <c r="H45" s="204" t="n">
        <f aca="false">IF(D45&gt;0, G45/D45, 0)</f>
        <v>0</v>
      </c>
      <c r="I45" s="202" t="n">
        <f aca="false">D45-G45</f>
        <v>145.35</v>
      </c>
      <c r="J45" s="205" t="n">
        <v>0</v>
      </c>
      <c r="K45" s="205" t="n">
        <f aca="false">F45*J45</f>
        <v>0</v>
      </c>
    </row>
    <row r="46" customFormat="false" ht="19.5" hidden="false" customHeight="true" outlineLevel="0" collapsed="false">
      <c r="A46" s="200" t="n">
        <f aca="false">MAPA_OBRA_707!A42</f>
        <v>0</v>
      </c>
      <c r="B46" s="201" t="str">
        <f aca="false">MAPA_OBRA_707!B42</f>
        <v>Cofragem - Fornecimento e aplicação</v>
      </c>
      <c r="C46" s="200" t="str">
        <f aca="false">MAPA_OBRA_707!C42</f>
        <v>m2</v>
      </c>
      <c r="D46" s="202" t="n">
        <f aca="false">MAPA_OBRA_707!D42</f>
        <v>726.75</v>
      </c>
      <c r="E46" s="202" t="n">
        <v>0</v>
      </c>
      <c r="F46" s="203" t="n">
        <v>0</v>
      </c>
      <c r="G46" s="202" t="n">
        <f aca="false">E46+F46</f>
        <v>0</v>
      </c>
      <c r="H46" s="204" t="n">
        <f aca="false">IF(D46&gt;0, G46/D46, 0)</f>
        <v>0</v>
      </c>
      <c r="I46" s="202" t="n">
        <f aca="false">D46-G46</f>
        <v>726.75</v>
      </c>
      <c r="J46" s="205" t="n">
        <v>0</v>
      </c>
      <c r="K46" s="205" t="n">
        <f aca="false">F46*J46</f>
        <v>0</v>
      </c>
    </row>
    <row r="47" customFormat="false" ht="19.5" hidden="false" customHeight="true" outlineLevel="0" collapsed="false">
      <c r="A47" s="200" t="n">
        <f aca="false">MAPA_OBRA_707!A43</f>
        <v>0</v>
      </c>
      <c r="B47" s="201" t="str">
        <f aca="false">MAPA_OBRA_707!B43</f>
        <v>Aço - Moldagem, Corte e Aplicação</v>
      </c>
      <c r="C47" s="200" t="str">
        <f aca="false">MAPA_OBRA_707!C43</f>
        <v>kg</v>
      </c>
      <c r="D47" s="202" t="n">
        <f aca="false">MAPA_OBRA_707!D43</f>
        <v>20058.3</v>
      </c>
      <c r="E47" s="202" t="n">
        <v>0</v>
      </c>
      <c r="F47" s="203" t="n">
        <v>0</v>
      </c>
      <c r="G47" s="202" t="n">
        <f aca="false">E47+F47</f>
        <v>0</v>
      </c>
      <c r="H47" s="204" t="n">
        <f aca="false">IF(D47&gt;0, G47/D47, 0)</f>
        <v>0</v>
      </c>
      <c r="I47" s="202" t="n">
        <f aca="false">D47-G47</f>
        <v>20058.3</v>
      </c>
      <c r="J47" s="205" t="n">
        <v>0</v>
      </c>
      <c r="K47" s="205" t="n">
        <f aca="false">F47*J47</f>
        <v>0</v>
      </c>
    </row>
    <row r="48" customFormat="false" ht="19.5" hidden="false" customHeight="true" outlineLevel="0" collapsed="false">
      <c r="A48" s="197" t="str">
        <f aca="false">MAPA_OBRA_707!A44</f>
        <v>4.3.1.6</v>
      </c>
      <c r="B48" s="198" t="str">
        <f aca="false">MAPA_OBRA_707!B44</f>
        <v>Escadas / Stairs (80 kg/m3)</v>
      </c>
      <c r="C48" s="197" t="n">
        <f aca="false">MAPA_OBRA_707!C44</f>
        <v>0</v>
      </c>
      <c r="D48" s="199"/>
      <c r="E48" s="199"/>
      <c r="F48" s="199"/>
      <c r="G48" s="199"/>
      <c r="H48" s="199"/>
      <c r="I48" s="199"/>
      <c r="J48" s="199"/>
      <c r="K48" s="199"/>
    </row>
    <row r="49" customFormat="false" ht="19.5" hidden="false" customHeight="true" outlineLevel="0" collapsed="false">
      <c r="A49" s="200" t="n">
        <f aca="false">MAPA_OBRA_707!A45</f>
        <v>0</v>
      </c>
      <c r="B49" s="201" t="str">
        <f aca="false">MAPA_OBRA_707!B45</f>
        <v>Betão - Aplicação e Vibração</v>
      </c>
      <c r="C49" s="200" t="str">
        <f aca="false">MAPA_OBRA_707!C45</f>
        <v>m3</v>
      </c>
      <c r="D49" s="202" t="n">
        <f aca="false">MAPA_OBRA_707!D45</f>
        <v>60</v>
      </c>
      <c r="E49" s="202" t="n">
        <v>0</v>
      </c>
      <c r="F49" s="203" t="n">
        <v>0</v>
      </c>
      <c r="G49" s="202" t="n">
        <f aca="false">E49+F49</f>
        <v>0</v>
      </c>
      <c r="H49" s="204" t="n">
        <f aca="false">IF(D49&gt;0, G49/D49, 0)</f>
        <v>0</v>
      </c>
      <c r="I49" s="202" t="n">
        <f aca="false">D49-G49</f>
        <v>60</v>
      </c>
      <c r="J49" s="205" t="n">
        <v>0</v>
      </c>
      <c r="K49" s="205" t="n">
        <f aca="false">F49*J49</f>
        <v>0</v>
      </c>
    </row>
    <row r="50" customFormat="false" ht="19.5" hidden="false" customHeight="true" outlineLevel="0" collapsed="false">
      <c r="A50" s="200" t="n">
        <f aca="false">MAPA_OBRA_707!A46</f>
        <v>0</v>
      </c>
      <c r="B50" s="201" t="str">
        <f aca="false">MAPA_OBRA_707!B46</f>
        <v>Cofragem - Fornecimento e aplicação</v>
      </c>
      <c r="C50" s="200" t="str">
        <f aca="false">MAPA_OBRA_707!C46</f>
        <v>m2</v>
      </c>
      <c r="D50" s="202" t="n">
        <f aca="false">MAPA_OBRA_707!D46</f>
        <v>600</v>
      </c>
      <c r="E50" s="202" t="n">
        <v>0</v>
      </c>
      <c r="F50" s="203" t="n">
        <v>0</v>
      </c>
      <c r="G50" s="202" t="n">
        <f aca="false">E50+F50</f>
        <v>0</v>
      </c>
      <c r="H50" s="204" t="n">
        <f aca="false">IF(D50&gt;0, G50/D50, 0)</f>
        <v>0</v>
      </c>
      <c r="I50" s="202" t="n">
        <f aca="false">D50-G50</f>
        <v>600</v>
      </c>
      <c r="J50" s="205" t="n">
        <v>0</v>
      </c>
      <c r="K50" s="205" t="n">
        <f aca="false">F50*J50</f>
        <v>0</v>
      </c>
    </row>
    <row r="51" customFormat="false" ht="19.5" hidden="false" customHeight="true" outlineLevel="0" collapsed="false">
      <c r="A51" s="200" t="n">
        <f aca="false">MAPA_OBRA_707!A47</f>
        <v>0</v>
      </c>
      <c r="B51" s="201" t="str">
        <f aca="false">MAPA_OBRA_707!B47</f>
        <v>Aço - Moldagem, Corte e Aplicação</v>
      </c>
      <c r="C51" s="200" t="str">
        <f aca="false">MAPA_OBRA_707!C47</f>
        <v>kg</v>
      </c>
      <c r="D51" s="202" t="n">
        <f aca="false">MAPA_OBRA_707!D47</f>
        <v>5520</v>
      </c>
      <c r="E51" s="202" t="n">
        <v>0</v>
      </c>
      <c r="F51" s="203" t="n">
        <v>0</v>
      </c>
      <c r="G51" s="202" t="n">
        <f aca="false">E51+F51</f>
        <v>0</v>
      </c>
      <c r="H51" s="204" t="n">
        <f aca="false">IF(D51&gt;0, G51/D51, 0)</f>
        <v>0</v>
      </c>
      <c r="I51" s="202" t="n">
        <f aca="false">D51-G51</f>
        <v>5520</v>
      </c>
      <c r="J51" s="205" t="n">
        <v>0</v>
      </c>
      <c r="K51" s="205" t="n">
        <f aca="false">F51*J51</f>
        <v>0</v>
      </c>
    </row>
    <row r="52" customFormat="false" ht="49.5" hidden="false" customHeight="true" outlineLevel="0" collapsed="false">
      <c r="A52" s="197" t="str">
        <f aca="false">MAPA_OBRA_707!A48</f>
        <v>4.3.1.7</v>
      </c>
      <c r="B52" s="198" t="str">
        <f aca="false">MAPA_OBRA_707!B48</f>
        <v>Fornecimento e aplicação de lajes aligeiradas fabricadas com sistema Cobiax CBX S-120 da Ferca ou similar, composto por material reciclado tipo Cobiax Slim-Line módulos de iluminação em polipropileno com altura de 0,23m, preenchido com betão classe C30/37, fôrma , reforço de haste de aço A500NR (125 kg/m3)</v>
      </c>
      <c r="C52" s="197" t="n">
        <f aca="false">MAPA_OBRA_707!C48</f>
        <v>0</v>
      </c>
      <c r="D52" s="199"/>
      <c r="E52" s="199"/>
      <c r="F52" s="199"/>
      <c r="G52" s="199"/>
      <c r="H52" s="199"/>
      <c r="I52" s="199"/>
      <c r="J52" s="199"/>
      <c r="K52" s="199"/>
    </row>
    <row r="53" customFormat="false" ht="19.5" hidden="false" customHeight="true" outlineLevel="0" collapsed="false">
      <c r="A53" s="200" t="n">
        <f aca="false">MAPA_OBRA_707!A49</f>
        <v>0</v>
      </c>
      <c r="B53" s="201" t="str">
        <f aca="false">MAPA_OBRA_707!B49</f>
        <v>Betão - Aplicação e Vibração</v>
      </c>
      <c r="C53" s="200" t="str">
        <f aca="false">MAPA_OBRA_707!C49</f>
        <v>m3</v>
      </c>
      <c r="D53" s="202" t="n">
        <f aca="false">MAPA_OBRA_707!D49</f>
        <v>685.93</v>
      </c>
      <c r="E53" s="202" t="n">
        <v>0</v>
      </c>
      <c r="F53" s="203" t="n">
        <v>0</v>
      </c>
      <c r="G53" s="202" t="n">
        <f aca="false">E53+F53</f>
        <v>0</v>
      </c>
      <c r="H53" s="204" t="n">
        <f aca="false">IF(D53&gt;0, G53/D53, 0)</f>
        <v>0</v>
      </c>
      <c r="I53" s="202" t="n">
        <f aca="false">D53-G53</f>
        <v>685.93</v>
      </c>
      <c r="J53" s="205" t="n">
        <v>0</v>
      </c>
      <c r="K53" s="205" t="n">
        <f aca="false">F53*J53</f>
        <v>0</v>
      </c>
    </row>
    <row r="54" customFormat="false" ht="19.5" hidden="false" customHeight="true" outlineLevel="0" collapsed="false">
      <c r="A54" s="200" t="n">
        <f aca="false">MAPA_OBRA_707!A50</f>
        <v>0</v>
      </c>
      <c r="B54" s="201" t="str">
        <f aca="false">MAPA_OBRA_707!B50</f>
        <v>Cofragem - Fornecimento e aplicação</v>
      </c>
      <c r="C54" s="200" t="str">
        <f aca="false">MAPA_OBRA_707!C50</f>
        <v>m2</v>
      </c>
      <c r="D54" s="202" t="n">
        <f aca="false">MAPA_OBRA_707!D50</f>
        <v>5900.33</v>
      </c>
      <c r="E54" s="202" t="n">
        <v>0</v>
      </c>
      <c r="F54" s="203" t="n">
        <v>0</v>
      </c>
      <c r="G54" s="202" t="n">
        <f aca="false">E54+F54</f>
        <v>0</v>
      </c>
      <c r="H54" s="204" t="n">
        <f aca="false">IF(D54&gt;0, G54/D54, 0)</f>
        <v>0</v>
      </c>
      <c r="I54" s="202" t="n">
        <f aca="false">D54-G54</f>
        <v>5900.33</v>
      </c>
      <c r="J54" s="205" t="n">
        <v>0</v>
      </c>
      <c r="K54" s="205" t="n">
        <f aca="false">F54*J54</f>
        <v>0</v>
      </c>
    </row>
    <row r="55" customFormat="false" ht="19.5" hidden="false" customHeight="true" outlineLevel="0" collapsed="false">
      <c r="A55" s="200" t="n">
        <f aca="false">MAPA_OBRA_707!A51</f>
        <v>0</v>
      </c>
      <c r="B55" s="201" t="str">
        <f aca="false">MAPA_OBRA_707!B51</f>
        <v>Aço - Moldagem, Corte e Aplicação</v>
      </c>
      <c r="C55" s="200" t="str">
        <f aca="false">MAPA_OBRA_707!C51</f>
        <v>kg</v>
      </c>
      <c r="D55" s="202" t="n">
        <f aca="false">MAPA_OBRA_707!D51</f>
        <v>162796.88</v>
      </c>
      <c r="E55" s="202" t="n">
        <v>0</v>
      </c>
      <c r="F55" s="203" t="n">
        <v>0</v>
      </c>
      <c r="G55" s="202" t="n">
        <f aca="false">E55+F55</f>
        <v>0</v>
      </c>
      <c r="H55" s="204" t="n">
        <f aca="false">IF(D55&gt;0, G55/D55, 0)</f>
        <v>0</v>
      </c>
      <c r="I55" s="202" t="n">
        <f aca="false">D55-G55</f>
        <v>162796.88</v>
      </c>
      <c r="J55" s="205" t="n">
        <v>0</v>
      </c>
      <c r="K55" s="205" t="n">
        <f aca="false">F55*J55</f>
        <v>0</v>
      </c>
    </row>
    <row r="56" customFormat="false" ht="19.5" hidden="false" customHeight="true" outlineLevel="0" collapsed="false">
      <c r="A56" s="200" t="n">
        <f aca="false">MAPA_OBRA_707!A52</f>
        <v>0</v>
      </c>
      <c r="B56" s="201" t="str">
        <f aca="false">MAPA_OBRA_707!B52</f>
        <v>Aplicação Moldes CBX</v>
      </c>
      <c r="C56" s="200" t="str">
        <f aca="false">MAPA_OBRA_707!C52</f>
        <v>m2</v>
      </c>
      <c r="D56" s="202" t="n">
        <f aca="false">MAPA_OBRA_707!D52</f>
        <v>2723.06</v>
      </c>
      <c r="E56" s="202" t="n">
        <v>0</v>
      </c>
      <c r="F56" s="203" t="n">
        <v>0</v>
      </c>
      <c r="G56" s="202" t="n">
        <f aca="false">E56+F56</f>
        <v>0</v>
      </c>
      <c r="H56" s="204" t="n">
        <f aca="false">IF(D56&gt;0, G56/D56, 0)</f>
        <v>0</v>
      </c>
      <c r="I56" s="202" t="n">
        <f aca="false">D56-G56</f>
        <v>2723.06</v>
      </c>
      <c r="J56" s="205" t="n">
        <v>0</v>
      </c>
      <c r="K56" s="205" t="n">
        <f aca="false">F56*J56</f>
        <v>0</v>
      </c>
    </row>
    <row r="57" customFormat="false" ht="49.5" hidden="false" customHeight="true" outlineLevel="0" collapsed="false">
      <c r="A57" s="197" t="str">
        <f aca="false">MAPA_OBRA_707!A53</f>
        <v>4.3.2</v>
      </c>
      <c r="B57" s="198" t="str">
        <f aca="false">MAPA_OBRA_707!B53</f>
        <v>Fornecimento e colocação de betão armado C30/37 XD2 Cl 0,20 Dmáx 20 S3 , em lajes e paredes da piscina, incluindo o fornecimento, aplicação e desmontagem de cofragem e o fornecimento, moldagem e aplicação de aço A500NR. Todos os trabalhos deverão ser executados de acordo com as peças desenhadas:</v>
      </c>
      <c r="C57" s="197" t="n">
        <f aca="false">MAPA_OBRA_707!C53</f>
        <v>0</v>
      </c>
      <c r="D57" s="199"/>
      <c r="E57" s="199"/>
      <c r="F57" s="199"/>
      <c r="G57" s="199"/>
      <c r="H57" s="199"/>
      <c r="I57" s="199"/>
      <c r="J57" s="199"/>
      <c r="K57" s="199"/>
    </row>
    <row r="58" customFormat="false" ht="36" hidden="false" customHeight="true" outlineLevel="0" collapsed="false">
      <c r="A58" s="197" t="str">
        <f aca="false">MAPA_OBRA_707!A54</f>
        <v>4.3.1</v>
      </c>
      <c r="B58" s="198" t="str">
        <f aca="false">MAPA_OBRA_707!B54</f>
        <v>Laje de Fundo de Piscina do Piso 0 / Pool Bottom Slab of Leve 0</v>
      </c>
      <c r="C58" s="197" t="n">
        <f aca="false">MAPA_OBRA_707!C54</f>
        <v>0</v>
      </c>
      <c r="D58" s="199"/>
      <c r="E58" s="199"/>
      <c r="F58" s="199"/>
      <c r="G58" s="199"/>
      <c r="H58" s="199"/>
      <c r="I58" s="199"/>
      <c r="J58" s="199"/>
      <c r="K58" s="199"/>
    </row>
    <row r="59" customFormat="false" ht="19.5" hidden="false" customHeight="true" outlineLevel="0" collapsed="false">
      <c r="A59" s="200" t="n">
        <f aca="false">MAPA_OBRA_707!A55</f>
        <v>0</v>
      </c>
      <c r="B59" s="201" t="str">
        <f aca="false">MAPA_OBRA_707!B55</f>
        <v>Betão - Aplicação e Vibração</v>
      </c>
      <c r="C59" s="200" t="str">
        <f aca="false">MAPA_OBRA_707!C55</f>
        <v>m3</v>
      </c>
      <c r="D59" s="202" t="n">
        <f aca="false">MAPA_OBRA_707!D55</f>
        <v>187.85</v>
      </c>
      <c r="E59" s="202" t="n">
        <v>0</v>
      </c>
      <c r="F59" s="203" t="n">
        <v>0</v>
      </c>
      <c r="G59" s="202" t="n">
        <f aca="false">E59+F59</f>
        <v>0</v>
      </c>
      <c r="H59" s="204" t="n">
        <f aca="false">IF(D59&gt;0, G59/D59, 0)</f>
        <v>0</v>
      </c>
      <c r="I59" s="202" t="n">
        <f aca="false">D59-G59</f>
        <v>187.85</v>
      </c>
      <c r="J59" s="205" t="n">
        <v>0</v>
      </c>
      <c r="K59" s="205" t="n">
        <f aca="false">F59*J59</f>
        <v>0</v>
      </c>
    </row>
    <row r="60" customFormat="false" ht="19.5" hidden="false" customHeight="true" outlineLevel="0" collapsed="false">
      <c r="A60" s="200" t="n">
        <f aca="false">MAPA_OBRA_707!A56</f>
        <v>0</v>
      </c>
      <c r="B60" s="201" t="str">
        <f aca="false">MAPA_OBRA_707!B56</f>
        <v>Cofragem - Fornecimento e aplicação</v>
      </c>
      <c r="C60" s="200" t="str">
        <f aca="false">MAPA_OBRA_707!C56</f>
        <v>m2</v>
      </c>
      <c r="D60" s="202" t="n">
        <f aca="false">MAPA_OBRA_707!D56</f>
        <v>469.62</v>
      </c>
      <c r="E60" s="202" t="n">
        <v>0</v>
      </c>
      <c r="F60" s="203" t="n">
        <v>0</v>
      </c>
      <c r="G60" s="202" t="n">
        <f aca="false">E60+F60</f>
        <v>0</v>
      </c>
      <c r="H60" s="204" t="n">
        <f aca="false">IF(D60&gt;0, G60/D60, 0)</f>
        <v>0</v>
      </c>
      <c r="I60" s="202" t="n">
        <f aca="false">D60-G60</f>
        <v>469.62</v>
      </c>
      <c r="J60" s="205" t="n">
        <v>0</v>
      </c>
      <c r="K60" s="205" t="n">
        <f aca="false">F60*J60</f>
        <v>0</v>
      </c>
    </row>
    <row r="61" customFormat="false" ht="19.5" hidden="false" customHeight="true" outlineLevel="0" collapsed="false">
      <c r="A61" s="200" t="n">
        <f aca="false">MAPA_OBRA_707!A57</f>
        <v>0</v>
      </c>
      <c r="B61" s="201" t="str">
        <f aca="false">MAPA_OBRA_707!B57</f>
        <v>Aço - Moldagem, Corte e Aplicação</v>
      </c>
      <c r="C61" s="200" t="str">
        <f aca="false">MAPA_OBRA_707!C57</f>
        <v>kg</v>
      </c>
      <c r="D61" s="202" t="n">
        <f aca="false">MAPA_OBRA_707!D57</f>
        <v>23762.77</v>
      </c>
      <c r="E61" s="202" t="n">
        <v>0</v>
      </c>
      <c r="F61" s="203" t="n">
        <v>0</v>
      </c>
      <c r="G61" s="202" t="n">
        <f aca="false">E61+F61</f>
        <v>0</v>
      </c>
      <c r="H61" s="204" t="n">
        <f aca="false">IF(D61&gt;0, G61/D61, 0)</f>
        <v>0</v>
      </c>
      <c r="I61" s="202" t="n">
        <f aca="false">D61-G61</f>
        <v>23762.77</v>
      </c>
      <c r="J61" s="205" t="n">
        <v>0</v>
      </c>
      <c r="K61" s="205" t="n">
        <f aca="false">F61*J61</f>
        <v>0</v>
      </c>
    </row>
    <row r="62" customFormat="false" ht="19.5" hidden="false" customHeight="true" outlineLevel="0" collapsed="false">
      <c r="A62" s="197" t="str">
        <f aca="false">MAPA_OBRA_707!A58</f>
        <v>4.3.2</v>
      </c>
      <c r="B62" s="198" t="str">
        <f aca="false">MAPA_OBRA_707!B58</f>
        <v>Parede de Piscina do Piso 0 / Pool Walls at Level 0</v>
      </c>
      <c r="C62" s="197" t="n">
        <f aca="false">MAPA_OBRA_707!C58</f>
        <v>0</v>
      </c>
      <c r="D62" s="199"/>
      <c r="E62" s="199"/>
      <c r="F62" s="199"/>
      <c r="G62" s="199"/>
      <c r="H62" s="199"/>
      <c r="I62" s="199"/>
      <c r="J62" s="199"/>
      <c r="K62" s="199"/>
    </row>
    <row r="63" customFormat="false" ht="19.5" hidden="false" customHeight="true" outlineLevel="0" collapsed="false">
      <c r="A63" s="200" t="n">
        <f aca="false">MAPA_OBRA_707!A59</f>
        <v>0</v>
      </c>
      <c r="B63" s="201" t="str">
        <f aca="false">MAPA_OBRA_707!B59</f>
        <v>Betão - Aplicação e Vibração</v>
      </c>
      <c r="C63" s="200" t="str">
        <f aca="false">MAPA_OBRA_707!C59</f>
        <v>m3</v>
      </c>
      <c r="D63" s="202" t="n">
        <f aca="false">MAPA_OBRA_707!D59</f>
        <v>215.23</v>
      </c>
      <c r="E63" s="202" t="n">
        <v>0</v>
      </c>
      <c r="F63" s="203" t="n">
        <v>0</v>
      </c>
      <c r="G63" s="202" t="n">
        <f aca="false">E63+F63</f>
        <v>0</v>
      </c>
      <c r="H63" s="204" t="n">
        <f aca="false">IF(D63&gt;0, G63/D63, 0)</f>
        <v>0</v>
      </c>
      <c r="I63" s="202" t="n">
        <f aca="false">D63-G63</f>
        <v>215.23</v>
      </c>
      <c r="J63" s="205" t="n">
        <v>0</v>
      </c>
      <c r="K63" s="205" t="n">
        <f aca="false">F63*J63</f>
        <v>0</v>
      </c>
    </row>
    <row r="64" customFormat="false" ht="19.5" hidden="false" customHeight="true" outlineLevel="0" collapsed="false">
      <c r="A64" s="200" t="n">
        <f aca="false">MAPA_OBRA_707!A60</f>
        <v>0</v>
      </c>
      <c r="B64" s="201" t="str">
        <f aca="false">MAPA_OBRA_707!B60</f>
        <v>Cofragem - Fornecimento e aplicação</v>
      </c>
      <c r="C64" s="200" t="str">
        <f aca="false">MAPA_OBRA_707!C60</f>
        <v>m2</v>
      </c>
      <c r="D64" s="202" t="n">
        <f aca="false">MAPA_OBRA_707!D60</f>
        <v>2152.3</v>
      </c>
      <c r="E64" s="202" t="n">
        <v>0</v>
      </c>
      <c r="F64" s="203" t="n">
        <v>0</v>
      </c>
      <c r="G64" s="202" t="n">
        <f aca="false">E64+F64</f>
        <v>0</v>
      </c>
      <c r="H64" s="204" t="n">
        <f aca="false">IF(D64&gt;0, G64/D64, 0)</f>
        <v>0</v>
      </c>
      <c r="I64" s="202" t="n">
        <f aca="false">D64-G64</f>
        <v>2152.3</v>
      </c>
      <c r="J64" s="205" t="n">
        <v>0</v>
      </c>
      <c r="K64" s="205" t="n">
        <f aca="false">F64*J64</f>
        <v>0</v>
      </c>
    </row>
    <row r="65" customFormat="false" ht="19.5" hidden="false" customHeight="true" outlineLevel="0" collapsed="false">
      <c r="A65" s="200" t="n">
        <f aca="false">MAPA_OBRA_707!A61</f>
        <v>0</v>
      </c>
      <c r="B65" s="201" t="str">
        <f aca="false">MAPA_OBRA_707!B61</f>
        <v>Aço - Moldagem, Corte e Aplicação</v>
      </c>
      <c r="C65" s="200" t="str">
        <f aca="false">MAPA_OBRA_707!C61</f>
        <v>kg</v>
      </c>
      <c r="D65" s="202" t="n">
        <f aca="false">MAPA_OBRA_707!D61</f>
        <v>35956.43</v>
      </c>
      <c r="E65" s="202" t="n">
        <v>0</v>
      </c>
      <c r="F65" s="203" t="n">
        <v>0</v>
      </c>
      <c r="G65" s="202" t="n">
        <f aca="false">E65+F65</f>
        <v>0</v>
      </c>
      <c r="H65" s="204" t="n">
        <f aca="false">IF(D65&gt;0, G65/D65, 0)</f>
        <v>0</v>
      </c>
      <c r="I65" s="202" t="n">
        <f aca="false">D65-G65</f>
        <v>35956.43</v>
      </c>
      <c r="J65" s="205" t="n">
        <v>0</v>
      </c>
      <c r="K65" s="205" t="n">
        <f aca="false">F65*J65</f>
        <v>0</v>
      </c>
    </row>
    <row r="66" customFormat="false" ht="19.5" hidden="false" customHeight="true" outlineLevel="0" collapsed="false">
      <c r="A66" s="197" t="str">
        <f aca="false">MAPA_OBRA_707!A62</f>
        <v>4.3.3</v>
      </c>
      <c r="B66" s="198" t="str">
        <f aca="false">MAPA_OBRA_707!B62</f>
        <v>Paredes da Piscina da Cobertura</v>
      </c>
      <c r="C66" s="197" t="n">
        <f aca="false">MAPA_OBRA_707!C62</f>
        <v>0</v>
      </c>
      <c r="D66" s="199"/>
      <c r="E66" s="199"/>
      <c r="F66" s="199"/>
      <c r="G66" s="199"/>
      <c r="H66" s="199"/>
      <c r="I66" s="199"/>
      <c r="J66" s="199"/>
      <c r="K66" s="199"/>
    </row>
    <row r="67" customFormat="false" ht="19.5" hidden="false" customHeight="true" outlineLevel="0" collapsed="false">
      <c r="A67" s="200" t="n">
        <f aca="false">MAPA_OBRA_707!A63</f>
        <v>0</v>
      </c>
      <c r="B67" s="201" t="str">
        <f aca="false">MAPA_OBRA_707!B63</f>
        <v>Betão - Aplicação e Vibração</v>
      </c>
      <c r="C67" s="200" t="str">
        <f aca="false">MAPA_OBRA_707!C63</f>
        <v>m3</v>
      </c>
      <c r="D67" s="202" t="n">
        <f aca="false">MAPA_OBRA_707!D63</f>
        <v>29.76</v>
      </c>
      <c r="E67" s="202" t="n">
        <v>0</v>
      </c>
      <c r="F67" s="203" t="n">
        <v>0</v>
      </c>
      <c r="G67" s="202" t="n">
        <f aca="false">E67+F67</f>
        <v>0</v>
      </c>
      <c r="H67" s="204" t="n">
        <f aca="false">IF(D67&gt;0, G67/D67, 0)</f>
        <v>0</v>
      </c>
      <c r="I67" s="202" t="n">
        <f aca="false">D67-G67</f>
        <v>29.76</v>
      </c>
      <c r="J67" s="205" t="n">
        <v>0</v>
      </c>
      <c r="K67" s="205" t="n">
        <f aca="false">F67*J67</f>
        <v>0</v>
      </c>
    </row>
    <row r="68" customFormat="false" ht="19.5" hidden="false" customHeight="true" outlineLevel="0" collapsed="false">
      <c r="A68" s="200" t="n">
        <f aca="false">MAPA_OBRA_707!A64</f>
        <v>0</v>
      </c>
      <c r="B68" s="201" t="str">
        <f aca="false">MAPA_OBRA_707!B64</f>
        <v>Cofragem - Fornecimento e aplicação</v>
      </c>
      <c r="C68" s="200" t="str">
        <f aca="false">MAPA_OBRA_707!C64</f>
        <v>m2</v>
      </c>
      <c r="D68" s="202" t="n">
        <f aca="false">MAPA_OBRA_707!D64</f>
        <v>267.84</v>
      </c>
      <c r="E68" s="202" t="n">
        <v>0</v>
      </c>
      <c r="F68" s="203" t="n">
        <v>0</v>
      </c>
      <c r="G68" s="202" t="n">
        <f aca="false">E68+F68</f>
        <v>0</v>
      </c>
      <c r="H68" s="204" t="n">
        <f aca="false">IF(D68&gt;0, G68/D68, 0)</f>
        <v>0</v>
      </c>
      <c r="I68" s="202" t="n">
        <f aca="false">D68-G68</f>
        <v>267.84</v>
      </c>
      <c r="J68" s="205" t="n">
        <v>0</v>
      </c>
      <c r="K68" s="205" t="n">
        <f aca="false">F68*J68</f>
        <v>0</v>
      </c>
    </row>
    <row r="69" customFormat="false" ht="19.5" hidden="false" customHeight="true" outlineLevel="0" collapsed="false">
      <c r="A69" s="200" t="n">
        <f aca="false">MAPA_OBRA_707!A65</f>
        <v>0</v>
      </c>
      <c r="B69" s="201" t="str">
        <f aca="false">MAPA_OBRA_707!B65</f>
        <v>Aço - Moldagem, Corte e Aplicação</v>
      </c>
      <c r="C69" s="200" t="str">
        <f aca="false">MAPA_OBRA_707!C65</f>
        <v>kg</v>
      </c>
      <c r="D69" s="202" t="n">
        <f aca="false">MAPA_OBRA_707!D65</f>
        <v>4791.36</v>
      </c>
      <c r="E69" s="202" t="n">
        <v>0</v>
      </c>
      <c r="F69" s="203" t="n">
        <v>0</v>
      </c>
      <c r="G69" s="202" t="n">
        <f aca="false">E69+F69</f>
        <v>0</v>
      </c>
      <c r="H69" s="204" t="n">
        <f aca="false">IF(D69&gt;0, G69/D69, 0)</f>
        <v>0</v>
      </c>
      <c r="I69" s="202" t="n">
        <f aca="false">D69-G69</f>
        <v>4791.36</v>
      </c>
      <c r="J69" s="205" t="n">
        <v>0</v>
      </c>
      <c r="K69" s="205" t="n">
        <f aca="false">F69*J69</f>
        <v>0</v>
      </c>
    </row>
    <row r="70" customFormat="false" ht="19.5" hidden="false" customHeight="true" outlineLevel="0" collapsed="false">
      <c r="A70" s="197" t="str">
        <f aca="false">MAPA_OBRA_707!A66</f>
        <v>4.4</v>
      </c>
      <c r="B70" s="198" t="str">
        <f aca="false">MAPA_OBRA_707!B66</f>
        <v>Pavimento Térreos / Ground Floors</v>
      </c>
      <c r="C70" s="197" t="n">
        <f aca="false">MAPA_OBRA_707!C66</f>
        <v>0</v>
      </c>
      <c r="D70" s="199"/>
      <c r="E70" s="199"/>
      <c r="F70" s="199"/>
      <c r="G70" s="199"/>
      <c r="H70" s="199"/>
      <c r="I70" s="199"/>
      <c r="J70" s="199"/>
      <c r="K70" s="199"/>
    </row>
    <row r="71" customFormat="false" ht="19.5" hidden="false" customHeight="true" outlineLevel="0" collapsed="false">
      <c r="A71" s="197" t="str">
        <f aca="false">MAPA_OBRA_707!A67</f>
        <v>4.4.1</v>
      </c>
      <c r="B71" s="198" t="str">
        <f aca="false">MAPA_OBRA_707!B67</f>
        <v>Piso da Cave / Basement Level</v>
      </c>
      <c r="C71" s="197" t="n">
        <f aca="false">MAPA_OBRA_707!C67</f>
        <v>0</v>
      </c>
      <c r="D71" s="199"/>
      <c r="E71" s="199"/>
      <c r="F71" s="199"/>
      <c r="G71" s="199"/>
      <c r="H71" s="199"/>
      <c r="I71" s="199"/>
      <c r="J71" s="199"/>
      <c r="K71" s="199"/>
    </row>
    <row r="72" customFormat="false" ht="49.5" hidden="false" customHeight="true" outlineLevel="0" collapsed="false">
      <c r="A72" s="197" t="str">
        <f aca="false">MAPA_OBRA_707!A68</f>
        <v>4.4.1.1</v>
      </c>
      <c r="B72" s="198" t="str">
        <f aca="false">MAPA_OBRA_707!B68</f>
        <v>Execução de piso térreo interior, composto por elementos em polipropileno tipo 'Ferca Cupolex ref. H20' ou equivalente, com dimensão de 580x580x200, com 0,05cm de lâmina de compressão em concreto classe C20/25, armado com A500 aço NR, incluindo acabamento jateado com o incorporação de um endurecedor de superfície de cor natural no betão</v>
      </c>
      <c r="C72" s="197" t="n">
        <f aca="false">MAPA_OBRA_707!C68</f>
        <v>0</v>
      </c>
      <c r="D72" s="199"/>
      <c r="E72" s="199"/>
      <c r="F72" s="199"/>
      <c r="G72" s="199"/>
      <c r="H72" s="199"/>
      <c r="I72" s="199"/>
      <c r="J72" s="199"/>
      <c r="K72" s="199"/>
    </row>
    <row r="73" customFormat="false" ht="19.5" hidden="false" customHeight="true" outlineLevel="0" collapsed="false">
      <c r="A73" s="200" t="str">
        <f aca="false">MAPA_OBRA_707!A69</f>
        <v>4.1.1.1</v>
      </c>
      <c r="B73" s="201" t="str">
        <f aca="false">MAPA_OBRA_707!B69</f>
        <v>Betão de Limpeza / Cleaning concrete</v>
      </c>
      <c r="C73" s="200" t="str">
        <f aca="false">MAPA_OBRA_707!C69</f>
        <v>m3</v>
      </c>
      <c r="D73" s="202" t="n">
        <f aca="false">MAPA_OBRA_707!D69</f>
        <v>108.75</v>
      </c>
      <c r="E73" s="202" t="n">
        <v>0</v>
      </c>
      <c r="F73" s="203" t="n">
        <v>0</v>
      </c>
      <c r="G73" s="202" t="n">
        <f aca="false">E73+F73</f>
        <v>0</v>
      </c>
      <c r="H73" s="204" t="n">
        <f aca="false">IF(D73&gt;0, G73/D73, 0)</f>
        <v>0</v>
      </c>
      <c r="I73" s="202" t="n">
        <f aca="false">D73-G73</f>
        <v>108.75</v>
      </c>
      <c r="J73" s="205" t="n">
        <v>0</v>
      </c>
      <c r="K73" s="205" t="n">
        <f aca="false">F73*J73</f>
        <v>0</v>
      </c>
    </row>
    <row r="74" customFormat="false" ht="19.5" hidden="false" customHeight="true" outlineLevel="0" collapsed="false">
      <c r="A74" s="200" t="str">
        <f aca="false">MAPA_OBRA_707!A70</f>
        <v>4.1.1.2</v>
      </c>
      <c r="B74" s="201" t="str">
        <f aca="false">MAPA_OBRA_707!B70</f>
        <v>Cupolex 20</v>
      </c>
      <c r="C74" s="200" t="str">
        <f aca="false">MAPA_OBRA_707!C70</f>
        <v>m2</v>
      </c>
      <c r="D74" s="202" t="n">
        <f aca="false">MAPA_OBRA_707!D70</f>
        <v>2175</v>
      </c>
      <c r="E74" s="202" t="n">
        <v>0</v>
      </c>
      <c r="F74" s="203" t="n">
        <v>0</v>
      </c>
      <c r="G74" s="202" t="n">
        <f aca="false">E74+F74</f>
        <v>0</v>
      </c>
      <c r="H74" s="204" t="n">
        <f aca="false">IF(D74&gt;0, G74/D74, 0)</f>
        <v>0</v>
      </c>
      <c r="I74" s="202" t="n">
        <f aca="false">D74-G74</f>
        <v>2175</v>
      </c>
      <c r="J74" s="205" t="n">
        <v>0</v>
      </c>
      <c r="K74" s="205" t="n">
        <f aca="false">F74*J74</f>
        <v>0</v>
      </c>
    </row>
    <row r="75" customFormat="false" ht="19.5" hidden="false" customHeight="true" outlineLevel="0" collapsed="false">
      <c r="A75" s="200" t="str">
        <f aca="false">MAPA_OBRA_707!A71</f>
        <v>4.1.1.3</v>
      </c>
      <c r="B75" s="201" t="str">
        <f aca="false">MAPA_OBRA_707!B71</f>
        <v>Lâmina de compressão em betão C20/25 XC2 C0,40 D22 S3</v>
      </c>
      <c r="C75" s="200" t="str">
        <f aca="false">MAPA_OBRA_707!C71</f>
        <v>m3</v>
      </c>
      <c r="D75" s="202" t="n">
        <f aca="false">MAPA_OBRA_707!D71</f>
        <v>108.75</v>
      </c>
      <c r="E75" s="202" t="n">
        <v>0</v>
      </c>
      <c r="F75" s="203" t="n">
        <v>0</v>
      </c>
      <c r="G75" s="202" t="n">
        <f aca="false">E75+F75</f>
        <v>0</v>
      </c>
      <c r="H75" s="204" t="n">
        <f aca="false">IF(D75&gt;0, G75/D75, 0)</f>
        <v>0</v>
      </c>
      <c r="I75" s="202" t="n">
        <f aca="false">D75-G75</f>
        <v>108.75</v>
      </c>
      <c r="J75" s="205" t="n">
        <v>0</v>
      </c>
      <c r="K75" s="205" t="n">
        <f aca="false">F75*J75</f>
        <v>0</v>
      </c>
    </row>
    <row r="76" customFormat="false" ht="19.5" hidden="false" customHeight="true" outlineLevel="0" collapsed="false">
      <c r="A76" s="200" t="str">
        <f aca="false">MAPA_OBRA_707!A72</f>
        <v>4.1.1.4</v>
      </c>
      <c r="B76" s="201" t="str">
        <f aca="false">MAPA_OBRA_707!B72</f>
        <v>Malhasol A500 AQ50</v>
      </c>
      <c r="C76" s="200" t="str">
        <f aca="false">MAPA_OBRA_707!C72</f>
        <v>m2</v>
      </c>
      <c r="D76" s="202" t="n">
        <f aca="false">MAPA_OBRA_707!D72</f>
        <v>2175</v>
      </c>
      <c r="E76" s="202" t="n">
        <v>0</v>
      </c>
      <c r="F76" s="203" t="n">
        <v>0</v>
      </c>
      <c r="G76" s="202" t="n">
        <f aca="false">E76+F76</f>
        <v>0</v>
      </c>
      <c r="H76" s="204" t="n">
        <f aca="false">IF(D76&gt;0, G76/D76, 0)</f>
        <v>0</v>
      </c>
      <c r="I76" s="202" t="n">
        <f aca="false">D76-G76</f>
        <v>2175</v>
      </c>
      <c r="J76" s="205" t="n">
        <v>0</v>
      </c>
      <c r="K76" s="205" t="n">
        <f aca="false">F76*J76</f>
        <v>0</v>
      </c>
    </row>
    <row r="77" customFormat="false" ht="15" hidden="false" customHeight="false" outlineLevel="0" collapsed="false">
      <c r="A77" s="206" t="s">
        <v>476</v>
      </c>
      <c r="B77" s="206"/>
      <c r="C77" s="206"/>
      <c r="D77" s="191"/>
      <c r="E77" s="191"/>
      <c r="F77" s="191"/>
      <c r="G77" s="191"/>
      <c r="H77" s="191"/>
      <c r="I77" s="191"/>
      <c r="J77" s="191"/>
      <c r="K77" s="207" t="n">
        <f aca="false">SUM(K6:K76)</f>
        <v>0</v>
      </c>
    </row>
  </sheetData>
  <mergeCells count="2">
    <mergeCell ref="A1:K1"/>
    <mergeCell ref="A77:C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2026-09-16T10:24:42Z</dcterms:created>
  <dc:creator>openpyxl</dc:creator>
  <dc:description/>
  <dc:language>en-US</dc:language>
  <cp:lastModifiedBy>Everton Brito</cp:lastModifiedBy>
  <cp:lastPrinted>2026-09-23T07:46:05Z</cp:lastPrinted>
  <dcterms:modified xsi:type="dcterms:W3CDTF">2026-09-24T14:51:10Z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