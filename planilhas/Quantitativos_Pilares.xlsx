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Mapa de Pilares" sheetId="2" state="visible" r:id="rId4"/>
    <sheet name="Paramet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<sst xmlns="http://schemas.openxmlformats.org/spreadsheetml/2006/main" count="155" uniqueCount="100">
  <si>
    <t xml:space="preserve">RESUMO DE QUANTITATIVOS</t>
  </si>
  <si>
    <t xml:space="preserve">TOTAIS GERAIS</t>
  </si>
  <si>
    <t xml:space="preserve">Volume total de betao (m3)</t>
  </si>
  <si>
    <t xml:space="preserve">Area total de cofragem (m2)</t>
  </si>
  <si>
    <t xml:space="preserve">Peso total de aco longitudinal (kg)</t>
  </si>
  <si>
    <t xml:space="preserve">Peso total de aco em cintas (kg)</t>
  </si>
  <si>
    <t xml:space="preserve">Peso total de aco (kg)</t>
  </si>
  <si>
    <t xml:space="preserve">Peso total de aco (toneladas)</t>
  </si>
  <si>
    <t xml:space="preserve">ACO POR DIAMETRO (para compra / cabimentacao)</t>
  </si>
  <si>
    <t xml:space="preserve">Diametro (mm)</t>
  </si>
  <si>
    <t xml:space="preserve">Peso longitudinal (kg)</t>
  </si>
  <si>
    <t xml:space="preserve">Peso em cintas (kg)</t>
  </si>
  <si>
    <t xml:space="preserve">Peso total (kg)</t>
  </si>
  <si>
    <t xml:space="preserve">TOTAL</t>
  </si>
  <si>
    <t xml:space="preserve">QUANTITATIVO POR PILAR (soma dos trocos)</t>
  </si>
  <si>
    <t xml:space="preserve">Pilar</t>
  </si>
  <si>
    <t xml:space="preserve">Volume betao (m3)</t>
  </si>
  <si>
    <t xml:space="preserve">Area cofragem (m2)</t>
  </si>
  <si>
    <t xml:space="preserve">Peso aco (kg)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</si>
  <si>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</si>
  <si>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</si>
  <si>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</si>
  <si>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</si>
  <si>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</si>
  <si>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</si>
  <si>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</si>
  <si>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</si>
  <si>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</si>
  <si>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</si>
  <si>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</si>
  <si>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QUANTITATIVOS DE PILARES - ACO, BETAO E COFRAGEM</t>
  </si>
  <si>
    <t xml:space="preserve">Obra: Edificio Multifamiliar PH, Garrao  |  Desenho base: Mapa de Pilares, Ferca, Proc. L-337/21, Des. 05, Rev.-  |  Fase: Execucao</t>
  </si>
  <si>
    <t xml:space="preserve">IDENTIFICACAO</t>
  </si>
  <si>
    <t xml:space="preserve">GEOMETRIA DA SECCAO</t>
  </si>
  <si>
    <t xml:space="preserve">BETAO E COFRAGEM</t>
  </si>
  <si>
    <t xml:space="preserve">ARMADURA LONGITUDINAL - GRUPO 1</t>
  </si>
  <si>
    <t xml:space="preserve">ARMADURA LONGITUDINAL - GRUPO 2</t>
  </si>
  <si>
    <t xml:space="preserve">CINTAS / ESTRIBOS</t>
  </si>
  <si>
    <t xml:space="preserve">TOTAIS DO TROCO</t>
  </si>
  <si>
    <t xml:space="preserve">Troco (entre pisos)</t>
  </si>
  <si>
    <t xml:space="preserve">Forma</t>
  </si>
  <si>
    <t xml:space="preserve">B ou Ø (m)</t>
  </si>
  <si>
    <t xml:space="preserve">H (m)</t>
  </si>
  <si>
    <t xml:space="preserve">Area seccao (m2)</t>
  </si>
  <si>
    <t xml:space="preserve">Perimetro (m)</t>
  </si>
  <si>
    <t xml:space="preserve">Altura do
troco (m)</t>
  </si>
  <si>
    <t xml:space="preserve">Classe de
betao</t>
  </si>
  <si>
    <t xml:space="preserve">Volume de
betao (m3)</t>
  </si>
  <si>
    <t xml:space="preserve">Qtd
varoes</t>
  </si>
  <si>
    <t xml:space="preserve">Diam.
(mm)</t>
  </si>
  <si>
    <t xml:space="preserve">Transpasse
unit. (m)</t>
  </si>
  <si>
    <t xml:space="preserve">Comp. unit.
c/ transp. (m)</t>
  </si>
  <si>
    <t xml:space="preserve">Comp.
total (m)</t>
  </si>
  <si>
    <t xml:space="preserve">Peso linear
(kg/m)</t>
  </si>
  <si>
    <t xml:space="preserve">Peso
Grupo 1 (kg)</t>
  </si>
  <si>
    <t xml:space="preserve">Peso
Grupo 2 (kg)</t>
  </si>
  <si>
    <t xml:space="preserve">Diam.
cinta (mm)</t>
  </si>
  <si>
    <t xml:space="preserve">Espacamento
(m)</t>
  </si>
  <si>
    <t xml:space="preserve">Nº de
cintas</t>
  </si>
  <si>
    <t xml:space="preserve">Comp. por
cinta (m)</t>
  </si>
  <si>
    <t xml:space="preserve">Peso
cintas (kg)</t>
  </si>
  <si>
    <t xml:space="preserve">Peso aco
longitudinal (kg)</t>
  </si>
  <si>
    <t xml:space="preserve">Peso aco
total (kg)</t>
  </si>
  <si>
    <t xml:space="preserve">Area
cofragem (m2)</t>
  </si>
  <si>
    <t xml:space="preserve">Piso 0 -&gt; Piso 1</t>
  </si>
  <si>
    <t xml:space="preserve">Retangular</t>
  </si>
  <si>
    <t xml:space="preserve">C30/37 XC1(P)</t>
  </si>
  <si>
    <t xml:space="preserve">Fundacao -&gt; Piso 0</t>
  </si>
  <si>
    <t xml:space="preserve">C30/37 XC2(P)</t>
  </si>
  <si>
    <t xml:space="preserve">Circular</t>
  </si>
  <si>
    <t xml:space="preserve">TOTAL GERAL</t>
  </si>
  <si>
    <t xml:space="preserve">Notas: (1) Alturas dos trocos (coluna H, fundo amarelo) nao constam no desenho fonte - devem ser confirmadas no projeto de arquitetura/cortes e inseridas manualmente. (2) Comprimentos de varoes incluem transpasse de 50xØ (parametrizavel na folha 'Parametros'). (3) Cintas: comprimento = perimetro interior (desconta recobrimento de 3 cm) + 2 ganchos de 10xØ. (4) Cofragem considerada apenas nas faces laterais do pilar (perimetro x altura), sem topo/fundo. (5) Classe de betao conforme notas do desenho: elementos de fundacao C30/37 XC2(P); pilares em elevacao C30/37 XC1(P).</t>
  </si>
  <si>
    <t xml:space="preserve">PARAMETROS DE CALCULO</t>
  </si>
  <si>
    <t xml:space="preserve">Parametro</t>
  </si>
  <si>
    <t xml:space="preserve">Valor</t>
  </si>
  <si>
    <t xml:space="preserve">Observacao</t>
  </si>
  <si>
    <t xml:space="preserve">Recobrimento vigas e pilares (m)</t>
  </si>
  <si>
    <t xml:space="preserve">Fonte: notas do desenho L-337/21-05 (FERCA)</t>
  </si>
  <si>
    <t xml:space="preserve">Recobrimento em faces em contacto com o solo (m)</t>
  </si>
  <si>
    <t xml:space="preserve">Comprimento de amarracao / transpasse (x diametro)</t>
  </si>
  <si>
    <t xml:space="preserve">Assuncao usual EC2 para armadura longitudinal comprimida/traccionada. Ajustar conforme calculo estrutural.</t>
  </si>
  <si>
    <t xml:space="preserve">Comprimento de gancho de cinta (x diametro, por gancho)</t>
  </si>
  <si>
    <t xml:space="preserve">Assuncao usual para ganchos a 135 graus.</t>
  </si>
  <si>
    <t xml:space="preserve">Numero de ganchos por cinta</t>
  </si>
  <si>
    <t xml:space="preserve">Massa volumica do aco (kg/m3)</t>
  </si>
  <si>
    <t xml:space="preserve">Valor normativo</t>
  </si>
  <si>
    <t xml:space="preserve">Formula peso linear do aco (kg/m)</t>
  </si>
  <si>
    <t xml:space="preserve">Formula classica: (pi/4) x d^2 x 7850 kg/m3, com d em mm e resultado em kg/m</t>
  </si>
  <si>
    <t xml:space="preserve">Perda / desperdicio de betao (%)</t>
  </si>
  <si>
    <t xml:space="preserve">Ajustar conforme pratica de obra (tipicamente 2 a 5%)</t>
  </si>
  <si>
    <t xml:space="preserve">Perda / desperdicio de aco (%)</t>
  </si>
  <si>
    <t xml:space="preserve">Ajustar conforme pratica de obra (tipicamente 5 a 10%)</t>
  </si>
  <si>
    <t xml:space="preserve">LEGENDA DE CORES (usada na folha 'Mapa de Pilares')</t>
  </si>
  <si>
    <t xml:space="preserve">Celula de entrada (editar)</t>
  </si>
  <si>
    <t xml:space="preserve">Armadura longitudinal - Grupo 1</t>
  </si>
  <si>
    <t xml:space="preserve">Armadura longitudinal - Grupo 2</t>
  </si>
  <si>
    <t xml:space="preserve">Cintas / estribos</t>
  </si>
  <si>
    <t xml:space="preserve">Totais</t>
  </si>
  <si>
    <t xml:space="preserve">IMPORTANTE</t>
  </si>
  <si>
    <t xml:space="preserve">O desenho 'Mapa de Pilares' (Ferca, proc. L-337/21, des. 05) nao indica os pes-direitos / alturas de cada troco. As alturas devem ser confirmadas no projeto de arquitetura e nos cortes, e inseridas na coluna 'Altura do Troco' da folha 'Mapa de Pilares' (celulas amarelas). Enquanto nao forem preenchidas, os volumes e pesos aparecem a zero.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</si>
</sst>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E2EFDA"/>
      </patternFill>
    </fill>
    <fill>
      <patternFill patternType="solid">
        <fgColor rgb="FFBFBFBF"/>
        <bgColor rgb="FFB7B7B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7E6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20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</row>
    <row r="5" customFormat="false" ht="15" hidden="false" customHeight="false" outlineLevel="0" collapsed="false">
      <c r="B5" s="3" t="s">
        <v>2</v>
      </c>
      <c r="C5" s="4"/>
      <c r="D5" s="5" t="n">
        <f aca="false">SUM('Mapa de Pilares'!J6:J18)</f>
        <v>0</v>
      </c>
    </row>
    <row r="6" customFormat="false" ht="15" hidden="false" customHeight="false" outlineLevel="0" collapsed="false">
      <c r="B6" s="3" t="s">
        <v>3</v>
      </c>
      <c r="C6" s="4"/>
      <c r="D6" s="6" t="n">
        <f aca="false">SUM('Mapa de Pilares'!AF6:AF18)</f>
        <v>0</v>
      </c>
    </row>
    <row r="7" customFormat="false" ht="15" hidden="false" customHeight="false" outlineLevel="0" collapsed="false">
      <c r="B7" s="3" t="s">
        <v>4</v>
      </c>
      <c r="C7" s="4"/>
      <c r="D7" s="7" t="n">
        <f aca="false">SUM('Mapa de Pilares'!AD6:AD18)</f>
        <v>235.995096</v>
      </c>
    </row>
    <row r="8" customFormat="false" ht="15" hidden="false" customHeight="false" outlineLevel="0" collapsed="false">
      <c r="B8" s="3" t="s">
        <v>5</v>
      </c>
      <c r="C8" s="4"/>
      <c r="D8" s="7" t="n">
        <f aca="false">SUM('Mapa de Pilares'!AC6:AC18)</f>
        <v>0</v>
      </c>
    </row>
    <row r="9" customFormat="false" ht="15" hidden="false" customHeight="false" outlineLevel="0" collapsed="false">
      <c r="B9" s="3" t="s">
        <v>6</v>
      </c>
      <c r="C9" s="4"/>
      <c r="D9" s="7" t="n">
        <f aca="false">SUM('Mapa de Pilares'!AE6:AE18)</f>
        <v>235.995096</v>
      </c>
    </row>
    <row r="10" customFormat="false" ht="15" hidden="false" customHeight="false" outlineLevel="0" collapsed="false">
      <c r="B10" s="3" t="s">
        <v>7</v>
      </c>
      <c r="C10" s="4"/>
      <c r="D10" s="5" t="n">
        <f aca="false">SUM('Mapa de Pilares'!AE6:AE18)/1000</f>
        <v>0.235995096</v>
      </c>
    </row>
    <row r="12" customFormat="false" ht="15" hidden="false" customHeight="false" outlineLevel="0" collapsed="false">
      <c r="B12" s="2" t="s">
        <v>8</v>
      </c>
      <c r="C12" s="2"/>
      <c r="D12" s="2"/>
      <c r="E12" s="2"/>
    </row>
    <row r="13" customFormat="false" ht="15" hidden="false" customHeight="false" outlineLevel="0" collapsed="false">
      <c r="B13" s="8" t="s">
        <v>9</v>
      </c>
      <c r="C13" s="8" t="s">
        <v>10</v>
      </c>
      <c r="D13" s="8" t="s">
        <v>11</v>
      </c>
      <c r="E13" s="8" t="s">
        <v>12</v>
      </c>
    </row>
    <row r="14" customFormat="false" ht="15" hidden="false" customHeight="false" outlineLevel="0" collapsed="false">
      <c r="B14" s="9" t="n">
        <v>8</v>
      </c>
      <c r="C14" s="10" t="n">
        <f aca="false">SUMIF('Mapa de Pilares'!$L$6:$L$18,B14,'Mapa de Pilares'!$Q$6:$Q$18)+SUMIF('Mapa de Pilares'!$S$6:$S$18,B14,'Mapa de Pilares'!$X$6:$X$18)</f>
        <v>0</v>
      </c>
      <c r="D14" s="10" t="n">
        <f aca="false">SUMIF('Mapa de Pilares'!$Y$6:$Y$18,B14,'Mapa de Pilares'!$AC$6:$AC$18)</f>
        <v>0</v>
      </c>
      <c r="E14" s="10" t="n">
        <f aca="false">C14+D14</f>
        <v>0</v>
      </c>
    </row>
    <row r="15" customFormat="false" ht="15" hidden="false" customHeight="false" outlineLevel="0" collapsed="false">
      <c r="B15" s="9" t="n">
        <v>10</v>
      </c>
      <c r="C15" s="10" t="n">
        <f aca="false">SUMIF('Mapa de Pilares'!$L$6:$L$18,B15,'Mapa de Pilares'!$Q$6:$Q$18)+SUMIF('Mapa de Pilares'!$S$6:$S$18,B15,'Mapa de Pilares'!$X$6:$X$18)</f>
        <v>4.319</v>
      </c>
      <c r="D15" s="10" t="n">
        <f aca="false">SUMIF('Mapa de Pilares'!$Y$6:$Y$18,B15,'Mapa de Pilares'!$AC$6:$AC$18)</f>
        <v>0</v>
      </c>
      <c r="E15" s="10" t="n">
        <f aca="false">C15+D15</f>
        <v>4.319</v>
      </c>
    </row>
    <row r="16" customFormat="false" ht="15" hidden="false" customHeight="false" outlineLevel="0" collapsed="false">
      <c r="B16" s="9" t="n">
        <v>12</v>
      </c>
      <c r="C16" s="10" t="n">
        <f aca="false">SUMIF('Mapa de Pilares'!$L$6:$L$18,B16,'Mapa de Pilares'!$Q$6:$Q$18)+SUMIF('Mapa de Pilares'!$S$6:$S$18,B16,'Mapa de Pilares'!$X$6:$X$18)</f>
        <v>26.6544</v>
      </c>
      <c r="D16" s="10" t="n">
        <f aca="false">SUMIF('Mapa de Pilares'!$Y$6:$Y$18,B16,'Mapa de Pilares'!$AC$6:$AC$18)</f>
        <v>0</v>
      </c>
      <c r="E16" s="10" t="n">
        <f aca="false">C16+D16</f>
        <v>26.6544</v>
      </c>
    </row>
    <row r="17" customFormat="false" ht="15" hidden="false" customHeight="false" outlineLevel="0" collapsed="false">
      <c r="B17" s="9" t="n">
        <v>16</v>
      </c>
      <c r="C17" s="10" t="n">
        <f aca="false">SUMIF('Mapa de Pilares'!$L$6:$L$18,B17,'Mapa de Pilares'!$Q$6:$Q$18)+SUMIF('Mapa de Pilares'!$S$6:$S$18,B17,'Mapa de Pilares'!$X$6:$X$18)</f>
        <v>165.533696</v>
      </c>
      <c r="D17" s="10" t="n">
        <f aca="false">SUMIF('Mapa de Pilares'!$Y$6:$Y$18,B17,'Mapa de Pilares'!$AC$6:$AC$18)</f>
        <v>0</v>
      </c>
      <c r="E17" s="10" t="n">
        <f aca="false">C17+D17</f>
        <v>165.533696</v>
      </c>
    </row>
    <row r="18" customFormat="false" ht="15" hidden="false" customHeight="false" outlineLevel="0" collapsed="false">
      <c r="B18" s="9" t="n">
        <v>20</v>
      </c>
      <c r="C18" s="10" t="n">
        <f aca="false">SUMIF('Mapa de Pilares'!$L$6:$L$18,B18,'Mapa de Pilares'!$Q$6:$Q$18)+SUMIF('Mapa de Pilares'!$S$6:$S$18,B18,'Mapa de Pilares'!$X$6:$X$18)</f>
        <v>39.488</v>
      </c>
      <c r="D18" s="10" t="n">
        <f aca="false">SUMIF('Mapa de Pilares'!$Y$6:$Y$18,B18,'Mapa de Pilares'!$AC$6:$AC$18)</f>
        <v>0</v>
      </c>
      <c r="E18" s="10" t="n">
        <f aca="false">C18+D18</f>
        <v>39.488</v>
      </c>
    </row>
    <row r="19" customFormat="false" ht="15" hidden="false" customHeight="false" outlineLevel="0" collapsed="false">
      <c r="B19" s="9" t="n">
        <v>25</v>
      </c>
      <c r="C19" s="10" t="n">
        <f aca="false">SUMIF('Mapa de Pilares'!$L$6:$L$18,B19,'Mapa de Pilares'!$Q$6:$Q$18)+SUMIF('Mapa de Pilares'!$S$6:$S$18,B19,'Mapa de Pilares'!$X$6:$X$18)</f>
        <v>0</v>
      </c>
      <c r="D19" s="10" t="n">
        <f aca="false">SUMIF('Mapa de Pilares'!$Y$6:$Y$18,B19,'Mapa de Pilares'!$AC$6:$AC$18)</f>
        <v>0</v>
      </c>
      <c r="E19" s="10" t="n">
        <f aca="false">C19+D19</f>
        <v>0</v>
      </c>
    </row>
    <row r="20" customFormat="false" ht="15" hidden="false" customHeight="false" outlineLevel="0" collapsed="false">
      <c r="B20" s="11" t="s">
        <v>13</v>
      </c>
      <c r="C20" s="12" t="n">
        <f aca="false">SUM(C14:C19)</f>
        <v>235.995096</v>
      </c>
      <c r="D20" s="12" t="n">
        <f aca="false">SUM(D14:D19)</f>
        <v>0</v>
      </c>
      <c r="E20" s="12" t="n">
        <f aca="false">SUM(E14:E19)</f>
        <v>235.995096</v>
      </c>
    </row>
    <row r="22" customFormat="false" ht="15" hidden="false" customHeight="false" outlineLevel="0" collapsed="false">
      <c r="B22" s="2" t="s">
        <v>14</v>
      </c>
      <c r="C22" s="2"/>
      <c r="D22" s="2"/>
      <c r="E22" s="2"/>
      <c r="F22" s="2"/>
    </row>
    <row r="23" customFormat="false" ht="15" hidden="false" customHeight="false" outlineLevel="0" collapsed="false">
      <c r="B23" s="8" t="s">
        <v>15</v>
      </c>
      <c r="C23" s="8" t="s">
        <v>16</v>
      </c>
      <c r="D23" s="8" t="s">
        <v>17</v>
      </c>
      <c r="E23" s="8" t="s">
        <v>18</v>
      </c>
    </row>
    <row r="24" customFormat="false" ht="15" hidden="false" customHeight="false" outlineLevel="0" collapsed="false">
      <c r="B24" s="9" t="s">
        <v>19</v>
      </c>
      <c r="C24" s="13" t="n">
        <f aca="false">SUMIF('Mapa de Pilares'!$A$6:$A$18,B24,'Mapa de Pilares'!$J$6:$J$18)</f>
        <v>0</v>
      </c>
      <c r="D24" s="14" t="n">
        <f aca="false">SUMIF('Mapa de Pilares'!$A$6:$A$18,B24,'Mapa de Pilares'!$AF$6:$AF$18)</f>
        <v>0</v>
      </c>
      <c r="E24" s="10" t="n">
        <f aca="false">SUMIF('Mapa de Pilares'!$A$6:$A$18,B24,'Mapa de Pilares'!$AE$6:$AE$18)</f>
        <v>12.912576</v>
      </c>
    </row>
    <row r="25" customFormat="false" ht="15" hidden="false" customHeight="false" outlineLevel="0" collapsed="false">
      <c r="B25" s="9" t="s">
        <v>20</v>
      </c>
      <c r="C25" s="13" t="n">
        <f aca="false">SUMIF('Mapa de Pilares'!$A$6:$A$18,B25,'Mapa de Pilares'!$J$6:$J$18)</f>
        <v>0</v>
      </c>
      <c r="D25" s="14" t="n">
        <f aca="false">SUMIF('Mapa de Pilares'!$A$6:$A$18,B25,'Mapa de Pilares'!$AF$6:$AF$18)</f>
        <v>0</v>
      </c>
      <c r="E25" s="10" t="n">
        <f aca="false">SUMIF('Mapa de Pilares'!$A$6:$A$18,B25,'Mapa de Pilares'!$AE$6:$AE$18)</f>
        <v>35.381248</v>
      </c>
    </row>
    <row r="26" customFormat="false" ht="15" hidden="false" customHeight="false" outlineLevel="0" collapsed="false">
      <c r="B26" s="9" t="s">
        <v>21</v>
      </c>
      <c r="C26" s="13" t="n">
        <f aca="false">SUMIF('Mapa de Pilares'!$A$6:$A$18,B26,'Mapa de Pilares'!$J$6:$J$18)</f>
        <v>0</v>
      </c>
      <c r="D26" s="14" t="n">
        <f aca="false">SUMIF('Mapa de Pilares'!$A$6:$A$18,B26,'Mapa de Pilares'!$AF$6:$AF$18)</f>
        <v>0</v>
      </c>
      <c r="E26" s="10" t="n">
        <f aca="false">SUMIF('Mapa de Pilares'!$A$6:$A$18,B26,'Mapa de Pilares'!$AE$6:$AE$18)</f>
        <v>10.780224</v>
      </c>
    </row>
    <row r="27" customFormat="false" ht="15" hidden="false" customHeight="false" outlineLevel="0" collapsed="false">
      <c r="B27" s="9" t="s">
        <v>22</v>
      </c>
      <c r="C27" s="13" t="n">
        <f aca="false">SUMIF('Mapa de Pilares'!$A$6:$A$18,B27,'Mapa de Pilares'!$J$6:$J$18)</f>
        <v>0</v>
      </c>
      <c r="D27" s="14" t="n">
        <f aca="false">SUMIF('Mapa de Pilares'!$A$6:$A$18,B27,'Mapa de Pilares'!$AF$6:$AF$18)</f>
        <v>0</v>
      </c>
      <c r="E27" s="10" t="n">
        <f aca="false">SUMIF('Mapa de Pilares'!$A$6:$A$18,B27,'Mapa de Pilares'!$AE$6:$AE$18)</f>
        <v>10.780224</v>
      </c>
    </row>
    <row r="28" customFormat="false" ht="15" hidden="false" customHeight="false" outlineLevel="0" collapsed="false">
      <c r="B28" s="9" t="s">
        <v>23</v>
      </c>
      <c r="C28" s="13" t="n">
        <f aca="false">SUMIF('Mapa de Pilares'!$A$6:$A$18,B28,'Mapa de Pilares'!$J$6:$J$18)</f>
        <v>0</v>
      </c>
      <c r="D28" s="14" t="n">
        <f aca="false">SUMIF('Mapa de Pilares'!$A$6:$A$18,B28,'Mapa de Pilares'!$AF$6:$AF$18)</f>
        <v>0</v>
      </c>
      <c r="E28" s="10" t="n">
        <f aca="false">SUMIF('Mapa de Pilares'!$A$6:$A$18,B28,'Mapa de Pilares'!$AE$6:$AE$18)</f>
        <v>10.780224</v>
      </c>
    </row>
    <row r="29" customFormat="false" ht="15" hidden="false" customHeight="false" outlineLevel="0" collapsed="false">
      <c r="B29" s="9" t="s">
        <v>24</v>
      </c>
      <c r="C29" s="13" t="n">
        <f aca="false">SUMIF('Mapa de Pilares'!$A$6:$A$18,B29,'Mapa de Pilares'!$J$6:$J$18)</f>
        <v>0</v>
      </c>
      <c r="D29" s="14" t="n">
        <f aca="false">SUMIF('Mapa de Pilares'!$A$6:$A$18,B29,'Mapa de Pilares'!$AF$6:$AF$18)</f>
        <v>0</v>
      </c>
      <c r="E29" s="10" t="n">
        <f aca="false">SUMIF('Mapa de Pilares'!$A$6:$A$18,B29,'Mapa de Pilares'!$AE$6:$AE$18)</f>
        <v>49.596928</v>
      </c>
    </row>
    <row r="30" customFormat="false" ht="15" hidden="false" customHeight="false" outlineLevel="0" collapsed="false">
      <c r="B30" s="9" t="s">
        <v>25</v>
      </c>
      <c r="C30" s="13" t="n">
        <f aca="false">SUMIF('Mapa de Pilares'!$A$6:$A$18,B30,'Mapa de Pilares'!$J$6:$J$18)</f>
        <v>0</v>
      </c>
      <c r="D30" s="14" t="n">
        <f aca="false">SUMIF('Mapa de Pilares'!$A$6:$A$18,B30,'Mapa de Pilares'!$AF$6:$AF$18)</f>
        <v>0</v>
      </c>
      <c r="E30" s="10" t="n">
        <f aca="false">SUMIF('Mapa de Pilares'!$A$6:$A$18,B30,'Mapa de Pilares'!$AE$6:$AE$18)</f>
        <v>21.481472</v>
      </c>
    </row>
    <row r="31" customFormat="false" ht="15" hidden="false" customHeight="false" outlineLevel="0" collapsed="false">
      <c r="B31" s="9" t="s">
        <v>26</v>
      </c>
      <c r="C31" s="13" t="n">
        <f aca="false">SUMIF('Mapa de Pilares'!$A$6:$A$18,B31,'Mapa de Pilares'!$J$6:$J$18)</f>
        <v>0</v>
      </c>
      <c r="D31" s="14" t="n">
        <f aca="false">SUMIF('Mapa de Pilares'!$A$6:$A$18,B31,'Mapa de Pilares'!$AF$6:$AF$18)</f>
        <v>0</v>
      </c>
      <c r="E31" s="10" t="n">
        <f aca="false">SUMIF('Mapa de Pilares'!$A$6:$A$18,B31,'Mapa de Pilares'!$AE$6:$AE$18)</f>
        <v>12.912576</v>
      </c>
    </row>
    <row r="32" customFormat="false" ht="15" hidden="false" customHeight="false" outlineLevel="0" collapsed="false">
      <c r="B32" s="9" t="s">
        <v>27</v>
      </c>
      <c r="C32" s="13" t="n">
        <f aca="false">SUMIF('Mapa de Pilares'!$A$6:$A$18,B32,'Mapa de Pilares'!$J$6:$J$18)</f>
        <v>0</v>
      </c>
      <c r="D32" s="14" t="n">
        <f aca="false">SUMIF('Mapa de Pilares'!$A$6:$A$18,B32,'Mapa de Pilares'!$AF$6:$AF$18)</f>
        <v>0</v>
      </c>
      <c r="E32" s="10" t="n">
        <f aca="false">SUMIF('Mapa de Pilares'!$A$6:$A$18,B32,'Mapa de Pilares'!$AE$6:$AE$18)</f>
        <v>24.536856</v>
      </c>
    </row>
    <row r="33" customFormat="false" ht="15" hidden="false" customHeight="false" outlineLevel="0" collapsed="false">
      <c r="B33" s="9" t="s">
        <v>28</v>
      </c>
      <c r="C33" s="13" t="n">
        <f aca="false">SUMIF('Mapa de Pilares'!$A$6:$A$18,B33,'Mapa de Pilares'!$J$6:$J$18)</f>
        <v>0</v>
      </c>
      <c r="D33" s="14" t="n">
        <f aca="false">SUMIF('Mapa de Pilares'!$A$6:$A$18,B33,'Mapa de Pilares'!$AF$6:$AF$18)</f>
        <v>0</v>
      </c>
      <c r="E33" s="10" t="n">
        <f aca="false">SUMIF('Mapa de Pilares'!$A$6:$A$18,B33,'Mapa de Pilares'!$AE$6:$AE$18)</f>
        <v>30.326784</v>
      </c>
    </row>
    <row r="34" customFormat="false" ht="15" hidden="false" customHeight="false" outlineLevel="0" collapsed="false">
      <c r="B34" s="9" t="s">
        <v>29</v>
      </c>
      <c r="C34" s="13" t="n">
        <f aca="false">SUMIF('Mapa de Pilares'!$A$6:$A$18,B34,'Mapa de Pilares'!$J$6:$J$18)</f>
        <v>0</v>
      </c>
      <c r="D34" s="14" t="n">
        <f aca="false">SUMIF('Mapa de Pilares'!$A$6:$A$18,B34,'Mapa de Pilares'!$AF$6:$AF$18)</f>
        <v>0</v>
      </c>
      <c r="E34" s="10" t="n">
        <f aca="false">SUMIF('Mapa de Pilares'!$A$6:$A$18,B34,'Mapa de Pilares'!$AE$6:$AE$18)</f>
        <v>16.505984</v>
      </c>
    </row>
    <row r="35" customFormat="false" ht="15" hidden="false" customHeight="false" outlineLevel="0" collapsed="false">
      <c r="B35" s="11" t="s">
        <v>13</v>
      </c>
      <c r="C35" s="15" t="n">
        <f aca="false">SUM(C24:C34)</f>
        <v>0</v>
      </c>
      <c r="D35" s="12" t="n">
        <f aca="false">SUM(D24:D34)</f>
        <v>0</v>
      </c>
      <c r="E35" s="12" t="n">
        <f aca="false">SUM(E24:E34)</f>
        <v>235.995096</v>
      </c>
    </row>
  </sheetData>
  <mergeCells count="4">
    <mergeCell ref="B2:H2"/>
    <mergeCell ref="B4:D4"/>
    <mergeCell ref="B12:E12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7"/>
    <col collapsed="false" customWidth="true" hidden="false" outlineLevel="0" max="15" min="13" style="0" width="10"/>
    <col collapsed="false" customWidth="true" hidden="false" outlineLevel="0" max="16" min="16" style="0" width="9"/>
    <col collapsed="false" customWidth="true" hidden="false" outlineLevel="0" max="17" min="17" style="0" width="10.51"/>
    <col collapsed="false" customWidth="true" hidden="false" outlineLevel="0" max="19" min="18" style="0" width="7"/>
    <col collapsed="false" customWidth="true" hidden="false" outlineLevel="0" max="22" min="20" style="0" width="10"/>
    <col collapsed="false" customWidth="true" hidden="false" outlineLevel="0" max="23" min="23" style="0" width="9"/>
    <col collapsed="false" customWidth="true" hidden="false" outlineLevel="0" max="24" min="24" style="0" width="10.51"/>
    <col collapsed="false" customWidth="true" hidden="false" outlineLevel="0" max="25" min="25" style="0" width="7"/>
    <col collapsed="false" customWidth="true" hidden="false" outlineLevel="0" max="26" min="26" style="0" width="10"/>
    <col collapsed="false" customWidth="true" hidden="false" outlineLevel="0" max="27" min="27" style="0" width="10.51"/>
    <col collapsed="false" customWidth="true" hidden="false" outlineLevel="0" max="28" min="28" style="0" width="10"/>
    <col collapsed="false" customWidth="true" hidden="false" outlineLevel="0" max="32" min="29" style="0" width="10.51"/>
  </cols>
  <sheetData>
    <row r="1" customFormat="false" ht="25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.75" hidden="false" customHeight="true" outlineLevel="0" collapsed="false">
      <c r="A2" s="16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customFormat="false" ht="15.75" hidden="false" customHeight="true" outlineLevel="0" collapsed="false">
      <c r="A4" s="17" t="s">
        <v>32</v>
      </c>
      <c r="B4" s="17"/>
      <c r="C4" s="18" t="s">
        <v>33</v>
      </c>
      <c r="D4" s="18"/>
      <c r="E4" s="18"/>
      <c r="F4" s="18" t="s">
        <v>34</v>
      </c>
      <c r="G4" s="18"/>
      <c r="H4" s="18"/>
      <c r="I4" s="18"/>
      <c r="J4" s="18"/>
      <c r="K4" s="19" t="s">
        <v>35</v>
      </c>
      <c r="L4" s="19"/>
      <c r="M4" s="19"/>
      <c r="N4" s="19"/>
      <c r="O4" s="19"/>
      <c r="P4" s="19"/>
      <c r="Q4" s="19"/>
      <c r="R4" s="20" t="s">
        <v>36</v>
      </c>
      <c r="S4" s="20"/>
      <c r="T4" s="20"/>
      <c r="U4" s="20"/>
      <c r="V4" s="20"/>
      <c r="W4" s="20"/>
      <c r="X4" s="20"/>
      <c r="Y4" s="21" t="s">
        <v>37</v>
      </c>
      <c r="Z4" s="21"/>
      <c r="AA4" s="21"/>
      <c r="AB4" s="21"/>
      <c r="AC4" s="21"/>
      <c r="AD4" s="22" t="s">
        <v>38</v>
      </c>
      <c r="AE4" s="22"/>
      <c r="AF4" s="22"/>
    </row>
    <row r="5" customFormat="false" ht="39.75" hidden="false" customHeight="true" outlineLevel="0" collapsed="false">
      <c r="A5" s="8" t="s">
        <v>15</v>
      </c>
      <c r="B5" s="8" t="s">
        <v>39</v>
      </c>
      <c r="C5" s="23" t="s">
        <v>40</v>
      </c>
      <c r="D5" s="23" t="s">
        <v>41</v>
      </c>
      <c r="E5" s="23" t="s">
        <v>42</v>
      </c>
      <c r="F5" s="23" t="s">
        <v>43</v>
      </c>
      <c r="G5" s="23" t="s">
        <v>44</v>
      </c>
      <c r="H5" s="23" t="s">
        <v>45</v>
      </c>
      <c r="I5" s="23" t="s">
        <v>46</v>
      </c>
      <c r="J5" s="23" t="s">
        <v>47</v>
      </c>
      <c r="K5" s="24" t="s">
        <v>48</v>
      </c>
      <c r="L5" s="24" t="s">
        <v>49</v>
      </c>
      <c r="M5" s="24" t="s">
        <v>50</v>
      </c>
      <c r="N5" s="24" t="s">
        <v>51</v>
      </c>
      <c r="O5" s="24" t="s">
        <v>52</v>
      </c>
      <c r="P5" s="24" t="s">
        <v>53</v>
      </c>
      <c r="Q5" s="24" t="s">
        <v>54</v>
      </c>
      <c r="R5" s="25" t="s">
        <v>48</v>
      </c>
      <c r="S5" s="25" t="s">
        <v>49</v>
      </c>
      <c r="T5" s="25" t="s">
        <v>50</v>
      </c>
      <c r="U5" s="25" t="s">
        <v>51</v>
      </c>
      <c r="V5" s="25" t="s">
        <v>52</v>
      </c>
      <c r="W5" s="25" t="s">
        <v>53</v>
      </c>
      <c r="X5" s="25" t="s">
        <v>55</v>
      </c>
      <c r="Y5" s="26" t="s">
        <v>56</v>
      </c>
      <c r="Z5" s="26" t="s">
        <v>57</v>
      </c>
      <c r="AA5" s="26" t="s">
        <v>58</v>
      </c>
      <c r="AB5" s="26" t="s">
        <v>59</v>
      </c>
      <c r="AC5" s="26" t="s">
        <v>60</v>
      </c>
      <c r="AD5" s="27" t="s">
        <v>61</v>
      </c>
      <c r="AE5" s="27" t="s">
        <v>62</v>
      </c>
      <c r="AF5" s="27" t="s">
        <v>63</v>
      </c>
    </row>
    <row r="6" customFormat="false" ht="15" hidden="false" customHeight="false" outlineLevel="0" collapsed="false">
      <c r="A6" s="28" t="s">
        <v>19</v>
      </c>
      <c r="B6" s="29" t="s">
        <v>64</v>
      </c>
      <c r="C6" s="30" t="s">
        <v>65</v>
      </c>
      <c r="D6" s="31" t="n">
        <v>0.3</v>
      </c>
      <c r="E6" s="31" t="n">
        <v>0.6</v>
      </c>
      <c r="F6" s="32" t="n">
        <f aca="false">IF(C6="Circular",PI()*(D6/2)^2,D6*E6)</f>
        <v>0.18</v>
      </c>
      <c r="G6" s="31" t="n">
        <f aca="false">IF(C6="Circular",PI()*D6,2*(D6+E6))</f>
        <v>1.8</v>
      </c>
      <c r="H6" s="33" t="n">
        <v>0</v>
      </c>
      <c r="I6" s="30" t="s">
        <v>66</v>
      </c>
      <c r="J6" s="32" t="n">
        <f aca="false">F6*H6*(1+Parametros!$C$12)</f>
        <v>0</v>
      </c>
      <c r="K6" s="34" t="n">
        <v>6</v>
      </c>
      <c r="L6" s="34" t="n">
        <v>16</v>
      </c>
      <c r="M6" s="35" t="n">
        <f aca="false">IF(K6=0,0,Parametros!$C$7*L6/1000)</f>
        <v>0.8</v>
      </c>
      <c r="N6" s="35" t="n">
        <f aca="false">H6+M6</f>
        <v>0.8</v>
      </c>
      <c r="O6" s="36" t="n">
        <f aca="false">K6*N6</f>
        <v>4.8</v>
      </c>
      <c r="P6" s="37" t="n">
        <f aca="false">0.00617*L6^2</f>
        <v>1.57952</v>
      </c>
      <c r="Q6" s="36" t="n">
        <f aca="false">K6*N6*P6*(1+Parametros!$C$13)</f>
        <v>7.581696</v>
      </c>
      <c r="R6" s="38" t="n">
        <v>10</v>
      </c>
      <c r="S6" s="38" t="n">
        <v>12</v>
      </c>
      <c r="T6" s="39" t="n">
        <f aca="false">IF(R6=0,0,Parametros!$C$7*S6/1000)</f>
        <v>0.6</v>
      </c>
      <c r="U6" s="39" t="n">
        <f aca="false">H6+T6</f>
        <v>0.6</v>
      </c>
      <c r="V6" s="40" t="n">
        <f aca="false">R6*U6</f>
        <v>6</v>
      </c>
      <c r="W6" s="41" t="n">
        <f aca="false">IF(S6=0,0,0.00617*S6^2)</f>
        <v>0.88848</v>
      </c>
      <c r="X6" s="40" t="n">
        <f aca="false">R6*U6*W6*(1+Parametros!$C$13)</f>
        <v>5.33088</v>
      </c>
      <c r="Y6" s="42" t="n">
        <v>8</v>
      </c>
      <c r="Z6" s="42" t="n">
        <v>0.2</v>
      </c>
      <c r="AA6" s="42" t="n">
        <f aca="false">IF(H6=0,0,ROUNDUP(H6/Z6,0)+1)</f>
        <v>0</v>
      </c>
      <c r="AB6" s="43" t="n">
        <f aca="false">IF(C6="Circular",PI()*(D6-2*Parametros!$C$5)+Parametros!$C$9*Parametros!$C$8*Y6/1000,2*((D6-2*Parametros!$C$5)+(E6-2*Parametros!$C$5))+Parametros!$C$9*Parametros!$C$8*Y6/1000)</f>
        <v>1.72</v>
      </c>
      <c r="AC6" s="44" t="n">
        <f aca="false">AA6*AB6*0.00617*Y6^2*(1+Parametros!$C$13)</f>
        <v>0</v>
      </c>
      <c r="AD6" s="45" t="n">
        <f aca="false">Q6+X6</f>
        <v>12.912576</v>
      </c>
      <c r="AE6" s="45" t="n">
        <f aca="false">AD6+AC6</f>
        <v>12.912576</v>
      </c>
      <c r="AF6" s="46" t="n">
        <f aca="false">G6*H6</f>
        <v>0</v>
      </c>
    </row>
    <row r="7" customFormat="false" ht="15" hidden="false" customHeight="false" outlineLevel="0" collapsed="false">
      <c r="A7" s="28" t="s">
        <v>20</v>
      </c>
      <c r="B7" s="29" t="s">
        <v>67</v>
      </c>
      <c r="C7" s="30" t="s">
        <v>65</v>
      </c>
      <c r="D7" s="31" t="n">
        <v>0.4</v>
      </c>
      <c r="E7" s="31" t="n">
        <v>0.7</v>
      </c>
      <c r="F7" s="32" t="n">
        <f aca="false">IF(C7="Circular",PI()*(D7/2)^2,D7*E7)</f>
        <v>0.28</v>
      </c>
      <c r="G7" s="31" t="n">
        <f aca="false">IF(C7="Circular",PI()*D7,2*(D7+E7))</f>
        <v>2.2</v>
      </c>
      <c r="H7" s="33" t="n">
        <v>0</v>
      </c>
      <c r="I7" s="30" t="s">
        <v>68</v>
      </c>
      <c r="J7" s="32" t="n">
        <f aca="false">F7*H7*(1+Parametros!$C$12)</f>
        <v>0</v>
      </c>
      <c r="K7" s="34" t="n">
        <v>28</v>
      </c>
      <c r="L7" s="34" t="n">
        <v>16</v>
      </c>
      <c r="M7" s="35" t="n">
        <f aca="false">IF(K7=0,0,Parametros!$C$7*L7/1000)</f>
        <v>0.8</v>
      </c>
      <c r="N7" s="35" t="n">
        <f aca="false">H7+M7</f>
        <v>0.8</v>
      </c>
      <c r="O7" s="36" t="n">
        <f aca="false">K7*N7</f>
        <v>22.4</v>
      </c>
      <c r="P7" s="37" t="n">
        <f aca="false">0.00617*L7^2</f>
        <v>1.57952</v>
      </c>
      <c r="Q7" s="36" t="n">
        <f aca="false">K7*N7*P7*(1+Parametros!$C$13)</f>
        <v>35.381248</v>
      </c>
      <c r="R7" s="38" t="n">
        <v>0</v>
      </c>
      <c r="S7" s="38" t="n">
        <v>0</v>
      </c>
      <c r="T7" s="39" t="n">
        <f aca="false">IF(R7=0,0,Parametros!$C$7*S7/1000)</f>
        <v>0</v>
      </c>
      <c r="U7" s="39" t="n">
        <f aca="false">H7+T7</f>
        <v>0</v>
      </c>
      <c r="V7" s="40" t="n">
        <f aca="false">R7*U7</f>
        <v>0</v>
      </c>
      <c r="W7" s="41" t="n">
        <f aca="false">IF(S7=0,0,0.00617*S7^2)</f>
        <v>0</v>
      </c>
      <c r="X7" s="40" t="n">
        <f aca="false">R7*U7*W7*(1+Parametros!$C$13)</f>
        <v>0</v>
      </c>
      <c r="Y7" s="42" t="n">
        <v>8</v>
      </c>
      <c r="Z7" s="42" t="n">
        <v>0.2</v>
      </c>
      <c r="AA7" s="42" t="n">
        <f aca="false">IF(H7=0,0,ROUNDUP(H7/Z7,0)+1)</f>
        <v>0</v>
      </c>
      <c r="AB7" s="43" t="n">
        <f aca="false">IF(C7="Circular",PI()*(D7-2*Parametros!$C$5)+Parametros!$C$9*Parametros!$C$8*Y7/1000,2*((D7-2*Parametros!$C$5)+(E7-2*Parametros!$C$5))+Parametros!$C$9*Parametros!$C$8*Y7/1000)</f>
        <v>2.12</v>
      </c>
      <c r="AC7" s="44" t="n">
        <f aca="false">AA7*AB7*0.00617*Y7^2*(1+Parametros!$C$13)</f>
        <v>0</v>
      </c>
      <c r="AD7" s="45" t="n">
        <f aca="false">Q7+X7</f>
        <v>35.381248</v>
      </c>
      <c r="AE7" s="45" t="n">
        <f aca="false">AD7+AC7</f>
        <v>35.381248</v>
      </c>
      <c r="AF7" s="46" t="n">
        <f aca="false">G7*H7</f>
        <v>0</v>
      </c>
    </row>
    <row r="8" customFormat="false" ht="15" hidden="false" customHeight="false" outlineLevel="0" collapsed="false">
      <c r="A8" s="28" t="s">
        <v>21</v>
      </c>
      <c r="B8" s="29" t="s">
        <v>67</v>
      </c>
      <c r="C8" s="30" t="s">
        <v>65</v>
      </c>
      <c r="D8" s="31" t="n">
        <v>0.4</v>
      </c>
      <c r="E8" s="31" t="n">
        <v>0.2</v>
      </c>
      <c r="F8" s="32" t="n">
        <f aca="false">IF(C8="Circular",PI()*(D8/2)^2,D8*E8)</f>
        <v>0.08</v>
      </c>
      <c r="G8" s="31" t="n">
        <f aca="false">IF(C8="Circular",PI()*D8,2*(D8+E8))</f>
        <v>1.2</v>
      </c>
      <c r="H8" s="33" t="n">
        <v>0</v>
      </c>
      <c r="I8" s="30" t="s">
        <v>68</v>
      </c>
      <c r="J8" s="32" t="n">
        <f aca="false">F8*H8*(1+Parametros!$C$12)</f>
        <v>0</v>
      </c>
      <c r="K8" s="34" t="n">
        <v>6</v>
      </c>
      <c r="L8" s="34" t="n">
        <v>16</v>
      </c>
      <c r="M8" s="35" t="n">
        <f aca="false">IF(K8=0,0,Parametros!$C$7*L8/1000)</f>
        <v>0.8</v>
      </c>
      <c r="N8" s="35" t="n">
        <f aca="false">H8+M8</f>
        <v>0.8</v>
      </c>
      <c r="O8" s="36" t="n">
        <f aca="false">K8*N8</f>
        <v>4.8</v>
      </c>
      <c r="P8" s="37" t="n">
        <f aca="false">0.00617*L8^2</f>
        <v>1.57952</v>
      </c>
      <c r="Q8" s="36" t="n">
        <f aca="false">K8*N8*P8*(1+Parametros!$C$13)</f>
        <v>7.581696</v>
      </c>
      <c r="R8" s="38" t="n">
        <v>6</v>
      </c>
      <c r="S8" s="38" t="n">
        <v>12</v>
      </c>
      <c r="T8" s="39" t="n">
        <f aca="false">IF(R8=0,0,Parametros!$C$7*S8/1000)</f>
        <v>0.6</v>
      </c>
      <c r="U8" s="39" t="n">
        <f aca="false">H8+T8</f>
        <v>0.6</v>
      </c>
      <c r="V8" s="40" t="n">
        <f aca="false">R8*U8</f>
        <v>3.6</v>
      </c>
      <c r="W8" s="41" t="n">
        <f aca="false">IF(S8=0,0,0.00617*S8^2)</f>
        <v>0.88848</v>
      </c>
      <c r="X8" s="40" t="n">
        <f aca="false">R8*U8*W8*(1+Parametros!$C$13)</f>
        <v>3.198528</v>
      </c>
      <c r="Y8" s="42" t="n">
        <v>8</v>
      </c>
      <c r="Z8" s="42" t="n">
        <v>0.2</v>
      </c>
      <c r="AA8" s="42" t="n">
        <f aca="false">IF(H8=0,0,ROUNDUP(H8/Z8,0)+1)</f>
        <v>0</v>
      </c>
      <c r="AB8" s="43" t="n">
        <f aca="false">IF(C8="Circular",PI()*(D8-2*Parametros!$C$5)+Parametros!$C$9*Parametros!$C$8*Y8/1000,2*((D8-2*Parametros!$C$5)+(E8-2*Parametros!$C$5))+Parametros!$C$9*Parametros!$C$8*Y8/1000)</f>
        <v>1.12</v>
      </c>
      <c r="AC8" s="44" t="n">
        <f aca="false">AA8*AB8*0.00617*Y8^2*(1+Parametros!$C$13)</f>
        <v>0</v>
      </c>
      <c r="AD8" s="45" t="n">
        <f aca="false">Q8+X8</f>
        <v>10.780224</v>
      </c>
      <c r="AE8" s="45" t="n">
        <f aca="false">AD8+AC8</f>
        <v>10.780224</v>
      </c>
      <c r="AF8" s="46" t="n">
        <f aca="false">G8*H8</f>
        <v>0</v>
      </c>
    </row>
    <row r="9" customFormat="false" ht="15" hidden="false" customHeight="false" outlineLevel="0" collapsed="false">
      <c r="A9" s="28" t="s">
        <v>22</v>
      </c>
      <c r="B9" s="29" t="s">
        <v>64</v>
      </c>
      <c r="C9" s="30" t="s">
        <v>65</v>
      </c>
      <c r="D9" s="31" t="n">
        <v>0.2</v>
      </c>
      <c r="E9" s="31" t="n">
        <v>0.4</v>
      </c>
      <c r="F9" s="32" t="n">
        <f aca="false">IF(C9="Circular",PI()*(D9/2)^2,D9*E9)</f>
        <v>0.08</v>
      </c>
      <c r="G9" s="31" t="n">
        <f aca="false">IF(C9="Circular",PI()*D9,2*(D9+E9))</f>
        <v>1.2</v>
      </c>
      <c r="H9" s="33" t="n">
        <v>0</v>
      </c>
      <c r="I9" s="30" t="s">
        <v>66</v>
      </c>
      <c r="J9" s="32" t="n">
        <f aca="false">F9*H9*(1+Parametros!$C$12)</f>
        <v>0</v>
      </c>
      <c r="K9" s="34" t="n">
        <v>6</v>
      </c>
      <c r="L9" s="34" t="n">
        <v>16</v>
      </c>
      <c r="M9" s="35" t="n">
        <f aca="false">IF(K9=0,0,Parametros!$C$7*L9/1000)</f>
        <v>0.8</v>
      </c>
      <c r="N9" s="35" t="n">
        <f aca="false">H9+M9</f>
        <v>0.8</v>
      </c>
      <c r="O9" s="36" t="n">
        <f aca="false">K9*N9</f>
        <v>4.8</v>
      </c>
      <c r="P9" s="37" t="n">
        <f aca="false">0.00617*L9^2</f>
        <v>1.57952</v>
      </c>
      <c r="Q9" s="36" t="n">
        <f aca="false">K9*N9*P9*(1+Parametros!$C$13)</f>
        <v>7.581696</v>
      </c>
      <c r="R9" s="38" t="n">
        <v>6</v>
      </c>
      <c r="S9" s="38" t="n">
        <v>12</v>
      </c>
      <c r="T9" s="39" t="n">
        <f aca="false">IF(R9=0,0,Parametros!$C$7*S9/1000)</f>
        <v>0.6</v>
      </c>
      <c r="U9" s="39" t="n">
        <f aca="false">H9+T9</f>
        <v>0.6</v>
      </c>
      <c r="V9" s="40" t="n">
        <f aca="false">R9*U9</f>
        <v>3.6</v>
      </c>
      <c r="W9" s="41" t="n">
        <f aca="false">IF(S9=0,0,0.00617*S9^2)</f>
        <v>0.88848</v>
      </c>
      <c r="X9" s="40" t="n">
        <f aca="false">R9*U9*W9*(1+Parametros!$C$13)</f>
        <v>3.198528</v>
      </c>
      <c r="Y9" s="42" t="n">
        <v>8</v>
      </c>
      <c r="Z9" s="42" t="n">
        <v>0.2</v>
      </c>
      <c r="AA9" s="42" t="n">
        <f aca="false">IF(H9=0,0,ROUNDUP(H9/Z9,0)+1)</f>
        <v>0</v>
      </c>
      <c r="AB9" s="43" t="n">
        <f aca="false">IF(C9="Circular",PI()*(D9-2*Parametros!$C$5)+Parametros!$C$9*Parametros!$C$8*Y9/1000,2*((D9-2*Parametros!$C$5)+(E9-2*Parametros!$C$5))+Parametros!$C$9*Parametros!$C$8*Y9/1000)</f>
        <v>1.12</v>
      </c>
      <c r="AC9" s="44" t="n">
        <f aca="false">AA9*AB9*0.00617*Y9^2*(1+Parametros!$C$13)</f>
        <v>0</v>
      </c>
      <c r="AD9" s="45" t="n">
        <f aca="false">Q9+X9</f>
        <v>10.780224</v>
      </c>
      <c r="AE9" s="45" t="n">
        <f aca="false">AD9+AC9</f>
        <v>10.780224</v>
      </c>
      <c r="AF9" s="46" t="n">
        <f aca="false">G9*H9</f>
        <v>0</v>
      </c>
    </row>
    <row r="10" customFormat="false" ht="15" hidden="false" customHeight="false" outlineLevel="0" collapsed="false">
      <c r="A10" s="28" t="s">
        <v>23</v>
      </c>
      <c r="B10" s="29" t="s">
        <v>64</v>
      </c>
      <c r="C10" s="30" t="s">
        <v>65</v>
      </c>
      <c r="D10" s="31" t="n">
        <v>0.2</v>
      </c>
      <c r="E10" s="31" t="n">
        <v>0.4</v>
      </c>
      <c r="F10" s="32" t="n">
        <f aca="false">IF(C10="Circular",PI()*(D10/2)^2,D10*E10)</f>
        <v>0.08</v>
      </c>
      <c r="G10" s="31" t="n">
        <f aca="false">IF(C10="Circular",PI()*D10,2*(D10+E10))</f>
        <v>1.2</v>
      </c>
      <c r="H10" s="33" t="n">
        <v>0</v>
      </c>
      <c r="I10" s="30" t="s">
        <v>66</v>
      </c>
      <c r="J10" s="32" t="n">
        <f aca="false">F10*H10*(1+Parametros!$C$12)</f>
        <v>0</v>
      </c>
      <c r="K10" s="34" t="n">
        <v>6</v>
      </c>
      <c r="L10" s="34" t="n">
        <v>16</v>
      </c>
      <c r="M10" s="35" t="n">
        <f aca="false">IF(K10=0,0,Parametros!$C$7*L10/1000)</f>
        <v>0.8</v>
      </c>
      <c r="N10" s="35" t="n">
        <f aca="false">H10+M10</f>
        <v>0.8</v>
      </c>
      <c r="O10" s="36" t="n">
        <f aca="false">K10*N10</f>
        <v>4.8</v>
      </c>
      <c r="P10" s="37" t="n">
        <f aca="false">0.00617*L10^2</f>
        <v>1.57952</v>
      </c>
      <c r="Q10" s="36" t="n">
        <f aca="false">K10*N10*P10*(1+Parametros!$C$13)</f>
        <v>7.581696</v>
      </c>
      <c r="R10" s="38" t="n">
        <v>6</v>
      </c>
      <c r="S10" s="38" t="n">
        <v>12</v>
      </c>
      <c r="T10" s="39" t="n">
        <f aca="false">IF(R10=0,0,Parametros!$C$7*S10/1000)</f>
        <v>0.6</v>
      </c>
      <c r="U10" s="39" t="n">
        <f aca="false">H10+T10</f>
        <v>0.6</v>
      </c>
      <c r="V10" s="40" t="n">
        <f aca="false">R10*U10</f>
        <v>3.6</v>
      </c>
      <c r="W10" s="41" t="n">
        <f aca="false">IF(S10=0,0,0.00617*S10^2)</f>
        <v>0.88848</v>
      </c>
      <c r="X10" s="40" t="n">
        <f aca="false">R10*U10*W10*(1+Parametros!$C$13)</f>
        <v>3.198528</v>
      </c>
      <c r="Y10" s="42" t="n">
        <v>8</v>
      </c>
      <c r="Z10" s="42" t="n">
        <v>0.2</v>
      </c>
      <c r="AA10" s="42" t="n">
        <f aca="false">IF(H10=0,0,ROUNDUP(H10/Z10,0)+1)</f>
        <v>0</v>
      </c>
      <c r="AB10" s="43" t="n">
        <f aca="false">IF(C10="Circular",PI()*(D10-2*Parametros!$C$5)+Parametros!$C$9*Parametros!$C$8*Y10/1000,2*((D10-2*Parametros!$C$5)+(E10-2*Parametros!$C$5))+Parametros!$C$9*Parametros!$C$8*Y10/1000)</f>
        <v>1.12</v>
      </c>
      <c r="AC10" s="44" t="n">
        <f aca="false">AA10*AB10*0.00617*Y10^2*(1+Parametros!$C$13)</f>
        <v>0</v>
      </c>
      <c r="AD10" s="45" t="n">
        <f aca="false">Q10+X10</f>
        <v>10.780224</v>
      </c>
      <c r="AE10" s="45" t="n">
        <f aca="false">AD10+AC10</f>
        <v>10.780224</v>
      </c>
      <c r="AF10" s="46" t="n">
        <f aca="false">G10*H10</f>
        <v>0</v>
      </c>
    </row>
    <row r="11" customFormat="false" ht="15" hidden="false" customHeight="false" outlineLevel="0" collapsed="false">
      <c r="A11" s="28" t="s">
        <v>24</v>
      </c>
      <c r="B11" s="29" t="s">
        <v>67</v>
      </c>
      <c r="C11" s="30" t="s">
        <v>65</v>
      </c>
      <c r="D11" s="31" t="n">
        <v>0.3</v>
      </c>
      <c r="E11" s="31" t="n">
        <v>0.3</v>
      </c>
      <c r="F11" s="32" t="n">
        <f aca="false">IF(C11="Circular",PI()*(D11/2)^2,D11*E11)</f>
        <v>0.09</v>
      </c>
      <c r="G11" s="31" t="n">
        <f aca="false">IF(C11="Circular",PI()*D11,2*(D11+E11))</f>
        <v>1.2</v>
      </c>
      <c r="H11" s="33" t="n">
        <v>0</v>
      </c>
      <c r="I11" s="30" t="s">
        <v>68</v>
      </c>
      <c r="J11" s="32" t="n">
        <f aca="false">F11*H11*(1+Parametros!$C$12)</f>
        <v>0</v>
      </c>
      <c r="K11" s="34" t="n">
        <v>8</v>
      </c>
      <c r="L11" s="34" t="n">
        <v>20</v>
      </c>
      <c r="M11" s="35" t="n">
        <f aca="false">IF(K11=0,0,Parametros!$C$7*L11/1000)</f>
        <v>1</v>
      </c>
      <c r="N11" s="35" t="n">
        <f aca="false">H11+M11</f>
        <v>1</v>
      </c>
      <c r="O11" s="36" t="n">
        <f aca="false">K11*N11</f>
        <v>8</v>
      </c>
      <c r="P11" s="37" t="n">
        <f aca="false">0.00617*L11^2</f>
        <v>2.468</v>
      </c>
      <c r="Q11" s="36" t="n">
        <f aca="false">K11*N11*P11*(1+Parametros!$C$13)</f>
        <v>19.744</v>
      </c>
      <c r="R11" s="38" t="n">
        <v>4</v>
      </c>
      <c r="S11" s="38" t="n">
        <v>16</v>
      </c>
      <c r="T11" s="39" t="n">
        <f aca="false">IF(R11=0,0,Parametros!$C$7*S11/1000)</f>
        <v>0.8</v>
      </c>
      <c r="U11" s="39" t="n">
        <f aca="false">H11+T11</f>
        <v>0.8</v>
      </c>
      <c r="V11" s="40" t="n">
        <f aca="false">R11*U11</f>
        <v>3.2</v>
      </c>
      <c r="W11" s="41" t="n">
        <f aca="false">IF(S11=0,0,0.00617*S11^2)</f>
        <v>1.57952</v>
      </c>
      <c r="X11" s="40" t="n">
        <f aca="false">R11*U11*W11*(1+Parametros!$C$13)</f>
        <v>5.054464</v>
      </c>
      <c r="Y11" s="42" t="n">
        <v>8</v>
      </c>
      <c r="Z11" s="42" t="n">
        <v>0.2</v>
      </c>
      <c r="AA11" s="42" t="n">
        <f aca="false">IF(H11=0,0,ROUNDUP(H11/Z11,0)+1)</f>
        <v>0</v>
      </c>
      <c r="AB11" s="43" t="n">
        <f aca="false">IF(C11="Circular",PI()*(D11-2*Parametros!$C$5)+Parametros!$C$9*Parametros!$C$8*Y11/1000,2*((D11-2*Parametros!$C$5)+(E11-2*Parametros!$C$5))+Parametros!$C$9*Parametros!$C$8*Y11/1000)</f>
        <v>1.12</v>
      </c>
      <c r="AC11" s="44" t="n">
        <f aca="false">AA11*AB11*0.00617*Y11^2*(1+Parametros!$C$13)</f>
        <v>0</v>
      </c>
      <c r="AD11" s="45" t="n">
        <f aca="false">Q11+X11</f>
        <v>24.798464</v>
      </c>
      <c r="AE11" s="45" t="n">
        <f aca="false">AD11+AC11</f>
        <v>24.798464</v>
      </c>
      <c r="AF11" s="46" t="n">
        <f aca="false">G11*H11</f>
        <v>0</v>
      </c>
    </row>
    <row r="12" customFormat="false" ht="15" hidden="false" customHeight="false" outlineLevel="0" collapsed="false">
      <c r="A12" s="28" t="s">
        <v>24</v>
      </c>
      <c r="B12" s="29" t="s">
        <v>64</v>
      </c>
      <c r="C12" s="30" t="s">
        <v>65</v>
      </c>
      <c r="D12" s="31" t="n">
        <v>0.3</v>
      </c>
      <c r="E12" s="31" t="n">
        <v>0.3</v>
      </c>
      <c r="F12" s="32" t="n">
        <f aca="false">IF(C12="Circular",PI()*(D12/2)^2,D12*E12)</f>
        <v>0.09</v>
      </c>
      <c r="G12" s="31" t="n">
        <f aca="false">IF(C12="Circular",PI()*D12,2*(D12+E12))</f>
        <v>1.2</v>
      </c>
      <c r="H12" s="33" t="n">
        <v>0</v>
      </c>
      <c r="I12" s="30" t="s">
        <v>66</v>
      </c>
      <c r="J12" s="32" t="n">
        <f aca="false">F12*H12*(1+Parametros!$C$12)</f>
        <v>0</v>
      </c>
      <c r="K12" s="34" t="n">
        <v>8</v>
      </c>
      <c r="L12" s="34" t="n">
        <v>20</v>
      </c>
      <c r="M12" s="35" t="n">
        <f aca="false">IF(K12=0,0,Parametros!$C$7*L12/1000)</f>
        <v>1</v>
      </c>
      <c r="N12" s="35" t="n">
        <f aca="false">H12+M12</f>
        <v>1</v>
      </c>
      <c r="O12" s="36" t="n">
        <f aca="false">K12*N12</f>
        <v>8</v>
      </c>
      <c r="P12" s="37" t="n">
        <f aca="false">0.00617*L12^2</f>
        <v>2.468</v>
      </c>
      <c r="Q12" s="36" t="n">
        <f aca="false">K12*N12*P12*(1+Parametros!$C$13)</f>
        <v>19.744</v>
      </c>
      <c r="R12" s="38" t="n">
        <v>4</v>
      </c>
      <c r="S12" s="38" t="n">
        <v>16</v>
      </c>
      <c r="T12" s="39" t="n">
        <f aca="false">IF(R12=0,0,Parametros!$C$7*S12/1000)</f>
        <v>0.8</v>
      </c>
      <c r="U12" s="39" t="n">
        <f aca="false">H12+T12</f>
        <v>0.8</v>
      </c>
      <c r="V12" s="40" t="n">
        <f aca="false">R12*U12</f>
        <v>3.2</v>
      </c>
      <c r="W12" s="41" t="n">
        <f aca="false">IF(S12=0,0,0.00617*S12^2)</f>
        <v>1.57952</v>
      </c>
      <c r="X12" s="40" t="n">
        <f aca="false">R12*U12*W12*(1+Parametros!$C$13)</f>
        <v>5.054464</v>
      </c>
      <c r="Y12" s="42" t="n">
        <v>8</v>
      </c>
      <c r="Z12" s="42" t="n">
        <v>0.2</v>
      </c>
      <c r="AA12" s="42" t="n">
        <f aca="false">IF(H12=0,0,ROUNDUP(H12/Z12,0)+1)</f>
        <v>0</v>
      </c>
      <c r="AB12" s="43" t="n">
        <f aca="false">IF(C12="Circular",PI()*(D12-2*Parametros!$C$5)+Parametros!$C$9*Parametros!$C$8*Y12/1000,2*((D12-2*Parametros!$C$5)+(E12-2*Parametros!$C$5))+Parametros!$C$9*Parametros!$C$8*Y12/1000)</f>
        <v>1.12</v>
      </c>
      <c r="AC12" s="44" t="n">
        <f aca="false">AA12*AB12*0.00617*Y12^2*(1+Parametros!$C$13)</f>
        <v>0</v>
      </c>
      <c r="AD12" s="45" t="n">
        <f aca="false">Q12+X12</f>
        <v>24.798464</v>
      </c>
      <c r="AE12" s="45" t="n">
        <f aca="false">AD12+AC12</f>
        <v>24.798464</v>
      </c>
      <c r="AF12" s="46" t="n">
        <f aca="false">G12*H12</f>
        <v>0</v>
      </c>
    </row>
    <row r="13" customFormat="false" ht="15" hidden="false" customHeight="false" outlineLevel="0" collapsed="false">
      <c r="A13" s="28" t="s">
        <v>25</v>
      </c>
      <c r="B13" s="29" t="s">
        <v>67</v>
      </c>
      <c r="C13" s="30" t="s">
        <v>65</v>
      </c>
      <c r="D13" s="31" t="n">
        <v>0.5</v>
      </c>
      <c r="E13" s="31" t="n">
        <v>0.3</v>
      </c>
      <c r="F13" s="32" t="n">
        <f aca="false">IF(C13="Circular",PI()*(D13/2)^2,D13*E13)</f>
        <v>0.15</v>
      </c>
      <c r="G13" s="31" t="n">
        <f aca="false">IF(C13="Circular",PI()*D13,2*(D13+E13))</f>
        <v>1.6</v>
      </c>
      <c r="H13" s="33" t="n">
        <v>0</v>
      </c>
      <c r="I13" s="30" t="s">
        <v>68</v>
      </c>
      <c r="J13" s="32" t="n">
        <f aca="false">F13*H13*(1+Parametros!$C$12)</f>
        <v>0</v>
      </c>
      <c r="K13" s="34" t="n">
        <v>10</v>
      </c>
      <c r="L13" s="34" t="n">
        <v>16</v>
      </c>
      <c r="M13" s="35" t="n">
        <f aca="false">IF(K13=0,0,Parametros!$C$7*L13/1000)</f>
        <v>0.8</v>
      </c>
      <c r="N13" s="35" t="n">
        <f aca="false">H13+M13</f>
        <v>0.8</v>
      </c>
      <c r="O13" s="36" t="n">
        <f aca="false">K13*N13</f>
        <v>8</v>
      </c>
      <c r="P13" s="37" t="n">
        <f aca="false">0.00617*L13^2</f>
        <v>1.57952</v>
      </c>
      <c r="Q13" s="36" t="n">
        <f aca="false">K13*N13*P13*(1+Parametros!$C$13)</f>
        <v>12.63616</v>
      </c>
      <c r="R13" s="38" t="n">
        <v>0</v>
      </c>
      <c r="S13" s="38" t="n">
        <v>0</v>
      </c>
      <c r="T13" s="39" t="n">
        <f aca="false">IF(R13=0,0,Parametros!$C$7*S13/1000)</f>
        <v>0</v>
      </c>
      <c r="U13" s="39" t="n">
        <f aca="false">H13+T13</f>
        <v>0</v>
      </c>
      <c r="V13" s="40" t="n">
        <f aca="false">R13*U13</f>
        <v>0</v>
      </c>
      <c r="W13" s="41" t="n">
        <f aca="false">IF(S13=0,0,0.00617*S13^2)</f>
        <v>0</v>
      </c>
      <c r="X13" s="40" t="n">
        <f aca="false">R13*U13*W13*(1+Parametros!$C$13)</f>
        <v>0</v>
      </c>
      <c r="Y13" s="42" t="n">
        <v>8</v>
      </c>
      <c r="Z13" s="42" t="n">
        <v>0.2</v>
      </c>
      <c r="AA13" s="42" t="n">
        <f aca="false">IF(H13=0,0,ROUNDUP(H13/Z13,0)+1)</f>
        <v>0</v>
      </c>
      <c r="AB13" s="43" t="n">
        <f aca="false">IF(C13="Circular",PI()*(D13-2*Parametros!$C$5)+Parametros!$C$9*Parametros!$C$8*Y13/1000,2*((D13-2*Parametros!$C$5)+(E13-2*Parametros!$C$5))+Parametros!$C$9*Parametros!$C$8*Y13/1000)</f>
        <v>1.52</v>
      </c>
      <c r="AC13" s="44" t="n">
        <f aca="false">AA13*AB13*0.00617*Y13^2*(1+Parametros!$C$13)</f>
        <v>0</v>
      </c>
      <c r="AD13" s="45" t="n">
        <f aca="false">Q13+X13</f>
        <v>12.63616</v>
      </c>
      <c r="AE13" s="45" t="n">
        <f aca="false">AD13+AC13</f>
        <v>12.63616</v>
      </c>
      <c r="AF13" s="46" t="n">
        <f aca="false">G13*H13</f>
        <v>0</v>
      </c>
    </row>
    <row r="14" customFormat="false" ht="15" hidden="false" customHeight="false" outlineLevel="0" collapsed="false">
      <c r="A14" s="28" t="s">
        <v>25</v>
      </c>
      <c r="B14" s="29" t="s">
        <v>64</v>
      </c>
      <c r="C14" s="30" t="s">
        <v>69</v>
      </c>
      <c r="D14" s="31" t="n">
        <v>0.3</v>
      </c>
      <c r="E14" s="31"/>
      <c r="F14" s="32" t="n">
        <f aca="false">IF(C14="Circular",PI()*(D14/2)^2,D14*E14)</f>
        <v>0.0706858347057704</v>
      </c>
      <c r="G14" s="31" t="n">
        <f aca="false">IF(C14="Circular",PI()*D14,2*(D14+E14))</f>
        <v>0.942477796076938</v>
      </c>
      <c r="H14" s="33" t="n">
        <v>0</v>
      </c>
      <c r="I14" s="30" t="s">
        <v>66</v>
      </c>
      <c r="J14" s="32" t="n">
        <f aca="false">F14*H14*(1+Parametros!$C$12)</f>
        <v>0</v>
      </c>
      <c r="K14" s="34" t="n">
        <v>7</v>
      </c>
      <c r="L14" s="34" t="n">
        <v>16</v>
      </c>
      <c r="M14" s="35" t="n">
        <f aca="false">IF(K14=0,0,Parametros!$C$7*L14/1000)</f>
        <v>0.8</v>
      </c>
      <c r="N14" s="35" t="n">
        <f aca="false">H14+M14</f>
        <v>0.8</v>
      </c>
      <c r="O14" s="36" t="n">
        <f aca="false">K14*N14</f>
        <v>5.6</v>
      </c>
      <c r="P14" s="37" t="n">
        <f aca="false">0.00617*L14^2</f>
        <v>1.57952</v>
      </c>
      <c r="Q14" s="36" t="n">
        <f aca="false">K14*N14*P14*(1+Parametros!$C$13)</f>
        <v>8.845312</v>
      </c>
      <c r="R14" s="38" t="n">
        <v>0</v>
      </c>
      <c r="S14" s="38" t="n">
        <v>0</v>
      </c>
      <c r="T14" s="39" t="n">
        <f aca="false">IF(R14=0,0,Parametros!$C$7*S14/1000)</f>
        <v>0</v>
      </c>
      <c r="U14" s="39" t="n">
        <f aca="false">H14+T14</f>
        <v>0</v>
      </c>
      <c r="V14" s="40" t="n">
        <f aca="false">R14*U14</f>
        <v>0</v>
      </c>
      <c r="W14" s="41" t="n">
        <f aca="false">IF(S14=0,0,0.00617*S14^2)</f>
        <v>0</v>
      </c>
      <c r="X14" s="40" t="n">
        <f aca="false">R14*U14*W14*(1+Parametros!$C$13)</f>
        <v>0</v>
      </c>
      <c r="Y14" s="42" t="n">
        <v>8</v>
      </c>
      <c r="Z14" s="42" t="n">
        <v>0.2</v>
      </c>
      <c r="AA14" s="42" t="n">
        <f aca="false">IF(H14=0,0,ROUNDUP(H14/Z14,0)+1)</f>
        <v>0</v>
      </c>
      <c r="AB14" s="43" t="n">
        <f aca="false">IF(C14="Circular",PI()*(D14-2*Parametros!$C$5)+Parametros!$C$9*Parametros!$C$8*Y14/1000,2*((D14-2*Parametros!$C$5)+(E14-2*Parametros!$C$5))+Parametros!$C$9*Parametros!$C$8*Y14/1000)</f>
        <v>0.91398223686155</v>
      </c>
      <c r="AC14" s="44" t="n">
        <f aca="false">AA14*AB14*0.00617*Y14^2*(1+Parametros!$C$13)</f>
        <v>0</v>
      </c>
      <c r="AD14" s="45" t="n">
        <f aca="false">Q14+X14</f>
        <v>8.845312</v>
      </c>
      <c r="AE14" s="45" t="n">
        <f aca="false">AD14+AC14</f>
        <v>8.845312</v>
      </c>
      <c r="AF14" s="46" t="n">
        <f aca="false">G14*H14</f>
        <v>0</v>
      </c>
    </row>
    <row r="15" customFormat="false" ht="15" hidden="false" customHeight="false" outlineLevel="0" collapsed="false">
      <c r="A15" s="28" t="s">
        <v>26</v>
      </c>
      <c r="B15" s="29" t="s">
        <v>64</v>
      </c>
      <c r="C15" s="30" t="s">
        <v>65</v>
      </c>
      <c r="D15" s="31" t="n">
        <v>0.3</v>
      </c>
      <c r="E15" s="31" t="n">
        <v>0.6</v>
      </c>
      <c r="F15" s="32" t="n">
        <f aca="false">IF(C15="Circular",PI()*(D15/2)^2,D15*E15)</f>
        <v>0.18</v>
      </c>
      <c r="G15" s="31" t="n">
        <f aca="false">IF(C15="Circular",PI()*D15,2*(D15+E15))</f>
        <v>1.8</v>
      </c>
      <c r="H15" s="33" t="n">
        <v>0</v>
      </c>
      <c r="I15" s="30" t="s">
        <v>66</v>
      </c>
      <c r="J15" s="32" t="n">
        <f aca="false">F15*H15*(1+Parametros!$C$12)</f>
        <v>0</v>
      </c>
      <c r="K15" s="34" t="n">
        <v>6</v>
      </c>
      <c r="L15" s="34" t="n">
        <v>16</v>
      </c>
      <c r="M15" s="35" t="n">
        <f aca="false">IF(K15=0,0,Parametros!$C$7*L15/1000)</f>
        <v>0.8</v>
      </c>
      <c r="N15" s="35" t="n">
        <f aca="false">H15+M15</f>
        <v>0.8</v>
      </c>
      <c r="O15" s="36" t="n">
        <f aca="false">K15*N15</f>
        <v>4.8</v>
      </c>
      <c r="P15" s="37" t="n">
        <f aca="false">0.00617*L15^2</f>
        <v>1.57952</v>
      </c>
      <c r="Q15" s="36" t="n">
        <f aca="false">K15*N15*P15*(1+Parametros!$C$13)</f>
        <v>7.581696</v>
      </c>
      <c r="R15" s="38" t="n">
        <v>10</v>
      </c>
      <c r="S15" s="38" t="n">
        <v>12</v>
      </c>
      <c r="T15" s="39" t="n">
        <f aca="false">IF(R15=0,0,Parametros!$C$7*S15/1000)</f>
        <v>0.6</v>
      </c>
      <c r="U15" s="39" t="n">
        <f aca="false">H15+T15</f>
        <v>0.6</v>
      </c>
      <c r="V15" s="40" t="n">
        <f aca="false">R15*U15</f>
        <v>6</v>
      </c>
      <c r="W15" s="41" t="n">
        <f aca="false">IF(S15=0,0,0.00617*S15^2)</f>
        <v>0.88848</v>
      </c>
      <c r="X15" s="40" t="n">
        <f aca="false">R15*U15*W15*(1+Parametros!$C$13)</f>
        <v>5.33088</v>
      </c>
      <c r="Y15" s="42" t="n">
        <v>8</v>
      </c>
      <c r="Z15" s="42" t="n">
        <v>0.2</v>
      </c>
      <c r="AA15" s="42" t="n">
        <f aca="false">IF(H15=0,0,ROUNDUP(H15/Z15,0)+1)</f>
        <v>0</v>
      </c>
      <c r="AB15" s="43" t="n">
        <f aca="false">IF(C15="Circular",PI()*(D15-2*Parametros!$C$5)+Parametros!$C$9*Parametros!$C$8*Y15/1000,2*((D15-2*Parametros!$C$5)+(E15-2*Parametros!$C$5))+Parametros!$C$9*Parametros!$C$8*Y15/1000)</f>
        <v>1.72</v>
      </c>
      <c r="AC15" s="44" t="n">
        <f aca="false">AA15*AB15*0.00617*Y15^2*(1+Parametros!$C$13)</f>
        <v>0</v>
      </c>
      <c r="AD15" s="45" t="n">
        <f aca="false">Q15+X15</f>
        <v>12.912576</v>
      </c>
      <c r="AE15" s="45" t="n">
        <f aca="false">AD15+AC15</f>
        <v>12.912576</v>
      </c>
      <c r="AF15" s="46" t="n">
        <f aca="false">G15*H15</f>
        <v>0</v>
      </c>
    </row>
    <row r="16" customFormat="false" ht="15" hidden="false" customHeight="false" outlineLevel="0" collapsed="false">
      <c r="A16" s="28" t="s">
        <v>27</v>
      </c>
      <c r="B16" s="29" t="s">
        <v>67</v>
      </c>
      <c r="C16" s="30" t="s">
        <v>65</v>
      </c>
      <c r="D16" s="31" t="n">
        <v>1.3</v>
      </c>
      <c r="E16" s="31" t="n">
        <v>0.2</v>
      </c>
      <c r="F16" s="32" t="n">
        <f aca="false">IF(C16="Circular",PI()*(D16/2)^2,D16*E16)</f>
        <v>0.26</v>
      </c>
      <c r="G16" s="31" t="n">
        <f aca="false">IF(C16="Circular",PI()*D16,2*(D16+E16))</f>
        <v>3</v>
      </c>
      <c r="H16" s="33" t="n">
        <v>0</v>
      </c>
      <c r="I16" s="30" t="s">
        <v>68</v>
      </c>
      <c r="J16" s="32" t="n">
        <f aca="false">F16*H16*(1+Parametros!$C$12)</f>
        <v>0</v>
      </c>
      <c r="K16" s="34" t="n">
        <v>16</v>
      </c>
      <c r="L16" s="34" t="n">
        <v>16</v>
      </c>
      <c r="M16" s="35" t="n">
        <f aca="false">IF(K16=0,0,Parametros!$C$7*L16/1000)</f>
        <v>0.8</v>
      </c>
      <c r="N16" s="35" t="n">
        <f aca="false">H16+M16</f>
        <v>0.8</v>
      </c>
      <c r="O16" s="36" t="n">
        <f aca="false">K16*N16</f>
        <v>12.8</v>
      </c>
      <c r="P16" s="37" t="n">
        <f aca="false">0.00617*L16^2</f>
        <v>1.57952</v>
      </c>
      <c r="Q16" s="36" t="n">
        <f aca="false">K16*N16*P16*(1+Parametros!$C$13)</f>
        <v>20.217856</v>
      </c>
      <c r="R16" s="38" t="n">
        <v>14</v>
      </c>
      <c r="S16" s="38" t="n">
        <v>10</v>
      </c>
      <c r="T16" s="39" t="n">
        <f aca="false">IF(R16=0,0,Parametros!$C$7*S16/1000)</f>
        <v>0.5</v>
      </c>
      <c r="U16" s="39" t="n">
        <f aca="false">H16+T16</f>
        <v>0.5</v>
      </c>
      <c r="V16" s="40" t="n">
        <f aca="false">R16*U16</f>
        <v>7</v>
      </c>
      <c r="W16" s="41" t="n">
        <f aca="false">IF(S16=0,0,0.00617*S16^2)</f>
        <v>0.617</v>
      </c>
      <c r="X16" s="40" t="n">
        <f aca="false">R16*U16*W16*(1+Parametros!$C$13)</f>
        <v>4.319</v>
      </c>
      <c r="Y16" s="42" t="n">
        <v>8</v>
      </c>
      <c r="Z16" s="42" t="n">
        <v>0.2</v>
      </c>
      <c r="AA16" s="42" t="n">
        <f aca="false">IF(H16=0,0,ROUNDUP(H16/Z16,0)+1)</f>
        <v>0</v>
      </c>
      <c r="AB16" s="43" t="n">
        <f aca="false">IF(C16="Circular",PI()*(D16-2*Parametros!$C$5)+Parametros!$C$9*Parametros!$C$8*Y16/1000,2*((D16-2*Parametros!$C$5)+(E16-2*Parametros!$C$5))+Parametros!$C$9*Parametros!$C$8*Y16/1000)</f>
        <v>2.92</v>
      </c>
      <c r="AC16" s="44" t="n">
        <f aca="false">AA16*AB16*0.00617*Y16^2*(1+Parametros!$C$13)</f>
        <v>0</v>
      </c>
      <c r="AD16" s="45" t="n">
        <f aca="false">Q16+X16</f>
        <v>24.536856</v>
      </c>
      <c r="AE16" s="45" t="n">
        <f aca="false">AD16+AC16</f>
        <v>24.536856</v>
      </c>
      <c r="AF16" s="46" t="n">
        <f aca="false">G16*H16</f>
        <v>0</v>
      </c>
    </row>
    <row r="17" customFormat="false" ht="15" hidden="false" customHeight="false" outlineLevel="0" collapsed="false">
      <c r="A17" s="28" t="s">
        <v>28</v>
      </c>
      <c r="B17" s="29" t="s">
        <v>67</v>
      </c>
      <c r="C17" s="30" t="s">
        <v>65</v>
      </c>
      <c r="D17" s="31" t="n">
        <v>1</v>
      </c>
      <c r="E17" s="31" t="n">
        <v>0.2</v>
      </c>
      <c r="F17" s="32" t="n">
        <f aca="false">IF(C17="Circular",PI()*(D17/2)^2,D17*E17)</f>
        <v>0.2</v>
      </c>
      <c r="G17" s="31" t="n">
        <f aca="false">IF(C17="Circular",PI()*D17,2*(D17+E17))</f>
        <v>2.4</v>
      </c>
      <c r="H17" s="33" t="n">
        <v>0</v>
      </c>
      <c r="I17" s="30" t="s">
        <v>68</v>
      </c>
      <c r="J17" s="32" t="n">
        <f aca="false">F17*H17*(1+Parametros!$C$12)</f>
        <v>0</v>
      </c>
      <c r="K17" s="34" t="n">
        <v>24</v>
      </c>
      <c r="L17" s="34" t="n">
        <v>16</v>
      </c>
      <c r="M17" s="35" t="n">
        <f aca="false">IF(K17=0,0,Parametros!$C$7*L17/1000)</f>
        <v>0.8</v>
      </c>
      <c r="N17" s="35" t="n">
        <f aca="false">H17+M17</f>
        <v>0.8</v>
      </c>
      <c r="O17" s="36" t="n">
        <f aca="false">K17*N17</f>
        <v>19.2</v>
      </c>
      <c r="P17" s="37" t="n">
        <f aca="false">0.00617*L17^2</f>
        <v>1.57952</v>
      </c>
      <c r="Q17" s="36" t="n">
        <f aca="false">K17*N17*P17*(1+Parametros!$C$13)</f>
        <v>30.326784</v>
      </c>
      <c r="R17" s="38" t="n">
        <v>0</v>
      </c>
      <c r="S17" s="38" t="n">
        <v>0</v>
      </c>
      <c r="T17" s="39" t="n">
        <f aca="false">IF(R17=0,0,Parametros!$C$7*S17/1000)</f>
        <v>0</v>
      </c>
      <c r="U17" s="39" t="n">
        <f aca="false">H17+T17</f>
        <v>0</v>
      </c>
      <c r="V17" s="40" t="n">
        <f aca="false">R17*U17</f>
        <v>0</v>
      </c>
      <c r="W17" s="41" t="n">
        <f aca="false">IF(S17=0,0,0.00617*S17^2)</f>
        <v>0</v>
      </c>
      <c r="X17" s="40" t="n">
        <f aca="false">R17*U17*W17*(1+Parametros!$C$13)</f>
        <v>0</v>
      </c>
      <c r="Y17" s="42" t="n">
        <v>8</v>
      </c>
      <c r="Z17" s="42" t="n">
        <v>0.2</v>
      </c>
      <c r="AA17" s="42" t="n">
        <f aca="false">IF(H17=0,0,ROUNDUP(H17/Z17,0)+1)</f>
        <v>0</v>
      </c>
      <c r="AB17" s="43" t="n">
        <f aca="false">IF(C17="Circular",PI()*(D17-2*Parametros!$C$5)+Parametros!$C$9*Parametros!$C$8*Y17/1000,2*((D17-2*Parametros!$C$5)+(E17-2*Parametros!$C$5))+Parametros!$C$9*Parametros!$C$8*Y17/1000)</f>
        <v>2.32</v>
      </c>
      <c r="AC17" s="44" t="n">
        <f aca="false">AA17*AB17*0.00617*Y17^2*(1+Parametros!$C$13)</f>
        <v>0</v>
      </c>
      <c r="AD17" s="45" t="n">
        <f aca="false">Q17+X17</f>
        <v>30.326784</v>
      </c>
      <c r="AE17" s="45" t="n">
        <f aca="false">AD17+AC17</f>
        <v>30.326784</v>
      </c>
      <c r="AF17" s="46" t="n">
        <f aca="false">G17*H17</f>
        <v>0</v>
      </c>
    </row>
    <row r="18" customFormat="false" ht="15" hidden="false" customHeight="false" outlineLevel="0" collapsed="false">
      <c r="A18" s="28" t="s">
        <v>29</v>
      </c>
      <c r="B18" s="29" t="s">
        <v>67</v>
      </c>
      <c r="C18" s="30" t="s">
        <v>65</v>
      </c>
      <c r="D18" s="31" t="n">
        <v>0.8</v>
      </c>
      <c r="E18" s="31" t="n">
        <v>0.2</v>
      </c>
      <c r="F18" s="32" t="n">
        <f aca="false">IF(C18="Circular",PI()*(D18/2)^2,D18*E18)</f>
        <v>0.16</v>
      </c>
      <c r="G18" s="31" t="n">
        <f aca="false">IF(C18="Circular",PI()*D18,2*(D18+E18))</f>
        <v>2</v>
      </c>
      <c r="H18" s="33" t="n">
        <v>0</v>
      </c>
      <c r="I18" s="30" t="s">
        <v>68</v>
      </c>
      <c r="J18" s="32" t="n">
        <f aca="false">F18*H18*(1+Parametros!$C$12)</f>
        <v>0</v>
      </c>
      <c r="K18" s="34" t="n">
        <v>8</v>
      </c>
      <c r="L18" s="34" t="n">
        <v>16</v>
      </c>
      <c r="M18" s="35" t="n">
        <f aca="false">IF(K18=0,0,Parametros!$C$7*L18/1000)</f>
        <v>0.8</v>
      </c>
      <c r="N18" s="35" t="n">
        <f aca="false">H18+M18</f>
        <v>0.8</v>
      </c>
      <c r="O18" s="36" t="n">
        <f aca="false">K18*N18</f>
        <v>6.4</v>
      </c>
      <c r="P18" s="37" t="n">
        <f aca="false">0.00617*L18^2</f>
        <v>1.57952</v>
      </c>
      <c r="Q18" s="36" t="n">
        <f aca="false">K18*N18*P18*(1+Parametros!$C$13)</f>
        <v>10.108928</v>
      </c>
      <c r="R18" s="38" t="n">
        <v>12</v>
      </c>
      <c r="S18" s="38" t="n">
        <v>12</v>
      </c>
      <c r="T18" s="39" t="n">
        <f aca="false">IF(R18=0,0,Parametros!$C$7*S18/1000)</f>
        <v>0.6</v>
      </c>
      <c r="U18" s="39" t="n">
        <f aca="false">H18+T18</f>
        <v>0.6</v>
      </c>
      <c r="V18" s="40" t="n">
        <f aca="false">R18*U18</f>
        <v>7.2</v>
      </c>
      <c r="W18" s="41" t="n">
        <f aca="false">IF(S18=0,0,0.00617*S18^2)</f>
        <v>0.88848</v>
      </c>
      <c r="X18" s="40" t="n">
        <f aca="false">R18*U18*W18*(1+Parametros!$C$13)</f>
        <v>6.397056</v>
      </c>
      <c r="Y18" s="42" t="n">
        <v>8</v>
      </c>
      <c r="Z18" s="42" t="n">
        <v>0.2</v>
      </c>
      <c r="AA18" s="42" t="n">
        <f aca="false">IF(H18=0,0,ROUNDUP(H18/Z18,0)+1)</f>
        <v>0</v>
      </c>
      <c r="AB18" s="43" t="n">
        <f aca="false">IF(C18="Circular",PI()*(D18-2*Parametros!$C$5)+Parametros!$C$9*Parametros!$C$8*Y18/1000,2*((D18-2*Parametros!$C$5)+(E18-2*Parametros!$C$5))+Parametros!$C$9*Parametros!$C$8*Y18/1000)</f>
        <v>1.92</v>
      </c>
      <c r="AC18" s="44" t="n">
        <f aca="false">AA18*AB18*0.00617*Y18^2*(1+Parametros!$C$13)</f>
        <v>0</v>
      </c>
      <c r="AD18" s="45" t="n">
        <f aca="false">Q18+X18</f>
        <v>16.505984</v>
      </c>
      <c r="AE18" s="45" t="n">
        <f aca="false">AD18+AC18</f>
        <v>16.505984</v>
      </c>
      <c r="AF18" s="46" t="n">
        <f aca="false">G18*H18</f>
        <v>0</v>
      </c>
    </row>
    <row r="19" customFormat="false" ht="15" hidden="false" customHeight="false" outlineLevel="0" collapsed="false">
      <c r="A19" s="47"/>
      <c r="B19" s="48" t="s">
        <v>70</v>
      </c>
      <c r="C19" s="47"/>
      <c r="D19" s="47"/>
      <c r="E19" s="47"/>
      <c r="F19" s="47"/>
      <c r="G19" s="47"/>
      <c r="H19" s="47"/>
      <c r="I19" s="47"/>
      <c r="J19" s="49" t="n">
        <f aca="false">SUM(J6:J18)</f>
        <v>0</v>
      </c>
      <c r="K19" s="47"/>
      <c r="L19" s="47"/>
      <c r="M19" s="47"/>
      <c r="N19" s="47"/>
      <c r="O19" s="47"/>
      <c r="P19" s="47"/>
      <c r="Q19" s="50" t="n">
        <f aca="false">SUM(Q6:Q18)</f>
        <v>194.912768</v>
      </c>
      <c r="R19" s="47"/>
      <c r="S19" s="47"/>
      <c r="T19" s="47"/>
      <c r="U19" s="47"/>
      <c r="V19" s="47"/>
      <c r="W19" s="47"/>
      <c r="X19" s="50" t="n">
        <f aca="false">SUM(X6:X18)</f>
        <v>41.082328</v>
      </c>
      <c r="Y19" s="47"/>
      <c r="Z19" s="47"/>
      <c r="AA19" s="47"/>
      <c r="AB19" s="47"/>
      <c r="AC19" s="50" t="n">
        <f aca="false">SUM(AC6:AC18)</f>
        <v>0</v>
      </c>
      <c r="AD19" s="50" t="n">
        <f aca="false">SUM(AD6:AD18)</f>
        <v>235.995096</v>
      </c>
      <c r="AE19" s="50" t="n">
        <f aca="false">SUM(AE6:AE18)</f>
        <v>235.995096</v>
      </c>
      <c r="AF19" s="51" t="n">
        <f aca="false">SUM(AF6:AF18)</f>
        <v>0</v>
      </c>
    </row>
    <row r="21" customFormat="false" ht="15" hidden="false" customHeight="true" outlineLevel="0" collapsed="false">
      <c r="A21" s="52" t="s">
        <v>71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</row>
    <row r="22" customFormat="false" ht="15" hidden="false" customHeight="fals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</row>
    <row r="23" customFormat="false" ht="15" hidden="false" customHeight="fals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</row>
    <row r="24" customFormat="false" ht="15" hidden="false" customHeight="fals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</row>
  </sheetData>
  <mergeCells count="10">
    <mergeCell ref="A1:AB1"/>
    <mergeCell ref="A2:AB2"/>
    <mergeCell ref="A4:B4"/>
    <mergeCell ref="C4:E4"/>
    <mergeCell ref="F4:J4"/>
    <mergeCell ref="K4:Q4"/>
    <mergeCell ref="R4:X4"/>
    <mergeCell ref="Y4:AC4"/>
    <mergeCell ref="AD4:AF4"/>
    <mergeCell ref="A21:A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25.5" hidden="false" customHeight="true" outlineLevel="0" collapsed="false">
      <c r="B2" s="1" t="s">
        <v>72</v>
      </c>
      <c r="C2" s="1"/>
      <c r="D2" s="1"/>
      <c r="E2" s="1"/>
    </row>
    <row r="4" customFormat="false" ht="18" hidden="false" customHeight="true" outlineLevel="0" collapsed="false">
      <c r="B4" s="8" t="s">
        <v>73</v>
      </c>
      <c r="C4" s="8" t="s">
        <v>74</v>
      </c>
      <c r="D4" s="8" t="s">
        <v>75</v>
      </c>
    </row>
    <row r="5" customFormat="false" ht="15" hidden="false" customHeight="false" outlineLevel="0" collapsed="false">
      <c r="B5" s="53" t="s">
        <v>76</v>
      </c>
      <c r="C5" s="54" t="n">
        <v>0.03</v>
      </c>
      <c r="D5" s="55" t="s">
        <v>77</v>
      </c>
    </row>
    <row r="6" customFormat="false" ht="15" hidden="false" customHeight="false" outlineLevel="0" collapsed="false">
      <c r="B6" s="53" t="s">
        <v>78</v>
      </c>
      <c r="C6" s="54" t="n">
        <v>0.05</v>
      </c>
      <c r="D6" s="55" t="s">
        <v>77</v>
      </c>
    </row>
    <row r="7" customFormat="false" ht="15" hidden="false" customHeight="false" outlineLevel="0" collapsed="false">
      <c r="B7" s="53" t="s">
        <v>79</v>
      </c>
      <c r="C7" s="56" t="n">
        <v>50</v>
      </c>
      <c r="D7" s="55" t="s">
        <v>80</v>
      </c>
    </row>
    <row r="8" customFormat="false" ht="15" hidden="false" customHeight="false" outlineLevel="0" collapsed="false">
      <c r="B8" s="53" t="s">
        <v>81</v>
      </c>
      <c r="C8" s="56" t="n">
        <v>10</v>
      </c>
      <c r="D8" s="55" t="s">
        <v>82</v>
      </c>
    </row>
    <row r="9" customFormat="false" ht="15" hidden="false" customHeight="false" outlineLevel="0" collapsed="false">
      <c r="B9" s="53" t="s">
        <v>83</v>
      </c>
      <c r="C9" s="56" t="n">
        <v>2</v>
      </c>
      <c r="D9" s="55"/>
    </row>
    <row r="10" customFormat="false" ht="15" hidden="false" customHeight="false" outlineLevel="0" collapsed="false">
      <c r="B10" s="53" t="s">
        <v>84</v>
      </c>
      <c r="C10" s="56" t="n">
        <v>7850</v>
      </c>
      <c r="D10" s="55" t="s">
        <v>85</v>
      </c>
    </row>
    <row r="11" customFormat="false" ht="15" hidden="false" customHeight="false" outlineLevel="0" collapsed="false">
      <c r="B11" s="53" t="s">
        <v>86</v>
      </c>
      <c r="C11" s="56" t="n">
        <v>0.03</v>
      </c>
      <c r="D11" s="55" t="s">
        <v>87</v>
      </c>
    </row>
    <row r="12" customFormat="false" ht="15" hidden="false" customHeight="false" outlineLevel="0" collapsed="false">
      <c r="B12" s="53" t="s">
        <v>88</v>
      </c>
      <c r="C12" s="56" t="n">
        <v>0</v>
      </c>
      <c r="D12" s="55" t="s">
        <v>89</v>
      </c>
    </row>
    <row r="13" customFormat="false" ht="15" hidden="false" customHeight="false" outlineLevel="0" collapsed="false">
      <c r="B13" s="53" t="s">
        <v>90</v>
      </c>
      <c r="C13" s="56" t="n">
        <v>0</v>
      </c>
      <c r="D13" s="55" t="s">
        <v>91</v>
      </c>
    </row>
    <row r="16" customFormat="false" ht="15" hidden="false" customHeight="false" outlineLevel="0" collapsed="false">
      <c r="B16" s="57" t="s">
        <v>92</v>
      </c>
    </row>
    <row r="17" customFormat="false" ht="15.75" hidden="false" customHeight="true" outlineLevel="0" collapsed="false">
      <c r="B17" s="58"/>
      <c r="C17" s="59" t="s">
        <v>93</v>
      </c>
    </row>
    <row r="18" customFormat="false" ht="15.75" hidden="false" customHeight="true" outlineLevel="0" collapsed="false">
      <c r="B18" s="60"/>
      <c r="C18" s="59" t="s">
        <v>94</v>
      </c>
    </row>
    <row r="19" customFormat="false" ht="15.75" hidden="false" customHeight="true" outlineLevel="0" collapsed="false">
      <c r="B19" s="61"/>
      <c r="C19" s="59" t="s">
        <v>95</v>
      </c>
    </row>
    <row r="20" customFormat="false" ht="15.75" hidden="false" customHeight="true" outlineLevel="0" collapsed="false">
      <c r="B20" s="62"/>
      <c r="C20" s="59" t="s">
        <v>96</v>
      </c>
    </row>
    <row r="21" customFormat="false" ht="15.75" hidden="false" customHeight="true" outlineLevel="0" collapsed="false">
      <c r="B21" s="63"/>
      <c r="C21" s="59" t="s">
        <v>97</v>
      </c>
    </row>
    <row r="23" customFormat="false" ht="15" hidden="false" customHeight="false" outlineLevel="0" collapsed="false">
      <c r="B23" s="64" t="s">
        <v>98</v>
      </c>
    </row>
    <row r="24" customFormat="false" ht="15" hidden="false" customHeight="true" outlineLevel="0" collapsed="false">
      <c r="B24" s="65" t="s">
        <v>99</v>
      </c>
      <c r="C24" s="65"/>
      <c r="D24" s="65"/>
      <c r="E24" s="65"/>
    </row>
    <row r="25" customFormat="false" ht="15" hidden="false" customHeight="false" outlineLevel="0" collapsed="false">
      <c r="B25" s="65"/>
      <c r="C25" s="65"/>
      <c r="D25" s="65"/>
      <c r="E25" s="65"/>
    </row>
    <row r="26" customFormat="false" ht="15" hidden="false" customHeight="false" outlineLevel="0" collapsed="false">
      <c r="B26" s="65"/>
      <c r="C26" s="65"/>
      <c r="D26" s="65"/>
      <c r="E26" s="65"/>
    </row>
    <row r="27" customFormat="false" ht="15" hidden="false" customHeight="false" outlineLevel="0" collapsed="false">
      <c r="B27" s="65"/>
      <c r="C27" s="65"/>
      <c r="D27" s="65"/>
      <c r="E27" s="65"/>
    </row>
  </sheetData>
  <mergeCells count="2">
    <mergeCell ref="B2:E2"/>
    <mergeCell ref="B24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2026-09-24T08:22:41Z</dcterms:created>
  <dc:creator>openpyxl</dc:creator>
  <dc:description/>
  <dc:language>en-US</dc:language>
  <cp:lastModifiedBy/>
  <dcterms:modified xsi:type="dcterms:W3CDTF">2026-09-24T08:22:41Z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